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FADE7EF6-50D3-4903-B10B-D1CC75D69414}" xr6:coauthVersionLast="47" xr6:coauthVersionMax="47" xr10:uidLastSave="{00000000-0000-0000-0000-000000000000}"/>
  <bookViews>
    <workbookView xWindow="-120" yWindow="-120" windowWidth="29040" windowHeight="15720" tabRatio="872" activeTab="3" xr2:uid="{00000000-000D-0000-FFFF-FFFF00000000}"/>
  </bookViews>
  <sheets>
    <sheet name="CO " sheetId="7" r:id="rId1"/>
    <sheet name="COF" sheetId="8" r:id="rId2"/>
    <sheet name="COF(copper)" sheetId="16" r:id="rId3"/>
    <sheet name="LM (NEW)" sheetId="36" r:id="rId4"/>
    <sheet name="PFE (NEW)" sheetId="35" r:id="rId5"/>
  </sheets>
  <definedNames>
    <definedName name="_xlnm.Print_Titles" localSheetId="0">'CO '!$2:$2</definedName>
    <definedName name="_xlnm.Print_Titles" localSheetId="1">COF!$2:$2</definedName>
    <definedName name="_xlnm.Print_Titles" localSheetId="2">'COF(copper)'!$1:$1</definedName>
  </definedNames>
  <calcPr calcId="191029"/>
</workbook>
</file>

<file path=xl/calcChain.xml><?xml version="1.0" encoding="utf-8"?>
<calcChain xmlns="http://schemas.openxmlformats.org/spreadsheetml/2006/main">
  <c r="F809" i="36" l="1"/>
  <c r="G809" i="36" s="1"/>
  <c r="I809" i="36"/>
  <c r="F484" i="35"/>
  <c r="G484" i="35"/>
  <c r="H484" i="35"/>
  <c r="I484" i="35"/>
  <c r="J484" i="35"/>
  <c r="L484" i="35"/>
  <c r="F483" i="35"/>
  <c r="G483" i="35" s="1"/>
  <c r="H483" i="35"/>
  <c r="I483" i="35"/>
  <c r="J483" i="35"/>
  <c r="L483" i="35"/>
  <c r="E959" i="7"/>
  <c r="F959" i="7"/>
  <c r="H959" i="7"/>
  <c r="F482" i="35"/>
  <c r="G482" i="35" s="1"/>
  <c r="I482" i="35"/>
  <c r="J482" i="35"/>
  <c r="L482" i="35"/>
  <c r="E600" i="8"/>
  <c r="F600" i="8"/>
  <c r="E599" i="8"/>
  <c r="F599" i="8"/>
  <c r="E598" i="8"/>
  <c r="F598" i="8"/>
  <c r="F19" i="8"/>
  <c r="E19" i="8"/>
  <c r="E27" i="8"/>
  <c r="F27" i="8"/>
  <c r="F30" i="8"/>
  <c r="E30" i="8"/>
  <c r="F561" i="8"/>
  <c r="E561" i="8"/>
  <c r="E558" i="8"/>
  <c r="F558" i="8"/>
  <c r="E597" i="8"/>
  <c r="F597" i="8"/>
  <c r="L474" i="35"/>
  <c r="L455" i="35"/>
  <c r="L456" i="35"/>
  <c r="L457" i="35"/>
  <c r="L458" i="35"/>
  <c r="L459" i="35"/>
  <c r="L460" i="35"/>
  <c r="L461" i="35"/>
  <c r="L462" i="35"/>
  <c r="L463" i="35"/>
  <c r="L464" i="35"/>
  <c r="L465" i="35"/>
  <c r="L466" i="35"/>
  <c r="L467" i="35"/>
  <c r="L468" i="35"/>
  <c r="L469" i="35"/>
  <c r="L470" i="35"/>
  <c r="L471" i="35"/>
  <c r="L472" i="35"/>
  <c r="L473" i="35"/>
  <c r="L454" i="35"/>
  <c r="L478" i="35"/>
  <c r="L481" i="35"/>
  <c r="L383" i="35"/>
  <c r="L480" i="35"/>
  <c r="F383" i="35"/>
  <c r="H383" i="35" s="1"/>
  <c r="J383" i="35"/>
  <c r="E594" i="8"/>
  <c r="F594" i="8"/>
  <c r="E596" i="8"/>
  <c r="F596" i="8"/>
  <c r="E595" i="8"/>
  <c r="F595" i="8"/>
  <c r="E593" i="8"/>
  <c r="F593" i="8"/>
  <c r="E592" i="8"/>
  <c r="F592" i="8"/>
  <c r="E602" i="8"/>
  <c r="F602" i="8"/>
  <c r="F124" i="16"/>
  <c r="G124" i="16"/>
  <c r="F125" i="16"/>
  <c r="G125" i="16"/>
  <c r="F126" i="16"/>
  <c r="G126" i="16"/>
  <c r="F127" i="16"/>
  <c r="G127" i="16"/>
  <c r="F128" i="16"/>
  <c r="G128" i="16"/>
  <c r="F129" i="16"/>
  <c r="G129" i="16"/>
  <c r="F123" i="16"/>
  <c r="E591" i="8"/>
  <c r="F591" i="8"/>
  <c r="J472" i="35"/>
  <c r="F472" i="35"/>
  <c r="G472" i="35" s="1"/>
  <c r="F466" i="35"/>
  <c r="G466" i="35" s="1"/>
  <c r="J466" i="35"/>
  <c r="F460" i="35"/>
  <c r="G460" i="35" s="1"/>
  <c r="J460" i="35"/>
  <c r="I803" i="36"/>
  <c r="F803" i="36"/>
  <c r="H803" i="36" s="1"/>
  <c r="F808" i="36"/>
  <c r="G808" i="36" s="1"/>
  <c r="I808" i="36"/>
  <c r="F810" i="36"/>
  <c r="G810" i="36" s="1"/>
  <c r="I810" i="36"/>
  <c r="F811" i="36"/>
  <c r="G811" i="36" s="1"/>
  <c r="I811" i="36"/>
  <c r="F812" i="36"/>
  <c r="G812" i="36" s="1"/>
  <c r="I812" i="36"/>
  <c r="F813" i="36"/>
  <c r="G813" i="36" s="1"/>
  <c r="I813" i="36"/>
  <c r="F814" i="36"/>
  <c r="G814" i="36" s="1"/>
  <c r="I814" i="36"/>
  <c r="F815" i="36"/>
  <c r="G815" i="36" s="1"/>
  <c r="I815" i="36"/>
  <c r="F816" i="36"/>
  <c r="G816" i="36" s="1"/>
  <c r="I816" i="36"/>
  <c r="F817" i="36"/>
  <c r="G817" i="36" s="1"/>
  <c r="I817" i="36"/>
  <c r="F818" i="36"/>
  <c r="G818" i="36" s="1"/>
  <c r="I818" i="36"/>
  <c r="F819" i="36"/>
  <c r="G819" i="36" s="1"/>
  <c r="I819" i="36"/>
  <c r="F820" i="36"/>
  <c r="G820" i="36" s="1"/>
  <c r="I820" i="36"/>
  <c r="F821" i="36"/>
  <c r="G821" i="36" s="1"/>
  <c r="I821" i="36"/>
  <c r="F822" i="36"/>
  <c r="G822" i="36" s="1"/>
  <c r="I822" i="36"/>
  <c r="J459" i="35"/>
  <c r="F459" i="35"/>
  <c r="I459" i="35" s="1"/>
  <c r="J233" i="35"/>
  <c r="F233" i="35"/>
  <c r="G233" i="35" s="1"/>
  <c r="H809" i="36" l="1"/>
  <c r="H482" i="35"/>
  <c r="I383" i="35"/>
  <c r="G383" i="35"/>
  <c r="G803" i="36"/>
  <c r="I466" i="35"/>
  <c r="I472" i="35"/>
  <c r="I460" i="35"/>
  <c r="H472" i="35"/>
  <c r="H466" i="35"/>
  <c r="H460" i="35"/>
  <c r="H822" i="36"/>
  <c r="H821" i="36"/>
  <c r="H820" i="36"/>
  <c r="H819" i="36"/>
  <c r="H818" i="36"/>
  <c r="H817" i="36"/>
  <c r="H816" i="36"/>
  <c r="H815" i="36"/>
  <c r="H814" i="36"/>
  <c r="H813" i="36"/>
  <c r="H812" i="36"/>
  <c r="H811" i="36"/>
  <c r="H810" i="36"/>
  <c r="H808" i="36"/>
  <c r="G459" i="35"/>
  <c r="H459" i="35"/>
  <c r="H233" i="35"/>
  <c r="I233" i="35"/>
  <c r="I804" i="36"/>
  <c r="F804" i="36"/>
  <c r="H804" i="36" s="1"/>
  <c r="J455" i="35"/>
  <c r="F455" i="35"/>
  <c r="I455" i="35" s="1"/>
  <c r="J464" i="35"/>
  <c r="F464" i="35"/>
  <c r="I464" i="35" s="1"/>
  <c r="I806" i="36"/>
  <c r="F806" i="36"/>
  <c r="H806" i="36" s="1"/>
  <c r="K806" i="36"/>
  <c r="J470" i="35"/>
  <c r="J469" i="35"/>
  <c r="J463" i="35"/>
  <c r="F463" i="35"/>
  <c r="G463" i="35" s="1"/>
  <c r="F469" i="35"/>
  <c r="G469" i="35" s="1"/>
  <c r="F470" i="35"/>
  <c r="H470" i="35" s="1"/>
  <c r="J481" i="35"/>
  <c r="J474" i="35"/>
  <c r="J468" i="35"/>
  <c r="J462" i="35"/>
  <c r="F481" i="35"/>
  <c r="I481" i="35" s="1"/>
  <c r="F474" i="35"/>
  <c r="I474" i="35" s="1"/>
  <c r="F468" i="35"/>
  <c r="I468" i="35" s="1"/>
  <c r="F462" i="35"/>
  <c r="I462" i="35" s="1"/>
  <c r="J478" i="35"/>
  <c r="J473" i="35"/>
  <c r="J467" i="35"/>
  <c r="F478" i="35"/>
  <c r="G478" i="35" s="1"/>
  <c r="F473" i="35"/>
  <c r="H473" i="35" s="1"/>
  <c r="F467" i="35"/>
  <c r="H467" i="35" s="1"/>
  <c r="F479" i="35"/>
  <c r="H479" i="35" s="1"/>
  <c r="J479" i="35"/>
  <c r="L479" i="35"/>
  <c r="F480" i="35"/>
  <c r="G480" i="35" s="1"/>
  <c r="J480" i="35"/>
  <c r="F442" i="35"/>
  <c r="H442" i="35" s="1"/>
  <c r="J442" i="35"/>
  <c r="L442" i="35"/>
  <c r="L446" i="35"/>
  <c r="J446" i="35"/>
  <c r="F446" i="35"/>
  <c r="H446" i="35" s="1"/>
  <c r="F450" i="35"/>
  <c r="G450" i="35" s="1"/>
  <c r="J450" i="35"/>
  <c r="L450" i="35"/>
  <c r="L451" i="35"/>
  <c r="L452" i="35"/>
  <c r="J452" i="35"/>
  <c r="F452" i="35"/>
  <c r="H452" i="35" s="1"/>
  <c r="F456" i="35"/>
  <c r="G456" i="35" s="1"/>
  <c r="J456" i="35"/>
  <c r="J457" i="35"/>
  <c r="F457" i="35"/>
  <c r="I457" i="35" s="1"/>
  <c r="J461" i="35"/>
  <c r="F461" i="35"/>
  <c r="H461" i="35" s="1"/>
  <c r="F465" i="35"/>
  <c r="H465" i="35" s="1"/>
  <c r="J465" i="35"/>
  <c r="J471" i="35"/>
  <c r="F471" i="35"/>
  <c r="I471" i="35" s="1"/>
  <c r="L476" i="35"/>
  <c r="J476" i="35"/>
  <c r="F476" i="35"/>
  <c r="I476" i="35" s="1"/>
  <c r="L477" i="35"/>
  <c r="J477" i="35"/>
  <c r="F477" i="35"/>
  <c r="I477" i="35" s="1"/>
  <c r="F458" i="35"/>
  <c r="H458" i="35" s="1"/>
  <c r="J458" i="35"/>
  <c r="F451" i="35"/>
  <c r="G451" i="35" s="1"/>
  <c r="J451" i="35"/>
  <c r="F807" i="36"/>
  <c r="G807" i="36" s="1"/>
  <c r="I807" i="36"/>
  <c r="I805" i="36"/>
  <c r="F805" i="36"/>
  <c r="G805" i="36" s="1"/>
  <c r="I802" i="36"/>
  <c r="F802" i="36"/>
  <c r="G802" i="36" s="1"/>
  <c r="I801" i="36"/>
  <c r="F801" i="36"/>
  <c r="G801" i="36" s="1"/>
  <c r="I800" i="36"/>
  <c r="F800" i="36"/>
  <c r="G800" i="36" s="1"/>
  <c r="K807" i="36"/>
  <c r="K805" i="36"/>
  <c r="K802" i="36"/>
  <c r="K801" i="36"/>
  <c r="K800" i="36"/>
  <c r="F475" i="35"/>
  <c r="G475" i="35" s="1"/>
  <c r="J475" i="35"/>
  <c r="L475" i="35"/>
  <c r="F381" i="36"/>
  <c r="G381" i="36" s="1"/>
  <c r="I381" i="36"/>
  <c r="K381" i="36"/>
  <c r="E166" i="8"/>
  <c r="F166" i="8"/>
  <c r="E167" i="8"/>
  <c r="F167" i="8"/>
  <c r="E259" i="8"/>
  <c r="F259" i="8"/>
  <c r="F454" i="35"/>
  <c r="G454" i="35" s="1"/>
  <c r="J454" i="35"/>
  <c r="F449" i="35"/>
  <c r="G449" i="35" s="1"/>
  <c r="J449" i="35"/>
  <c r="L449" i="35"/>
  <c r="G465" i="35" l="1"/>
  <c r="H457" i="35"/>
  <c r="G470" i="35"/>
  <c r="I452" i="35"/>
  <c r="I470" i="35"/>
  <c r="G464" i="35"/>
  <c r="G457" i="35"/>
  <c r="G452" i="35"/>
  <c r="H464" i="35"/>
  <c r="I463" i="35"/>
  <c r="H468" i="35"/>
  <c r="I469" i="35"/>
  <c r="G455" i="35"/>
  <c r="H455" i="35"/>
  <c r="H478" i="35"/>
  <c r="H805" i="36"/>
  <c r="G806" i="36"/>
  <c r="H802" i="36"/>
  <c r="H801" i="36"/>
  <c r="G804" i="36"/>
  <c r="H800" i="36"/>
  <c r="H469" i="35"/>
  <c r="H463" i="35"/>
  <c r="H807" i="36"/>
  <c r="I442" i="35"/>
  <c r="G473" i="35"/>
  <c r="I478" i="35"/>
  <c r="I450" i="35"/>
  <c r="G442" i="35"/>
  <c r="I467" i="35"/>
  <c r="H481" i="35"/>
  <c r="H462" i="35"/>
  <c r="G458" i="35"/>
  <c r="H450" i="35"/>
  <c r="H474" i="35"/>
  <c r="G467" i="35"/>
  <c r="I473" i="35"/>
  <c r="G462" i="35"/>
  <c r="I456" i="35"/>
  <c r="G468" i="35"/>
  <c r="I465" i="35"/>
  <c r="H456" i="35"/>
  <c r="G474" i="35"/>
  <c r="I454" i="35"/>
  <c r="G481" i="35"/>
  <c r="I458" i="35"/>
  <c r="G461" i="35"/>
  <c r="I446" i="35"/>
  <c r="G477" i="35"/>
  <c r="H477" i="35"/>
  <c r="H471" i="35"/>
  <c r="I461" i="35"/>
  <c r="G476" i="35"/>
  <c r="G446" i="35"/>
  <c r="H476" i="35"/>
  <c r="G471" i="35"/>
  <c r="H451" i="35"/>
  <c r="G479" i="35"/>
  <c r="I479" i="35"/>
  <c r="I480" i="35"/>
  <c r="H480" i="35"/>
  <c r="I451" i="35"/>
  <c r="I475" i="35"/>
  <c r="H475" i="35"/>
  <c r="H381" i="36"/>
  <c r="H454" i="35"/>
  <c r="I449" i="35"/>
  <c r="H449" i="35"/>
  <c r="F453" i="35"/>
  <c r="G453" i="35" s="1"/>
  <c r="J453" i="35"/>
  <c r="L453" i="35"/>
  <c r="G123" i="16"/>
  <c r="F122" i="16"/>
  <c r="F3" i="16"/>
  <c r="I453" i="35" l="1"/>
  <c r="H453" i="35"/>
  <c r="E601" i="8"/>
  <c r="F601" i="8"/>
  <c r="E590" i="8" l="1"/>
  <c r="F590" i="8"/>
  <c r="E557" i="8" l="1"/>
  <c r="F557" i="8"/>
  <c r="E957" i="7"/>
  <c r="F957" i="7"/>
  <c r="H957" i="7"/>
  <c r="E958" i="7"/>
  <c r="F958" i="7"/>
  <c r="H958" i="7"/>
  <c r="E956" i="7" l="1"/>
  <c r="F956" i="7"/>
  <c r="H956" i="7"/>
  <c r="F448" i="35"/>
  <c r="G448" i="35" s="1"/>
  <c r="J448" i="35"/>
  <c r="L448" i="35"/>
  <c r="F447" i="35"/>
  <c r="G447" i="35" s="1"/>
  <c r="J447" i="35"/>
  <c r="L447" i="35"/>
  <c r="I447" i="35" l="1"/>
  <c r="H447" i="35"/>
  <c r="I448" i="35"/>
  <c r="H448" i="35"/>
  <c r="F4" i="35"/>
  <c r="F443" i="35" l="1"/>
  <c r="G443" i="35" s="1"/>
  <c r="J443" i="35"/>
  <c r="L443" i="35"/>
  <c r="I443" i="35" l="1"/>
  <c r="H443" i="35"/>
  <c r="F444" i="35"/>
  <c r="G444" i="35" s="1"/>
  <c r="F441" i="35"/>
  <c r="F445" i="35"/>
  <c r="H445" i="35" s="1"/>
  <c r="J445" i="35"/>
  <c r="L445" i="35"/>
  <c r="J444" i="35"/>
  <c r="L444" i="35"/>
  <c r="G445" i="35" l="1"/>
  <c r="I444" i="35"/>
  <c r="H444" i="35"/>
  <c r="I445" i="35"/>
  <c r="E279" i="8"/>
  <c r="F279" i="8" l="1"/>
  <c r="E565" i="8" l="1"/>
  <c r="F565" i="8"/>
  <c r="E464" i="8"/>
  <c r="F464" i="8"/>
  <c r="E466" i="8"/>
  <c r="F466" i="8"/>
  <c r="L438" i="35" l="1"/>
  <c r="K799" i="36" l="1"/>
  <c r="I799" i="36"/>
  <c r="F799" i="36"/>
  <c r="H799" i="36" s="1"/>
  <c r="L441" i="35"/>
  <c r="L440" i="35"/>
  <c r="J441" i="35"/>
  <c r="I441" i="35"/>
  <c r="J440" i="35"/>
  <c r="F440" i="35"/>
  <c r="G440" i="35" s="1"/>
  <c r="F437" i="35"/>
  <c r="G437" i="35" s="1"/>
  <c r="J437" i="35"/>
  <c r="L437" i="35"/>
  <c r="F417" i="35"/>
  <c r="G417" i="35" s="1"/>
  <c r="J417" i="35"/>
  <c r="L417" i="35"/>
  <c r="F416" i="35"/>
  <c r="G416" i="35" s="1"/>
  <c r="J416" i="35"/>
  <c r="L416" i="35"/>
  <c r="F412" i="35"/>
  <c r="G412" i="35" s="1"/>
  <c r="L412" i="35"/>
  <c r="F419" i="35"/>
  <c r="G419" i="35" s="1"/>
  <c r="J419" i="35"/>
  <c r="L419" i="35"/>
  <c r="E555" i="8"/>
  <c r="F555" i="8"/>
  <c r="F438" i="35"/>
  <c r="G438" i="35" s="1"/>
  <c r="J438" i="35"/>
  <c r="L439" i="35"/>
  <c r="J439" i="35"/>
  <c r="F439" i="35"/>
  <c r="I439" i="35" s="1"/>
  <c r="K798" i="36"/>
  <c r="F798" i="36"/>
  <c r="G798" i="36" s="1"/>
  <c r="I798" i="36"/>
  <c r="L420" i="35"/>
  <c r="L421" i="35"/>
  <c r="L422" i="35"/>
  <c r="L423" i="35"/>
  <c r="L424" i="35"/>
  <c r="L425" i="35"/>
  <c r="L426" i="35"/>
  <c r="L427" i="35"/>
  <c r="L428" i="35"/>
  <c r="L429" i="35"/>
  <c r="L430" i="35"/>
  <c r="L431" i="35"/>
  <c r="L432" i="35"/>
  <c r="L433" i="35"/>
  <c r="L434" i="35"/>
  <c r="L435" i="35"/>
  <c r="L436" i="35"/>
  <c r="F420" i="35"/>
  <c r="G420" i="35" s="1"/>
  <c r="J420" i="35"/>
  <c r="F421" i="35"/>
  <c r="G421" i="35" s="1"/>
  <c r="J421" i="35"/>
  <c r="F422" i="35"/>
  <c r="H422" i="35" s="1"/>
  <c r="J422" i="35"/>
  <c r="F423" i="35"/>
  <c r="G423" i="35" s="1"/>
  <c r="J423" i="35"/>
  <c r="F424" i="35"/>
  <c r="G424" i="35" s="1"/>
  <c r="J424" i="35"/>
  <c r="F425" i="35"/>
  <c r="G425" i="35" s="1"/>
  <c r="J425" i="35"/>
  <c r="F426" i="35"/>
  <c r="H426" i="35" s="1"/>
  <c r="J426" i="35"/>
  <c r="F427" i="35"/>
  <c r="G427" i="35" s="1"/>
  <c r="J427" i="35"/>
  <c r="F428" i="35"/>
  <c r="G428" i="35" s="1"/>
  <c r="J428" i="35"/>
  <c r="F429" i="35"/>
  <c r="G429" i="35" s="1"/>
  <c r="J429" i="35"/>
  <c r="F430" i="35"/>
  <c r="H430" i="35" s="1"/>
  <c r="J430" i="35"/>
  <c r="F431" i="35"/>
  <c r="H431" i="35" s="1"/>
  <c r="J431" i="35"/>
  <c r="F432" i="35"/>
  <c r="G432" i="35" s="1"/>
  <c r="J432" i="35"/>
  <c r="F433" i="35"/>
  <c r="G433" i="35" s="1"/>
  <c r="J433" i="35"/>
  <c r="F434" i="35"/>
  <c r="H434" i="35" s="1"/>
  <c r="J434" i="35"/>
  <c r="F435" i="35"/>
  <c r="H435" i="35" s="1"/>
  <c r="J435" i="35"/>
  <c r="F436" i="35"/>
  <c r="G436" i="35" s="1"/>
  <c r="J436" i="35"/>
  <c r="H887" i="7"/>
  <c r="E887" i="7"/>
  <c r="F887" i="7"/>
  <c r="E556" i="8"/>
  <c r="F556" i="8"/>
  <c r="K797" i="36"/>
  <c r="I797" i="36"/>
  <c r="F797" i="36"/>
  <c r="H797" i="36" s="1"/>
  <c r="E589" i="8"/>
  <c r="F589" i="8"/>
  <c r="L413" i="35"/>
  <c r="L414" i="35"/>
  <c r="L415" i="35"/>
  <c r="L418" i="35"/>
  <c r="J418" i="35"/>
  <c r="F418" i="35"/>
  <c r="H418" i="35" s="1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88" i="16"/>
  <c r="F89" i="16"/>
  <c r="E588" i="8"/>
  <c r="F588" i="8"/>
  <c r="E586" i="8"/>
  <c r="F586" i="8"/>
  <c r="F411" i="35"/>
  <c r="G411" i="35" s="1"/>
  <c r="J411" i="35"/>
  <c r="L411" i="35"/>
  <c r="J415" i="35"/>
  <c r="I412" i="35" l="1"/>
  <c r="G797" i="36"/>
  <c r="H440" i="35"/>
  <c r="G441" i="35"/>
  <c r="H441" i="35"/>
  <c r="I440" i="35"/>
  <c r="I437" i="35"/>
  <c r="G799" i="36"/>
  <c r="H798" i="36"/>
  <c r="H437" i="35"/>
  <c r="G435" i="35"/>
  <c r="I417" i="35"/>
  <c r="H417" i="35"/>
  <c r="I416" i="35"/>
  <c r="H416" i="35"/>
  <c r="H433" i="35"/>
  <c r="I435" i="35"/>
  <c r="G434" i="35"/>
  <c r="H429" i="35"/>
  <c r="I419" i="35"/>
  <c r="H412" i="35"/>
  <c r="I425" i="35"/>
  <c r="I434" i="35"/>
  <c r="I433" i="35"/>
  <c r="I421" i="35"/>
  <c r="G439" i="35"/>
  <c r="I438" i="35"/>
  <c r="H419" i="35"/>
  <c r="I431" i="35"/>
  <c r="G430" i="35"/>
  <c r="I427" i="35"/>
  <c r="I426" i="35"/>
  <c r="I423" i="35"/>
  <c r="I422" i="35"/>
  <c r="G431" i="35"/>
  <c r="H427" i="35"/>
  <c r="H423" i="35"/>
  <c r="H438" i="35"/>
  <c r="I411" i="35"/>
  <c r="H439" i="35"/>
  <c r="I418" i="35"/>
  <c r="I424" i="35"/>
  <c r="I420" i="35"/>
  <c r="H411" i="35"/>
  <c r="G418" i="35"/>
  <c r="I430" i="35"/>
  <c r="I429" i="35"/>
  <c r="G426" i="35"/>
  <c r="H425" i="35"/>
  <c r="G422" i="35"/>
  <c r="H421" i="35"/>
  <c r="I436" i="35"/>
  <c r="I432" i="35"/>
  <c r="I428" i="35"/>
  <c r="H436" i="35"/>
  <c r="H432" i="35"/>
  <c r="H428" i="35"/>
  <c r="H424" i="35"/>
  <c r="H420" i="35"/>
  <c r="E585" i="8"/>
  <c r="F585" i="8"/>
  <c r="E587" i="8"/>
  <c r="F587" i="8"/>
  <c r="J413" i="35"/>
  <c r="J414" i="35"/>
  <c r="F413" i="35"/>
  <c r="I413" i="35" s="1"/>
  <c r="F414" i="35"/>
  <c r="H414" i="35" s="1"/>
  <c r="F415" i="35"/>
  <c r="K796" i="36"/>
  <c r="I796" i="36"/>
  <c r="F796" i="36"/>
  <c r="G796" i="36" s="1"/>
  <c r="K795" i="36"/>
  <c r="I795" i="36"/>
  <c r="F795" i="36"/>
  <c r="H795" i="36" s="1"/>
  <c r="E466" i="7"/>
  <c r="F466" i="7"/>
  <c r="H466" i="7"/>
  <c r="E465" i="7"/>
  <c r="F465" i="7"/>
  <c r="H465" i="7"/>
  <c r="E462" i="7"/>
  <c r="F462" i="7"/>
  <c r="H462" i="7"/>
  <c r="E578" i="8"/>
  <c r="F578" i="8"/>
  <c r="F691" i="36"/>
  <c r="G691" i="36" s="1"/>
  <c r="I691" i="36"/>
  <c r="K691" i="36"/>
  <c r="F693" i="36"/>
  <c r="G693" i="36" s="1"/>
  <c r="I693" i="36"/>
  <c r="K693" i="36"/>
  <c r="F692" i="36"/>
  <c r="G692" i="36" s="1"/>
  <c r="I692" i="36"/>
  <c r="K692" i="36"/>
  <c r="F690" i="36"/>
  <c r="G690" i="36" s="1"/>
  <c r="I690" i="36"/>
  <c r="K690" i="36"/>
  <c r="F731" i="36"/>
  <c r="G731" i="36" s="1"/>
  <c r="I731" i="36"/>
  <c r="K731" i="36"/>
  <c r="L409" i="35"/>
  <c r="L410" i="35"/>
  <c r="F410" i="35"/>
  <c r="I410" i="35" s="1"/>
  <c r="J410" i="35"/>
  <c r="K794" i="36"/>
  <c r="I794" i="36"/>
  <c r="F794" i="36"/>
  <c r="H794" i="36" s="1"/>
  <c r="F409" i="35"/>
  <c r="H409" i="35" s="1"/>
  <c r="J409" i="35"/>
  <c r="E584" i="8"/>
  <c r="F584" i="8"/>
  <c r="K793" i="36"/>
  <c r="I793" i="36"/>
  <c r="F793" i="36"/>
  <c r="H793" i="36" s="1"/>
  <c r="L408" i="35"/>
  <c r="F408" i="35"/>
  <c r="G408" i="35" s="1"/>
  <c r="J408" i="35"/>
  <c r="L407" i="35"/>
  <c r="J407" i="35"/>
  <c r="F407" i="35"/>
  <c r="I407" i="35" s="1"/>
  <c r="F788" i="36"/>
  <c r="G788" i="36" s="1"/>
  <c r="I788" i="36"/>
  <c r="K788" i="36"/>
  <c r="F787" i="36"/>
  <c r="G787" i="36" s="1"/>
  <c r="I787" i="36"/>
  <c r="K787" i="36"/>
  <c r="F786" i="36"/>
  <c r="G786" i="36" s="1"/>
  <c r="I786" i="36"/>
  <c r="K786" i="36"/>
  <c r="F785" i="36"/>
  <c r="G785" i="36" s="1"/>
  <c r="I785" i="36"/>
  <c r="K785" i="36"/>
  <c r="F784" i="36"/>
  <c r="G784" i="36" s="1"/>
  <c r="I784" i="36"/>
  <c r="K784" i="36"/>
  <c r="F783" i="36"/>
  <c r="G783" i="36" s="1"/>
  <c r="I783" i="36"/>
  <c r="K783" i="36"/>
  <c r="F779" i="36"/>
  <c r="G779" i="36" s="1"/>
  <c r="I779" i="36"/>
  <c r="K779" i="36"/>
  <c r="E577" i="8"/>
  <c r="F577" i="8"/>
  <c r="E576" i="8"/>
  <c r="F576" i="8"/>
  <c r="E575" i="8"/>
  <c r="F575" i="8"/>
  <c r="E955" i="7"/>
  <c r="F955" i="7"/>
  <c r="H955" i="7"/>
  <c r="E583" i="8"/>
  <c r="F583" i="8"/>
  <c r="F246" i="8"/>
  <c r="E246" i="8"/>
  <c r="E579" i="8"/>
  <c r="F579" i="8"/>
  <c r="F388" i="35"/>
  <c r="G388" i="35" s="1"/>
  <c r="J388" i="35"/>
  <c r="L388" i="35"/>
  <c r="F387" i="35"/>
  <c r="G387" i="35" s="1"/>
  <c r="J387" i="35"/>
  <c r="L387" i="35"/>
  <c r="F386" i="35"/>
  <c r="G386" i="35" s="1"/>
  <c r="J386" i="35"/>
  <c r="L386" i="35"/>
  <c r="L405" i="35"/>
  <c r="L406" i="35"/>
  <c r="F405" i="35"/>
  <c r="H405" i="35" s="1"/>
  <c r="J405" i="35"/>
  <c r="F406" i="35"/>
  <c r="H406" i="35" s="1"/>
  <c r="J406" i="35"/>
  <c r="I789" i="36"/>
  <c r="I790" i="36"/>
  <c r="I791" i="36"/>
  <c r="I792" i="36"/>
  <c r="F792" i="36"/>
  <c r="H792" i="36" s="1"/>
  <c r="K792" i="36"/>
  <c r="F70" i="35"/>
  <c r="G70" i="35" s="1"/>
  <c r="J70" i="35"/>
  <c r="F791" i="36"/>
  <c r="H791" i="36" s="1"/>
  <c r="K791" i="36"/>
  <c r="E366" i="8"/>
  <c r="G410" i="35" l="1"/>
  <c r="H796" i="36"/>
  <c r="G413" i="35"/>
  <c r="G407" i="35"/>
  <c r="H410" i="35"/>
  <c r="H413" i="35"/>
  <c r="G795" i="36"/>
  <c r="H691" i="36"/>
  <c r="I415" i="35"/>
  <c r="H415" i="35"/>
  <c r="G415" i="35"/>
  <c r="G414" i="35"/>
  <c r="I414" i="35"/>
  <c r="H693" i="36"/>
  <c r="H692" i="36"/>
  <c r="G794" i="36"/>
  <c r="H690" i="36"/>
  <c r="H731" i="36"/>
  <c r="H408" i="35"/>
  <c r="I408" i="35"/>
  <c r="I409" i="35"/>
  <c r="G409" i="35"/>
  <c r="I388" i="35"/>
  <c r="G793" i="36"/>
  <c r="H407" i="35"/>
  <c r="H779" i="36"/>
  <c r="H788" i="36"/>
  <c r="H787" i="36"/>
  <c r="H786" i="36"/>
  <c r="H785" i="36"/>
  <c r="H784" i="36"/>
  <c r="H783" i="36"/>
  <c r="H388" i="35"/>
  <c r="I387" i="35"/>
  <c r="H387" i="35"/>
  <c r="I386" i="35"/>
  <c r="H386" i="35"/>
  <c r="I405" i="35"/>
  <c r="I406" i="35"/>
  <c r="G405" i="35"/>
  <c r="G792" i="36"/>
  <c r="G791" i="36"/>
  <c r="G406" i="35"/>
  <c r="F782" i="36"/>
  <c r="G782" i="36" s="1"/>
  <c r="I782" i="36"/>
  <c r="K782" i="36"/>
  <c r="F770" i="36"/>
  <c r="G770" i="36" s="1"/>
  <c r="I770" i="36"/>
  <c r="K770" i="36"/>
  <c r="E562" i="8"/>
  <c r="F562" i="8"/>
  <c r="H782" i="36" l="1"/>
  <c r="H770" i="36"/>
  <c r="K789" i="36"/>
  <c r="K790" i="36"/>
  <c r="F789" i="36"/>
  <c r="F790" i="36"/>
  <c r="F385" i="35"/>
  <c r="I385" i="35" s="1"/>
  <c r="J385" i="35"/>
  <c r="L385" i="35"/>
  <c r="G789" i="36" l="1"/>
  <c r="H789" i="36"/>
  <c r="H790" i="36"/>
  <c r="G790" i="36"/>
  <c r="H385" i="35"/>
  <c r="G385" i="35"/>
  <c r="F397" i="35"/>
  <c r="G397" i="35" l="1"/>
  <c r="J397" i="35"/>
  <c r="L397" i="35"/>
  <c r="F396" i="35"/>
  <c r="G396" i="35" s="1"/>
  <c r="J396" i="35"/>
  <c r="L396" i="35"/>
  <c r="F394" i="35"/>
  <c r="G394" i="35" s="1"/>
  <c r="J394" i="35"/>
  <c r="L394" i="35"/>
  <c r="I394" i="35" l="1"/>
  <c r="H394" i="35"/>
  <c r="I396" i="35"/>
  <c r="I397" i="35"/>
  <c r="H397" i="35"/>
  <c r="H396" i="35"/>
  <c r="F393" i="35"/>
  <c r="G393" i="35" s="1"/>
  <c r="J393" i="35"/>
  <c r="L393" i="35"/>
  <c r="F392" i="35"/>
  <c r="G392" i="35" s="1"/>
  <c r="J392" i="35"/>
  <c r="L392" i="35"/>
  <c r="F391" i="35"/>
  <c r="G391" i="35" s="1"/>
  <c r="J391" i="35"/>
  <c r="L391" i="35"/>
  <c r="H391" i="35" l="1"/>
  <c r="I391" i="35"/>
  <c r="H393" i="35"/>
  <c r="H392" i="35"/>
  <c r="I393" i="35"/>
  <c r="I392" i="35"/>
  <c r="F390" i="35" l="1"/>
  <c r="G390" i="35" s="1"/>
  <c r="J390" i="35"/>
  <c r="L390" i="35"/>
  <c r="I390" i="35" l="1"/>
  <c r="H390" i="35"/>
  <c r="L402" i="35"/>
  <c r="L403" i="35"/>
  <c r="L404" i="35"/>
  <c r="J402" i="35"/>
  <c r="J403" i="35"/>
  <c r="J404" i="35"/>
  <c r="F402" i="35"/>
  <c r="G402" i="35" s="1"/>
  <c r="F403" i="35"/>
  <c r="I403" i="35" s="1"/>
  <c r="F404" i="35"/>
  <c r="I404" i="35" s="1"/>
  <c r="H403" i="35" l="1"/>
  <c r="G404" i="35"/>
  <c r="H402" i="35"/>
  <c r="I402" i="35"/>
  <c r="G403" i="35"/>
  <c r="H404" i="35"/>
  <c r="E430" i="7"/>
  <c r="F430" i="7"/>
  <c r="H430" i="7"/>
  <c r="I3" i="36" l="1"/>
  <c r="I4" i="36"/>
  <c r="I5" i="36"/>
  <c r="I6" i="36"/>
  <c r="I7" i="36"/>
  <c r="I8" i="36"/>
  <c r="I9" i="36"/>
  <c r="I10" i="36"/>
  <c r="I11" i="36"/>
  <c r="I12" i="36"/>
  <c r="I13" i="36"/>
  <c r="I14" i="36"/>
  <c r="I15" i="36"/>
  <c r="I16" i="36"/>
  <c r="I17" i="36"/>
  <c r="I18" i="36"/>
  <c r="I19" i="36"/>
  <c r="I20" i="36"/>
  <c r="I21" i="36"/>
  <c r="I22" i="36"/>
  <c r="I23" i="36"/>
  <c r="I24" i="36"/>
  <c r="I25" i="36"/>
  <c r="I26" i="36"/>
  <c r="I27" i="36"/>
  <c r="I28" i="36"/>
  <c r="I29" i="36"/>
  <c r="I30" i="36"/>
  <c r="I31" i="36"/>
  <c r="I32" i="36"/>
  <c r="I33" i="36"/>
  <c r="I34" i="36"/>
  <c r="I35" i="36"/>
  <c r="I36" i="36"/>
  <c r="I37" i="36"/>
  <c r="I38" i="36"/>
  <c r="I39" i="36"/>
  <c r="I40" i="36"/>
  <c r="I41" i="36"/>
  <c r="I42" i="36"/>
  <c r="I43" i="36"/>
  <c r="I44" i="36"/>
  <c r="I45" i="36"/>
  <c r="I46" i="36"/>
  <c r="I47" i="36"/>
  <c r="I48" i="36"/>
  <c r="I49" i="36"/>
  <c r="I50" i="36"/>
  <c r="I51" i="36"/>
  <c r="I52" i="36"/>
  <c r="I53" i="36"/>
  <c r="I54" i="36"/>
  <c r="I55" i="36"/>
  <c r="I56" i="36"/>
  <c r="I57" i="36"/>
  <c r="I58" i="36"/>
  <c r="I59" i="36"/>
  <c r="I60" i="36"/>
  <c r="I61" i="36"/>
  <c r="I62" i="36"/>
  <c r="I63" i="36"/>
  <c r="I64" i="36"/>
  <c r="I65" i="36"/>
  <c r="I66" i="36"/>
  <c r="I67" i="36"/>
  <c r="I68" i="36"/>
  <c r="I69" i="36"/>
  <c r="I70" i="36"/>
  <c r="I71" i="36"/>
  <c r="I72" i="36"/>
  <c r="I73" i="36"/>
  <c r="I74" i="36"/>
  <c r="I75" i="36"/>
  <c r="I76" i="36"/>
  <c r="I77" i="36"/>
  <c r="I78" i="36"/>
  <c r="I79" i="36"/>
  <c r="I80" i="36"/>
  <c r="I81" i="36"/>
  <c r="I82" i="36"/>
  <c r="I83" i="36"/>
  <c r="I84" i="36"/>
  <c r="I85" i="36"/>
  <c r="I86" i="36"/>
  <c r="I87" i="36"/>
  <c r="I88" i="36"/>
  <c r="I89" i="36"/>
  <c r="I90" i="36"/>
  <c r="I91" i="36"/>
  <c r="I92" i="36"/>
  <c r="I93" i="36"/>
  <c r="I94" i="36"/>
  <c r="I95" i="36"/>
  <c r="I96" i="36"/>
  <c r="I97" i="36"/>
  <c r="I98" i="36"/>
  <c r="I99" i="36"/>
  <c r="I100" i="36"/>
  <c r="I101" i="36"/>
  <c r="I102" i="36"/>
  <c r="I103" i="36"/>
  <c r="I104" i="36"/>
  <c r="I105" i="36"/>
  <c r="I106" i="36"/>
  <c r="I107" i="36"/>
  <c r="I108" i="36"/>
  <c r="I109" i="36"/>
  <c r="I110" i="36"/>
  <c r="I111" i="36"/>
  <c r="I112" i="36"/>
  <c r="I113" i="36"/>
  <c r="I114" i="36"/>
  <c r="I115" i="36"/>
  <c r="I116" i="36"/>
  <c r="I117" i="36"/>
  <c r="I118" i="36"/>
  <c r="I119" i="36"/>
  <c r="I120" i="36"/>
  <c r="I121" i="36"/>
  <c r="I122" i="36"/>
  <c r="I123" i="36"/>
  <c r="I124" i="36"/>
  <c r="I125" i="36"/>
  <c r="I126" i="36"/>
  <c r="I127" i="36"/>
  <c r="I128" i="36"/>
  <c r="I129" i="36"/>
  <c r="I130" i="36"/>
  <c r="I131" i="36"/>
  <c r="I132" i="36"/>
  <c r="I133" i="36"/>
  <c r="I134" i="36"/>
  <c r="I135" i="36"/>
  <c r="I136" i="36"/>
  <c r="I137" i="36"/>
  <c r="I138" i="36"/>
  <c r="I139" i="36"/>
  <c r="I140" i="36"/>
  <c r="I141" i="36"/>
  <c r="I142" i="36"/>
  <c r="I143" i="36"/>
  <c r="I144" i="36"/>
  <c r="I145" i="36"/>
  <c r="I146" i="36"/>
  <c r="I147" i="36"/>
  <c r="I148" i="36"/>
  <c r="I149" i="36"/>
  <c r="I150" i="36"/>
  <c r="I151" i="36"/>
  <c r="I152" i="36"/>
  <c r="I153" i="36"/>
  <c r="I154" i="36"/>
  <c r="I155" i="36"/>
  <c r="I156" i="36"/>
  <c r="I157" i="36"/>
  <c r="I158" i="36"/>
  <c r="I159" i="36"/>
  <c r="I160" i="36"/>
  <c r="I161" i="36"/>
  <c r="I162" i="36"/>
  <c r="I163" i="36"/>
  <c r="I164" i="36"/>
  <c r="I165" i="36"/>
  <c r="I166" i="36"/>
  <c r="I167" i="36"/>
  <c r="I168" i="36"/>
  <c r="I169" i="36"/>
  <c r="I170" i="36"/>
  <c r="I171" i="36"/>
  <c r="I172" i="36"/>
  <c r="I173" i="36"/>
  <c r="I174" i="36"/>
  <c r="I175" i="36"/>
  <c r="I176" i="36"/>
  <c r="I177" i="36"/>
  <c r="I178" i="36"/>
  <c r="I179" i="36"/>
  <c r="I180" i="36"/>
  <c r="I181" i="36"/>
  <c r="I182" i="36"/>
  <c r="I183" i="36"/>
  <c r="I184" i="36"/>
  <c r="I185" i="36"/>
  <c r="I186" i="36"/>
  <c r="I187" i="36"/>
  <c r="I188" i="36"/>
  <c r="I189" i="36"/>
  <c r="I190" i="36"/>
  <c r="I191" i="36"/>
  <c r="I192" i="36"/>
  <c r="I193" i="36"/>
  <c r="I194" i="36"/>
  <c r="I195" i="36"/>
  <c r="I196" i="36"/>
  <c r="I197" i="36"/>
  <c r="I198" i="36"/>
  <c r="I199" i="36"/>
  <c r="I200" i="36"/>
  <c r="I201" i="36"/>
  <c r="I202" i="36"/>
  <c r="I203" i="36"/>
  <c r="I204" i="36"/>
  <c r="I205" i="36"/>
  <c r="I206" i="36"/>
  <c r="I207" i="36"/>
  <c r="I208" i="36"/>
  <c r="I209" i="36"/>
  <c r="I210" i="36"/>
  <c r="I211" i="36"/>
  <c r="I212" i="36"/>
  <c r="I213" i="36"/>
  <c r="I214" i="36"/>
  <c r="I215" i="36"/>
  <c r="I216" i="36"/>
  <c r="I217" i="36"/>
  <c r="I218" i="36"/>
  <c r="I219" i="36"/>
  <c r="I220" i="36"/>
  <c r="I221" i="36"/>
  <c r="I222" i="36"/>
  <c r="I223" i="36"/>
  <c r="I224" i="36"/>
  <c r="I225" i="36"/>
  <c r="I226" i="36"/>
  <c r="I227" i="36"/>
  <c r="I228" i="36"/>
  <c r="I229" i="36"/>
  <c r="I230" i="36"/>
  <c r="I231" i="36"/>
  <c r="I232" i="36"/>
  <c r="I233" i="36"/>
  <c r="I234" i="36"/>
  <c r="I235" i="36"/>
  <c r="I236" i="36"/>
  <c r="I237" i="36"/>
  <c r="I238" i="36"/>
  <c r="I239" i="36"/>
  <c r="I240" i="36"/>
  <c r="I241" i="36"/>
  <c r="I242" i="36"/>
  <c r="I243" i="36"/>
  <c r="I244" i="36"/>
  <c r="I245" i="36"/>
  <c r="I246" i="36"/>
  <c r="I247" i="36"/>
  <c r="I248" i="36"/>
  <c r="I249" i="36"/>
  <c r="I250" i="36"/>
  <c r="I251" i="36"/>
  <c r="I252" i="36"/>
  <c r="I253" i="36"/>
  <c r="I254" i="36"/>
  <c r="I255" i="36"/>
  <c r="I256" i="36"/>
  <c r="I257" i="36"/>
  <c r="I258" i="36"/>
  <c r="I259" i="36"/>
  <c r="I260" i="36"/>
  <c r="I261" i="36"/>
  <c r="I262" i="36"/>
  <c r="I263" i="36"/>
  <c r="I264" i="36"/>
  <c r="I265" i="36"/>
  <c r="I266" i="36"/>
  <c r="I267" i="36"/>
  <c r="I268" i="36"/>
  <c r="I269" i="36"/>
  <c r="I270" i="36"/>
  <c r="I271" i="36"/>
  <c r="I272" i="36"/>
  <c r="I273" i="36"/>
  <c r="I274" i="36"/>
  <c r="I275" i="36"/>
  <c r="I276" i="36"/>
  <c r="I277" i="36"/>
  <c r="I278" i="36"/>
  <c r="I279" i="36"/>
  <c r="I280" i="36"/>
  <c r="I281" i="36"/>
  <c r="I282" i="36"/>
  <c r="I283" i="36"/>
  <c r="I284" i="36"/>
  <c r="I285" i="36"/>
  <c r="I286" i="36"/>
  <c r="I287" i="36"/>
  <c r="I288" i="36"/>
  <c r="I289" i="36"/>
  <c r="I290" i="36"/>
  <c r="I291" i="36"/>
  <c r="I292" i="36"/>
  <c r="I293" i="36"/>
  <c r="I294" i="36"/>
  <c r="I295" i="36"/>
  <c r="I296" i="36"/>
  <c r="I297" i="36"/>
  <c r="I298" i="36"/>
  <c r="I299" i="36"/>
  <c r="I300" i="36"/>
  <c r="I301" i="36"/>
  <c r="I302" i="36"/>
  <c r="I303" i="36"/>
  <c r="I304" i="36"/>
  <c r="I305" i="36"/>
  <c r="I306" i="36"/>
  <c r="I307" i="36"/>
  <c r="I308" i="36"/>
  <c r="I309" i="36"/>
  <c r="I310" i="36"/>
  <c r="I311" i="36"/>
  <c r="I312" i="36"/>
  <c r="I313" i="36"/>
  <c r="I314" i="36"/>
  <c r="I315" i="36"/>
  <c r="I316" i="36"/>
  <c r="I317" i="36"/>
  <c r="I318" i="36"/>
  <c r="I319" i="36"/>
  <c r="I320" i="36"/>
  <c r="I321" i="36"/>
  <c r="I322" i="36"/>
  <c r="I323" i="36"/>
  <c r="I324" i="36"/>
  <c r="I325" i="36"/>
  <c r="I326" i="36"/>
  <c r="I327" i="36"/>
  <c r="I328" i="36"/>
  <c r="I329" i="36"/>
  <c r="I330" i="36"/>
  <c r="I331" i="36"/>
  <c r="I332" i="36"/>
  <c r="I333" i="36"/>
  <c r="I334" i="36"/>
  <c r="I335" i="36"/>
  <c r="I336" i="36"/>
  <c r="I337" i="36"/>
  <c r="I338" i="36"/>
  <c r="I339" i="36"/>
  <c r="I340" i="36"/>
  <c r="I341" i="36"/>
  <c r="I342" i="36"/>
  <c r="I343" i="36"/>
  <c r="I344" i="36"/>
  <c r="I345" i="36"/>
  <c r="I346" i="36"/>
  <c r="I347" i="36"/>
  <c r="I348" i="36"/>
  <c r="I349" i="36"/>
  <c r="I350" i="36"/>
  <c r="I351" i="36"/>
  <c r="I352" i="36"/>
  <c r="I353" i="36"/>
  <c r="I354" i="36"/>
  <c r="I355" i="36"/>
  <c r="I356" i="36"/>
  <c r="I357" i="36"/>
  <c r="I358" i="36"/>
  <c r="I359" i="36"/>
  <c r="I360" i="36"/>
  <c r="I361" i="36"/>
  <c r="I362" i="36"/>
  <c r="I363" i="36"/>
  <c r="I364" i="36"/>
  <c r="I365" i="36"/>
  <c r="I366" i="36"/>
  <c r="I367" i="36"/>
  <c r="I368" i="36"/>
  <c r="I369" i="36"/>
  <c r="I370" i="36"/>
  <c r="I371" i="36"/>
  <c r="I372" i="36"/>
  <c r="I373" i="36"/>
  <c r="I374" i="36"/>
  <c r="I375" i="36"/>
  <c r="I376" i="36"/>
  <c r="I377" i="36"/>
  <c r="I378" i="36"/>
  <c r="I379" i="36"/>
  <c r="I380" i="36"/>
  <c r="I382" i="36"/>
  <c r="I383" i="36"/>
  <c r="I384" i="36"/>
  <c r="I385" i="36"/>
  <c r="I386" i="36"/>
  <c r="I387" i="36"/>
  <c r="I388" i="36"/>
  <c r="I389" i="36"/>
  <c r="I390" i="36"/>
  <c r="I391" i="36"/>
  <c r="I392" i="36"/>
  <c r="I393" i="36"/>
  <c r="I394" i="36"/>
  <c r="I395" i="36"/>
  <c r="I396" i="36"/>
  <c r="I397" i="36"/>
  <c r="I398" i="36"/>
  <c r="I399" i="36"/>
  <c r="I400" i="36"/>
  <c r="I401" i="36"/>
  <c r="I402" i="36"/>
  <c r="I403" i="36"/>
  <c r="I404" i="36"/>
  <c r="I405" i="36"/>
  <c r="I406" i="36"/>
  <c r="I407" i="36"/>
  <c r="I408" i="36"/>
  <c r="I409" i="36"/>
  <c r="I410" i="36"/>
  <c r="I411" i="36"/>
  <c r="I413" i="36"/>
  <c r="I414" i="36"/>
  <c r="I415" i="36"/>
  <c r="I416" i="36"/>
  <c r="I417" i="36"/>
  <c r="I418" i="36"/>
  <c r="I419" i="36"/>
  <c r="I420" i="36"/>
  <c r="I421" i="36"/>
  <c r="I422" i="36"/>
  <c r="I423" i="36"/>
  <c r="I424" i="36"/>
  <c r="I425" i="36"/>
  <c r="I426" i="36"/>
  <c r="I427" i="36"/>
  <c r="I428" i="36"/>
  <c r="I429" i="36"/>
  <c r="I430" i="36"/>
  <c r="I431" i="36"/>
  <c r="I432" i="36"/>
  <c r="I433" i="36"/>
  <c r="I434" i="36"/>
  <c r="I435" i="36"/>
  <c r="I436" i="36"/>
  <c r="I437" i="36"/>
  <c r="I438" i="36"/>
  <c r="I439" i="36"/>
  <c r="I440" i="36"/>
  <c r="I441" i="36"/>
  <c r="I442" i="36"/>
  <c r="I443" i="36"/>
  <c r="I444" i="36"/>
  <c r="I445" i="36"/>
  <c r="I446" i="36"/>
  <c r="I447" i="36"/>
  <c r="I448" i="36"/>
  <c r="I449" i="36"/>
  <c r="I450" i="36"/>
  <c r="I451" i="36"/>
  <c r="I452" i="36"/>
  <c r="I453" i="36"/>
  <c r="I454" i="36"/>
  <c r="I455" i="36"/>
  <c r="I456" i="36"/>
  <c r="I457" i="36"/>
  <c r="I458" i="36"/>
  <c r="I459" i="36"/>
  <c r="I460" i="36"/>
  <c r="I461" i="36"/>
  <c r="I462" i="36"/>
  <c r="I463" i="36"/>
  <c r="I464" i="36"/>
  <c r="I465" i="36"/>
  <c r="I466" i="36"/>
  <c r="I467" i="36"/>
  <c r="I468" i="36"/>
  <c r="I469" i="36"/>
  <c r="I470" i="36"/>
  <c r="I471" i="36"/>
  <c r="I472" i="36"/>
  <c r="I473" i="36"/>
  <c r="I474" i="36"/>
  <c r="I475" i="36"/>
  <c r="I476" i="36"/>
  <c r="I477" i="36"/>
  <c r="I478" i="36"/>
  <c r="I479" i="36"/>
  <c r="I480" i="36"/>
  <c r="I481" i="36"/>
  <c r="I482" i="36"/>
  <c r="I483" i="36"/>
  <c r="I484" i="36"/>
  <c r="I485" i="36"/>
  <c r="I486" i="36"/>
  <c r="I487" i="36"/>
  <c r="I488" i="36"/>
  <c r="I489" i="36"/>
  <c r="I490" i="36"/>
  <c r="I491" i="36"/>
  <c r="I492" i="36"/>
  <c r="I493" i="36"/>
  <c r="I494" i="36"/>
  <c r="I495" i="36"/>
  <c r="I496" i="36"/>
  <c r="I497" i="36"/>
  <c r="I498" i="36"/>
  <c r="I499" i="36"/>
  <c r="I500" i="36"/>
  <c r="I501" i="36"/>
  <c r="I502" i="36"/>
  <c r="I503" i="36"/>
  <c r="I504" i="36"/>
  <c r="I505" i="36"/>
  <c r="I506" i="36"/>
  <c r="I507" i="36"/>
  <c r="I508" i="36"/>
  <c r="I509" i="36"/>
  <c r="I510" i="36"/>
  <c r="I511" i="36"/>
  <c r="I512" i="36"/>
  <c r="I513" i="36"/>
  <c r="I514" i="36"/>
  <c r="I515" i="36"/>
  <c r="I516" i="36"/>
  <c r="I517" i="36"/>
  <c r="I518" i="36"/>
  <c r="I519" i="36"/>
  <c r="I520" i="36"/>
  <c r="I521" i="36"/>
  <c r="I522" i="36"/>
  <c r="I523" i="36"/>
  <c r="I524" i="36"/>
  <c r="I525" i="36"/>
  <c r="I526" i="36"/>
  <c r="I527" i="36"/>
  <c r="I528" i="36"/>
  <c r="I529" i="36"/>
  <c r="I530" i="36"/>
  <c r="I531" i="36"/>
  <c r="I532" i="36"/>
  <c r="I533" i="36"/>
  <c r="I534" i="36"/>
  <c r="I535" i="36"/>
  <c r="I536" i="36"/>
  <c r="I537" i="36"/>
  <c r="I538" i="36"/>
  <c r="I539" i="36"/>
  <c r="I540" i="36"/>
  <c r="I541" i="36"/>
  <c r="I542" i="36"/>
  <c r="I543" i="36"/>
  <c r="I544" i="36"/>
  <c r="I545" i="36"/>
  <c r="I546" i="36"/>
  <c r="I547" i="36"/>
  <c r="I548" i="36"/>
  <c r="I549" i="36"/>
  <c r="I550" i="36"/>
  <c r="I551" i="36"/>
  <c r="I552" i="36"/>
  <c r="I553" i="36"/>
  <c r="I554" i="36"/>
  <c r="I555" i="36"/>
  <c r="I556" i="36"/>
  <c r="I557" i="36"/>
  <c r="I558" i="36"/>
  <c r="I559" i="36"/>
  <c r="I560" i="36"/>
  <c r="I561" i="36"/>
  <c r="I562" i="36"/>
  <c r="I563" i="36"/>
  <c r="I564" i="36"/>
  <c r="I565" i="36"/>
  <c r="I566" i="36"/>
  <c r="I567" i="36"/>
  <c r="I568" i="36"/>
  <c r="I569" i="36"/>
  <c r="I570" i="36"/>
  <c r="I571" i="36"/>
  <c r="I572" i="36"/>
  <c r="I573" i="36"/>
  <c r="I574" i="36"/>
  <c r="I575" i="36"/>
  <c r="I576" i="36"/>
  <c r="I577" i="36"/>
  <c r="I578" i="36"/>
  <c r="I579" i="36"/>
  <c r="I580" i="36"/>
  <c r="I581" i="36"/>
  <c r="I582" i="36"/>
  <c r="I583" i="36"/>
  <c r="I584" i="36"/>
  <c r="I585" i="36"/>
  <c r="I586" i="36"/>
  <c r="I587" i="36"/>
  <c r="I588" i="36"/>
  <c r="I589" i="36"/>
  <c r="I590" i="36"/>
  <c r="I591" i="36"/>
  <c r="I592" i="36"/>
  <c r="I593" i="36"/>
  <c r="I594" i="36"/>
  <c r="I595" i="36"/>
  <c r="I596" i="36"/>
  <c r="I597" i="36"/>
  <c r="I598" i="36"/>
  <c r="I599" i="36"/>
  <c r="I600" i="36"/>
  <c r="I601" i="36"/>
  <c r="I602" i="36"/>
  <c r="I603" i="36"/>
  <c r="I604" i="36"/>
  <c r="I605" i="36"/>
  <c r="I606" i="36"/>
  <c r="I607" i="36"/>
  <c r="I608" i="36"/>
  <c r="I609" i="36"/>
  <c r="I610" i="36"/>
  <c r="I611" i="36"/>
  <c r="I612" i="36"/>
  <c r="I613" i="36"/>
  <c r="I614" i="36"/>
  <c r="I615" i="36"/>
  <c r="I616" i="36"/>
  <c r="I617" i="36"/>
  <c r="I618" i="36"/>
  <c r="I619" i="36"/>
  <c r="I620" i="36"/>
  <c r="I621" i="36"/>
  <c r="I622" i="36"/>
  <c r="I623" i="36"/>
  <c r="I624" i="36"/>
  <c r="I625" i="36"/>
  <c r="I626" i="36"/>
  <c r="I627" i="36"/>
  <c r="I628" i="36"/>
  <c r="I629" i="36"/>
  <c r="I630" i="36"/>
  <c r="I631" i="36"/>
  <c r="I632" i="36"/>
  <c r="I633" i="36"/>
  <c r="I634" i="36"/>
  <c r="I635" i="36"/>
  <c r="I636" i="36"/>
  <c r="I637" i="36"/>
  <c r="I638" i="36"/>
  <c r="I639" i="36"/>
  <c r="I640" i="36"/>
  <c r="I641" i="36"/>
  <c r="I642" i="36"/>
  <c r="I643" i="36"/>
  <c r="I644" i="36"/>
  <c r="I645" i="36"/>
  <c r="I646" i="36"/>
  <c r="I647" i="36"/>
  <c r="I648" i="36"/>
  <c r="I649" i="36"/>
  <c r="I650" i="36"/>
  <c r="I651" i="36"/>
  <c r="I652" i="36"/>
  <c r="I653" i="36"/>
  <c r="I654" i="36"/>
  <c r="I655" i="36"/>
  <c r="I656" i="36"/>
  <c r="I657" i="36"/>
  <c r="I658" i="36"/>
  <c r="I659" i="36"/>
  <c r="I660" i="36"/>
  <c r="I661" i="36"/>
  <c r="I662" i="36"/>
  <c r="I663" i="36"/>
  <c r="I664" i="36"/>
  <c r="I665" i="36"/>
  <c r="I666" i="36"/>
  <c r="I667" i="36"/>
  <c r="I668" i="36"/>
  <c r="I669" i="36"/>
  <c r="I670" i="36"/>
  <c r="I671" i="36"/>
  <c r="I672" i="36"/>
  <c r="I673" i="36"/>
  <c r="I674" i="36"/>
  <c r="I675" i="36"/>
  <c r="I676" i="36"/>
  <c r="I677" i="36"/>
  <c r="I678" i="36"/>
  <c r="I679" i="36"/>
  <c r="I680" i="36"/>
  <c r="I681" i="36"/>
  <c r="I682" i="36"/>
  <c r="I683" i="36"/>
  <c r="I684" i="36"/>
  <c r="I686" i="36"/>
  <c r="I687" i="36"/>
  <c r="I688" i="36"/>
  <c r="I689" i="36"/>
  <c r="I694" i="36"/>
  <c r="I695" i="36"/>
  <c r="I696" i="36"/>
  <c r="I697" i="36"/>
  <c r="I698" i="36"/>
  <c r="I699" i="36"/>
  <c r="I700" i="36"/>
  <c r="I701" i="36"/>
  <c r="I702" i="36"/>
  <c r="I703" i="36"/>
  <c r="I704" i="36"/>
  <c r="I705" i="36"/>
  <c r="I706" i="36"/>
  <c r="I707" i="36"/>
  <c r="I708" i="36"/>
  <c r="I709" i="36"/>
  <c r="I710" i="36"/>
  <c r="I711" i="36"/>
  <c r="I712" i="36"/>
  <c r="I713" i="36"/>
  <c r="I714" i="36"/>
  <c r="I715" i="36"/>
  <c r="I716" i="36"/>
  <c r="I717" i="36"/>
  <c r="I718" i="36"/>
  <c r="I719" i="36"/>
  <c r="I720" i="36"/>
  <c r="I721" i="36"/>
  <c r="I722" i="36"/>
  <c r="I723" i="36"/>
  <c r="I724" i="36"/>
  <c r="I725" i="36"/>
  <c r="I726" i="36"/>
  <c r="I727" i="36"/>
  <c r="I728" i="36"/>
  <c r="I729" i="36"/>
  <c r="I730" i="36"/>
  <c r="I732" i="36"/>
  <c r="I733" i="36"/>
  <c r="I734" i="36"/>
  <c r="I735" i="36"/>
  <c r="I736" i="36"/>
  <c r="I737" i="36"/>
  <c r="I738" i="36"/>
  <c r="I739" i="36"/>
  <c r="I740" i="36"/>
  <c r="I741" i="36"/>
  <c r="I742" i="36"/>
  <c r="I743" i="36"/>
  <c r="I744" i="36"/>
  <c r="I745" i="36"/>
  <c r="I746" i="36"/>
  <c r="I747" i="36"/>
  <c r="I748" i="36"/>
  <c r="I749" i="36"/>
  <c r="I750" i="36"/>
  <c r="I751" i="36"/>
  <c r="I752" i="36"/>
  <c r="I753" i="36"/>
  <c r="I754" i="36"/>
  <c r="I755" i="36"/>
  <c r="I756" i="36"/>
  <c r="I757" i="36"/>
  <c r="I758" i="36"/>
  <c r="I759" i="36"/>
  <c r="I760" i="36"/>
  <c r="I761" i="36"/>
  <c r="I762" i="36"/>
  <c r="I763" i="36"/>
  <c r="I764" i="36"/>
  <c r="I685" i="36"/>
  <c r="I766" i="36"/>
  <c r="I765" i="36"/>
  <c r="I769" i="36"/>
  <c r="I768" i="36"/>
  <c r="I767" i="36"/>
  <c r="I771" i="36"/>
  <c r="I773" i="36"/>
  <c r="I774" i="36"/>
  <c r="I775" i="36"/>
  <c r="I776" i="36"/>
  <c r="I778" i="36"/>
  <c r="I772" i="36"/>
  <c r="I777" i="36"/>
  <c r="I780" i="36"/>
  <c r="I781" i="36"/>
  <c r="I412" i="36"/>
  <c r="I2" i="36"/>
  <c r="F389" i="35" l="1"/>
  <c r="G389" i="35" s="1"/>
  <c r="J389" i="35"/>
  <c r="L389" i="35"/>
  <c r="F384" i="35"/>
  <c r="G384" i="35" s="1"/>
  <c r="J384" i="35"/>
  <c r="L384" i="35"/>
  <c r="K3" i="36"/>
  <c r="K4" i="36"/>
  <c r="K5" i="36"/>
  <c r="K6" i="36"/>
  <c r="K7" i="36"/>
  <c r="K8" i="36"/>
  <c r="K9" i="36"/>
  <c r="K10" i="36"/>
  <c r="K11" i="36"/>
  <c r="K12" i="36"/>
  <c r="K13" i="36"/>
  <c r="K14" i="36"/>
  <c r="K15" i="36"/>
  <c r="K16" i="36"/>
  <c r="K17" i="36"/>
  <c r="K18" i="36"/>
  <c r="K19" i="36"/>
  <c r="K20" i="36"/>
  <c r="K21" i="36"/>
  <c r="K22" i="36"/>
  <c r="K23" i="36"/>
  <c r="K24" i="36"/>
  <c r="K25" i="36"/>
  <c r="K26" i="36"/>
  <c r="K27" i="36"/>
  <c r="K28" i="36"/>
  <c r="K29" i="36"/>
  <c r="K30" i="36"/>
  <c r="K31" i="36"/>
  <c r="K32" i="36"/>
  <c r="K33" i="36"/>
  <c r="K34" i="36"/>
  <c r="K35" i="36"/>
  <c r="K36" i="36"/>
  <c r="K37" i="36"/>
  <c r="K38" i="36"/>
  <c r="K39" i="36"/>
  <c r="K40" i="36"/>
  <c r="K41" i="36"/>
  <c r="K42" i="36"/>
  <c r="K43" i="36"/>
  <c r="K44" i="36"/>
  <c r="K45" i="36"/>
  <c r="K46" i="36"/>
  <c r="K47" i="36"/>
  <c r="K48" i="36"/>
  <c r="K49" i="36"/>
  <c r="K50" i="36"/>
  <c r="K51" i="36"/>
  <c r="K52" i="36"/>
  <c r="K53" i="36"/>
  <c r="K54" i="36"/>
  <c r="K55" i="36"/>
  <c r="K56" i="36"/>
  <c r="K57" i="36"/>
  <c r="K58" i="36"/>
  <c r="K59" i="36"/>
  <c r="K60" i="36"/>
  <c r="K61" i="36"/>
  <c r="K62" i="36"/>
  <c r="K63" i="36"/>
  <c r="K64" i="36"/>
  <c r="K65" i="36"/>
  <c r="K66" i="36"/>
  <c r="K67" i="36"/>
  <c r="K68" i="36"/>
  <c r="K69" i="36"/>
  <c r="K70" i="36"/>
  <c r="K71" i="36"/>
  <c r="K72" i="36"/>
  <c r="K73" i="36"/>
  <c r="K74" i="36"/>
  <c r="K75" i="36"/>
  <c r="K76" i="36"/>
  <c r="K77" i="36"/>
  <c r="K78" i="36"/>
  <c r="K79" i="36"/>
  <c r="K80" i="36"/>
  <c r="K81" i="36"/>
  <c r="K82" i="36"/>
  <c r="K83" i="36"/>
  <c r="K84" i="36"/>
  <c r="K85" i="36"/>
  <c r="K86" i="36"/>
  <c r="K87" i="36"/>
  <c r="K88" i="36"/>
  <c r="K89" i="36"/>
  <c r="K90" i="36"/>
  <c r="K91" i="36"/>
  <c r="K92" i="36"/>
  <c r="K93" i="36"/>
  <c r="K94" i="36"/>
  <c r="K95" i="36"/>
  <c r="K96" i="36"/>
  <c r="K97" i="36"/>
  <c r="K98" i="36"/>
  <c r="K99" i="36"/>
  <c r="K100" i="36"/>
  <c r="K101" i="36"/>
  <c r="K102" i="36"/>
  <c r="K103" i="36"/>
  <c r="K104" i="36"/>
  <c r="K105" i="36"/>
  <c r="K106" i="36"/>
  <c r="K107" i="36"/>
  <c r="K108" i="36"/>
  <c r="K109" i="36"/>
  <c r="K110" i="36"/>
  <c r="K111" i="36"/>
  <c r="K112" i="36"/>
  <c r="K113" i="36"/>
  <c r="K114" i="36"/>
  <c r="K115" i="36"/>
  <c r="K116" i="36"/>
  <c r="K117" i="36"/>
  <c r="K118" i="36"/>
  <c r="K119" i="36"/>
  <c r="K120" i="36"/>
  <c r="K121" i="36"/>
  <c r="K122" i="36"/>
  <c r="K123" i="36"/>
  <c r="K124" i="36"/>
  <c r="K125" i="36"/>
  <c r="K126" i="36"/>
  <c r="K127" i="36"/>
  <c r="K128" i="36"/>
  <c r="K129" i="36"/>
  <c r="K130" i="36"/>
  <c r="K131" i="36"/>
  <c r="K132" i="36"/>
  <c r="K133" i="36"/>
  <c r="K134" i="36"/>
  <c r="K135" i="36"/>
  <c r="K136" i="36"/>
  <c r="K137" i="36"/>
  <c r="K138" i="36"/>
  <c r="K139" i="36"/>
  <c r="K140" i="36"/>
  <c r="K141" i="36"/>
  <c r="K142" i="36"/>
  <c r="K143" i="36"/>
  <c r="K144" i="36"/>
  <c r="K145" i="36"/>
  <c r="K146" i="36"/>
  <c r="K147" i="36"/>
  <c r="K148" i="36"/>
  <c r="K149" i="36"/>
  <c r="K150" i="36"/>
  <c r="K151" i="36"/>
  <c r="K152" i="36"/>
  <c r="K153" i="36"/>
  <c r="K154" i="36"/>
  <c r="K155" i="36"/>
  <c r="K156" i="36"/>
  <c r="K157" i="36"/>
  <c r="K158" i="36"/>
  <c r="K159" i="36"/>
  <c r="K160" i="36"/>
  <c r="K161" i="36"/>
  <c r="K162" i="36"/>
  <c r="K163" i="36"/>
  <c r="K164" i="36"/>
  <c r="K165" i="36"/>
  <c r="K166" i="36"/>
  <c r="K167" i="36"/>
  <c r="K168" i="36"/>
  <c r="K169" i="36"/>
  <c r="K170" i="36"/>
  <c r="K171" i="36"/>
  <c r="K172" i="36"/>
  <c r="K173" i="36"/>
  <c r="K174" i="36"/>
  <c r="K175" i="36"/>
  <c r="K176" i="36"/>
  <c r="K177" i="36"/>
  <c r="K178" i="36"/>
  <c r="K179" i="36"/>
  <c r="K180" i="36"/>
  <c r="K181" i="36"/>
  <c r="K182" i="36"/>
  <c r="K183" i="36"/>
  <c r="K184" i="36"/>
  <c r="K185" i="36"/>
  <c r="K186" i="36"/>
  <c r="K187" i="36"/>
  <c r="K188" i="36"/>
  <c r="K189" i="36"/>
  <c r="K190" i="36"/>
  <c r="K191" i="36"/>
  <c r="K192" i="36"/>
  <c r="K193" i="36"/>
  <c r="K194" i="36"/>
  <c r="K195" i="36"/>
  <c r="K196" i="36"/>
  <c r="K197" i="36"/>
  <c r="K198" i="36"/>
  <c r="K199" i="36"/>
  <c r="K200" i="36"/>
  <c r="K201" i="36"/>
  <c r="K202" i="36"/>
  <c r="K203" i="36"/>
  <c r="K204" i="36"/>
  <c r="K205" i="36"/>
  <c r="K206" i="36"/>
  <c r="K207" i="36"/>
  <c r="K208" i="36"/>
  <c r="K209" i="36"/>
  <c r="K210" i="36"/>
  <c r="K211" i="36"/>
  <c r="K212" i="36"/>
  <c r="K213" i="36"/>
  <c r="K214" i="36"/>
  <c r="K215" i="36"/>
  <c r="K216" i="36"/>
  <c r="K217" i="36"/>
  <c r="K218" i="36"/>
  <c r="K219" i="36"/>
  <c r="K220" i="36"/>
  <c r="K221" i="36"/>
  <c r="K222" i="36"/>
  <c r="K223" i="36"/>
  <c r="K224" i="36"/>
  <c r="K225" i="36"/>
  <c r="K226" i="36"/>
  <c r="K227" i="36"/>
  <c r="K228" i="36"/>
  <c r="K229" i="36"/>
  <c r="K230" i="36"/>
  <c r="K231" i="36"/>
  <c r="K232" i="36"/>
  <c r="K233" i="36"/>
  <c r="K234" i="36"/>
  <c r="K235" i="36"/>
  <c r="K236" i="36"/>
  <c r="K237" i="36"/>
  <c r="K238" i="36"/>
  <c r="K239" i="36"/>
  <c r="K240" i="36"/>
  <c r="K241" i="36"/>
  <c r="K242" i="36"/>
  <c r="K243" i="36"/>
  <c r="K244" i="36"/>
  <c r="K245" i="36"/>
  <c r="K246" i="36"/>
  <c r="K247" i="36"/>
  <c r="K248" i="36"/>
  <c r="K249" i="36"/>
  <c r="K250" i="36"/>
  <c r="K251" i="36"/>
  <c r="K252" i="36"/>
  <c r="K253" i="36"/>
  <c r="K254" i="36"/>
  <c r="K255" i="36"/>
  <c r="K256" i="36"/>
  <c r="K257" i="36"/>
  <c r="K258" i="36"/>
  <c r="K259" i="36"/>
  <c r="K260" i="36"/>
  <c r="K261" i="36"/>
  <c r="K262" i="36"/>
  <c r="K263" i="36"/>
  <c r="K264" i="36"/>
  <c r="K265" i="36"/>
  <c r="K266" i="36"/>
  <c r="K267" i="36"/>
  <c r="K268" i="36"/>
  <c r="K269" i="36"/>
  <c r="K270" i="36"/>
  <c r="K271" i="36"/>
  <c r="K272" i="36"/>
  <c r="K273" i="36"/>
  <c r="K274" i="36"/>
  <c r="K275" i="36"/>
  <c r="K276" i="36"/>
  <c r="K277" i="36"/>
  <c r="K278" i="36"/>
  <c r="K279" i="36"/>
  <c r="K280" i="36"/>
  <c r="K281" i="36"/>
  <c r="K282" i="36"/>
  <c r="K283" i="36"/>
  <c r="K284" i="36"/>
  <c r="K285" i="36"/>
  <c r="K286" i="36"/>
  <c r="K287" i="36"/>
  <c r="K288" i="36"/>
  <c r="K289" i="36"/>
  <c r="K290" i="36"/>
  <c r="K291" i="36"/>
  <c r="K292" i="36"/>
  <c r="K293" i="36"/>
  <c r="K294" i="36"/>
  <c r="K295" i="36"/>
  <c r="K296" i="36"/>
  <c r="K297" i="36"/>
  <c r="K298" i="36"/>
  <c r="K299" i="36"/>
  <c r="K300" i="36"/>
  <c r="K301" i="36"/>
  <c r="K302" i="36"/>
  <c r="K303" i="36"/>
  <c r="K304" i="36"/>
  <c r="K305" i="36"/>
  <c r="K306" i="36"/>
  <c r="K307" i="36"/>
  <c r="K308" i="36"/>
  <c r="K309" i="36"/>
  <c r="K310" i="36"/>
  <c r="K311" i="36"/>
  <c r="K312" i="36"/>
  <c r="K313" i="36"/>
  <c r="K314" i="36"/>
  <c r="K315" i="36"/>
  <c r="K316" i="36"/>
  <c r="K317" i="36"/>
  <c r="K318" i="36"/>
  <c r="K319" i="36"/>
  <c r="K320" i="36"/>
  <c r="K321" i="36"/>
  <c r="K322" i="36"/>
  <c r="K323" i="36"/>
  <c r="K324" i="36"/>
  <c r="K325" i="36"/>
  <c r="K326" i="36"/>
  <c r="K327" i="36"/>
  <c r="K328" i="36"/>
  <c r="K329" i="36"/>
  <c r="K330" i="36"/>
  <c r="K331" i="36"/>
  <c r="K332" i="36"/>
  <c r="K333" i="36"/>
  <c r="K334" i="36"/>
  <c r="K335" i="36"/>
  <c r="K336" i="36"/>
  <c r="K337" i="36"/>
  <c r="K338" i="36"/>
  <c r="K339" i="36"/>
  <c r="K340" i="36"/>
  <c r="K341" i="36"/>
  <c r="K342" i="36"/>
  <c r="K343" i="36"/>
  <c r="K344" i="36"/>
  <c r="K345" i="36"/>
  <c r="K346" i="36"/>
  <c r="K347" i="36"/>
  <c r="K348" i="36"/>
  <c r="K349" i="36"/>
  <c r="K350" i="36"/>
  <c r="K351" i="36"/>
  <c r="K352" i="36"/>
  <c r="K353" i="36"/>
  <c r="K354" i="36"/>
  <c r="K355" i="36"/>
  <c r="K356" i="36"/>
  <c r="K357" i="36"/>
  <c r="K358" i="36"/>
  <c r="K359" i="36"/>
  <c r="K360" i="36"/>
  <c r="K361" i="36"/>
  <c r="K362" i="36"/>
  <c r="K363" i="36"/>
  <c r="K364" i="36"/>
  <c r="K365" i="36"/>
  <c r="K366" i="36"/>
  <c r="K367" i="36"/>
  <c r="K368" i="36"/>
  <c r="K369" i="36"/>
  <c r="K370" i="36"/>
  <c r="K371" i="36"/>
  <c r="K372" i="36"/>
  <c r="K373" i="36"/>
  <c r="K374" i="36"/>
  <c r="K375" i="36"/>
  <c r="K376" i="36"/>
  <c r="K377" i="36"/>
  <c r="K378" i="36"/>
  <c r="K379" i="36"/>
  <c r="K380" i="36"/>
  <c r="K382" i="36"/>
  <c r="K383" i="36"/>
  <c r="K384" i="36"/>
  <c r="K385" i="36"/>
  <c r="K386" i="36"/>
  <c r="K387" i="36"/>
  <c r="K388" i="36"/>
  <c r="K389" i="36"/>
  <c r="K390" i="36"/>
  <c r="K391" i="36"/>
  <c r="K392" i="36"/>
  <c r="K393" i="36"/>
  <c r="K394" i="36"/>
  <c r="K395" i="36"/>
  <c r="K396" i="36"/>
  <c r="K397" i="36"/>
  <c r="K398" i="36"/>
  <c r="K399" i="36"/>
  <c r="K400" i="36"/>
  <c r="K401" i="36"/>
  <c r="K402" i="36"/>
  <c r="K403" i="36"/>
  <c r="K404" i="36"/>
  <c r="K405" i="36"/>
  <c r="K406" i="36"/>
  <c r="K407" i="36"/>
  <c r="K408" i="36"/>
  <c r="K409" i="36"/>
  <c r="K410" i="36"/>
  <c r="K411" i="36"/>
  <c r="K413" i="36"/>
  <c r="K414" i="36"/>
  <c r="K415" i="36"/>
  <c r="K416" i="36"/>
  <c r="K417" i="36"/>
  <c r="K418" i="36"/>
  <c r="K419" i="36"/>
  <c r="K420" i="36"/>
  <c r="K421" i="36"/>
  <c r="K422" i="36"/>
  <c r="K423" i="36"/>
  <c r="K424" i="36"/>
  <c r="K425" i="36"/>
  <c r="K426" i="36"/>
  <c r="K427" i="36"/>
  <c r="K428" i="36"/>
  <c r="K429" i="36"/>
  <c r="K430" i="36"/>
  <c r="K431" i="36"/>
  <c r="K432" i="36"/>
  <c r="K433" i="36"/>
  <c r="K434" i="36"/>
  <c r="K435" i="36"/>
  <c r="K436" i="36"/>
  <c r="K437" i="36"/>
  <c r="K438" i="36"/>
  <c r="K439" i="36"/>
  <c r="K440" i="36"/>
  <c r="K441" i="36"/>
  <c r="K442" i="36"/>
  <c r="K443" i="36"/>
  <c r="K444" i="36"/>
  <c r="K445" i="36"/>
  <c r="K446" i="36"/>
  <c r="K447" i="36"/>
  <c r="K448" i="36"/>
  <c r="K449" i="36"/>
  <c r="K450" i="36"/>
  <c r="K451" i="36"/>
  <c r="K452" i="36"/>
  <c r="K453" i="36"/>
  <c r="K454" i="36"/>
  <c r="K455" i="36"/>
  <c r="K456" i="36"/>
  <c r="K457" i="36"/>
  <c r="K458" i="36"/>
  <c r="K459" i="36"/>
  <c r="K460" i="36"/>
  <c r="K461" i="36"/>
  <c r="K462" i="36"/>
  <c r="K463" i="36"/>
  <c r="K464" i="36"/>
  <c r="K465" i="36"/>
  <c r="K466" i="36"/>
  <c r="K467" i="36"/>
  <c r="K468" i="36"/>
  <c r="K469" i="36"/>
  <c r="K470" i="36"/>
  <c r="K471" i="36"/>
  <c r="K472" i="36"/>
  <c r="K473" i="36"/>
  <c r="K474" i="36"/>
  <c r="K475" i="36"/>
  <c r="K476" i="36"/>
  <c r="K477" i="36"/>
  <c r="K478" i="36"/>
  <c r="K479" i="36"/>
  <c r="K480" i="36"/>
  <c r="K481" i="36"/>
  <c r="K482" i="36"/>
  <c r="K483" i="36"/>
  <c r="K484" i="36"/>
  <c r="K485" i="36"/>
  <c r="K486" i="36"/>
  <c r="K487" i="36"/>
  <c r="K488" i="36"/>
  <c r="K489" i="36"/>
  <c r="K490" i="36"/>
  <c r="K491" i="36"/>
  <c r="K492" i="36"/>
  <c r="K493" i="36"/>
  <c r="K494" i="36"/>
  <c r="K495" i="36"/>
  <c r="K496" i="36"/>
  <c r="K497" i="36"/>
  <c r="K498" i="36"/>
  <c r="K499" i="36"/>
  <c r="K500" i="36"/>
  <c r="K501" i="36"/>
  <c r="K502" i="36"/>
  <c r="K503" i="36"/>
  <c r="K504" i="36"/>
  <c r="K505" i="36"/>
  <c r="K506" i="36"/>
  <c r="K507" i="36"/>
  <c r="K508" i="36"/>
  <c r="K509" i="36"/>
  <c r="K510" i="36"/>
  <c r="K511" i="36"/>
  <c r="K512" i="36"/>
  <c r="K513" i="36"/>
  <c r="K514" i="36"/>
  <c r="K515" i="36"/>
  <c r="K516" i="36"/>
  <c r="K517" i="36"/>
  <c r="K518" i="36"/>
  <c r="K519" i="36"/>
  <c r="K520" i="36"/>
  <c r="K521" i="36"/>
  <c r="K522" i="36"/>
  <c r="K523" i="36"/>
  <c r="K524" i="36"/>
  <c r="K525" i="36"/>
  <c r="K526" i="36"/>
  <c r="K527" i="36"/>
  <c r="K528" i="36"/>
  <c r="K529" i="36"/>
  <c r="K530" i="36"/>
  <c r="K531" i="36"/>
  <c r="K532" i="36"/>
  <c r="K533" i="36"/>
  <c r="K534" i="36"/>
  <c r="K535" i="36"/>
  <c r="K536" i="36"/>
  <c r="K537" i="36"/>
  <c r="K538" i="36"/>
  <c r="K539" i="36"/>
  <c r="K540" i="36"/>
  <c r="K541" i="36"/>
  <c r="K542" i="36"/>
  <c r="K543" i="36"/>
  <c r="K544" i="36"/>
  <c r="K545" i="36"/>
  <c r="K546" i="36"/>
  <c r="K547" i="36"/>
  <c r="K548" i="36"/>
  <c r="K549" i="36"/>
  <c r="K550" i="36"/>
  <c r="K551" i="36"/>
  <c r="K552" i="36"/>
  <c r="K553" i="36"/>
  <c r="K554" i="36"/>
  <c r="K555" i="36"/>
  <c r="K556" i="36"/>
  <c r="K557" i="36"/>
  <c r="K558" i="36"/>
  <c r="K559" i="36"/>
  <c r="K560" i="36"/>
  <c r="K561" i="36"/>
  <c r="K562" i="36"/>
  <c r="K563" i="36"/>
  <c r="K564" i="36"/>
  <c r="K565" i="36"/>
  <c r="K566" i="36"/>
  <c r="K567" i="36"/>
  <c r="K568" i="36"/>
  <c r="K569" i="36"/>
  <c r="K570" i="36"/>
  <c r="K571" i="36"/>
  <c r="K572" i="36"/>
  <c r="K573" i="36"/>
  <c r="K574" i="36"/>
  <c r="K575" i="36"/>
  <c r="K576" i="36"/>
  <c r="K577" i="36"/>
  <c r="K578" i="36"/>
  <c r="K579" i="36"/>
  <c r="K580" i="36"/>
  <c r="K581" i="36"/>
  <c r="K582" i="36"/>
  <c r="K583" i="36"/>
  <c r="K584" i="36"/>
  <c r="K585" i="36"/>
  <c r="K586" i="36"/>
  <c r="K587" i="36"/>
  <c r="K588" i="36"/>
  <c r="K589" i="36"/>
  <c r="K590" i="36"/>
  <c r="K591" i="36"/>
  <c r="K592" i="36"/>
  <c r="K593" i="36"/>
  <c r="K594" i="36"/>
  <c r="K595" i="36"/>
  <c r="K596" i="36"/>
  <c r="K597" i="36"/>
  <c r="K598" i="36"/>
  <c r="K599" i="36"/>
  <c r="K600" i="36"/>
  <c r="K601" i="36"/>
  <c r="K602" i="36"/>
  <c r="K603" i="36"/>
  <c r="K604" i="36"/>
  <c r="K605" i="36"/>
  <c r="K606" i="36"/>
  <c r="K607" i="36"/>
  <c r="K608" i="36"/>
  <c r="K609" i="36"/>
  <c r="K610" i="36"/>
  <c r="K611" i="36"/>
  <c r="K612" i="36"/>
  <c r="K613" i="36"/>
  <c r="K614" i="36"/>
  <c r="K615" i="36"/>
  <c r="K616" i="36"/>
  <c r="K617" i="36"/>
  <c r="K618" i="36"/>
  <c r="K619" i="36"/>
  <c r="K620" i="36"/>
  <c r="K621" i="36"/>
  <c r="K622" i="36"/>
  <c r="K623" i="36"/>
  <c r="K624" i="36"/>
  <c r="K625" i="36"/>
  <c r="K626" i="36"/>
  <c r="K627" i="36"/>
  <c r="K628" i="36"/>
  <c r="K629" i="36"/>
  <c r="K630" i="36"/>
  <c r="K631" i="36"/>
  <c r="K632" i="36"/>
  <c r="K633" i="36"/>
  <c r="K634" i="36"/>
  <c r="K635" i="36"/>
  <c r="K636" i="36"/>
  <c r="K637" i="36"/>
  <c r="K638" i="36"/>
  <c r="K639" i="36"/>
  <c r="K640" i="36"/>
  <c r="K641" i="36"/>
  <c r="K642" i="36"/>
  <c r="K643" i="36"/>
  <c r="K644" i="36"/>
  <c r="K645" i="36"/>
  <c r="K646" i="36"/>
  <c r="K647" i="36"/>
  <c r="K648" i="36"/>
  <c r="K649" i="36"/>
  <c r="K650" i="36"/>
  <c r="K651" i="36"/>
  <c r="K652" i="36"/>
  <c r="K653" i="36"/>
  <c r="K654" i="36"/>
  <c r="K655" i="36"/>
  <c r="K656" i="36"/>
  <c r="K657" i="36"/>
  <c r="K658" i="36"/>
  <c r="K659" i="36"/>
  <c r="K660" i="36"/>
  <c r="K661" i="36"/>
  <c r="K662" i="36"/>
  <c r="K663" i="36"/>
  <c r="K664" i="36"/>
  <c r="K665" i="36"/>
  <c r="K666" i="36"/>
  <c r="K667" i="36"/>
  <c r="K668" i="36"/>
  <c r="K669" i="36"/>
  <c r="K670" i="36"/>
  <c r="K671" i="36"/>
  <c r="K672" i="36"/>
  <c r="K673" i="36"/>
  <c r="K674" i="36"/>
  <c r="K675" i="36"/>
  <c r="K676" i="36"/>
  <c r="K677" i="36"/>
  <c r="K678" i="36"/>
  <c r="K679" i="36"/>
  <c r="K680" i="36"/>
  <c r="K681" i="36"/>
  <c r="K682" i="36"/>
  <c r="K683" i="36"/>
  <c r="K684" i="36"/>
  <c r="K686" i="36"/>
  <c r="K687" i="36"/>
  <c r="K688" i="36"/>
  <c r="K689" i="36"/>
  <c r="K694" i="36"/>
  <c r="K695" i="36"/>
  <c r="K696" i="36"/>
  <c r="K697" i="36"/>
  <c r="K698" i="36"/>
  <c r="K699" i="36"/>
  <c r="K700" i="36"/>
  <c r="K701" i="36"/>
  <c r="K702" i="36"/>
  <c r="K703" i="36"/>
  <c r="K704" i="36"/>
  <c r="K705" i="36"/>
  <c r="K706" i="36"/>
  <c r="K707" i="36"/>
  <c r="K708" i="36"/>
  <c r="K709" i="36"/>
  <c r="K710" i="36"/>
  <c r="K711" i="36"/>
  <c r="K712" i="36"/>
  <c r="K713" i="36"/>
  <c r="K714" i="36"/>
  <c r="K715" i="36"/>
  <c r="K716" i="36"/>
  <c r="K717" i="36"/>
  <c r="K718" i="36"/>
  <c r="K719" i="36"/>
  <c r="K720" i="36"/>
  <c r="K721" i="36"/>
  <c r="K722" i="36"/>
  <c r="K723" i="36"/>
  <c r="K724" i="36"/>
  <c r="K725" i="36"/>
  <c r="K726" i="36"/>
  <c r="K727" i="36"/>
  <c r="K728" i="36"/>
  <c r="K729" i="36"/>
  <c r="K730" i="36"/>
  <c r="K732" i="36"/>
  <c r="K733" i="36"/>
  <c r="K734" i="36"/>
  <c r="K735" i="36"/>
  <c r="K736" i="36"/>
  <c r="K737" i="36"/>
  <c r="K738" i="36"/>
  <c r="K739" i="36"/>
  <c r="K740" i="36"/>
  <c r="K741" i="36"/>
  <c r="K742" i="36"/>
  <c r="K743" i="36"/>
  <c r="K744" i="36"/>
  <c r="K745" i="36"/>
  <c r="K746" i="36"/>
  <c r="K747" i="36"/>
  <c r="K748" i="36"/>
  <c r="K749" i="36"/>
  <c r="K750" i="36"/>
  <c r="K751" i="36"/>
  <c r="K752" i="36"/>
  <c r="K753" i="36"/>
  <c r="K754" i="36"/>
  <c r="K755" i="36"/>
  <c r="K756" i="36"/>
  <c r="K757" i="36"/>
  <c r="K758" i="36"/>
  <c r="K759" i="36"/>
  <c r="K760" i="36"/>
  <c r="K761" i="36"/>
  <c r="K762" i="36"/>
  <c r="K763" i="36"/>
  <c r="K764" i="36"/>
  <c r="K685" i="36"/>
  <c r="K766" i="36"/>
  <c r="K765" i="36"/>
  <c r="K769" i="36"/>
  <c r="K768" i="36"/>
  <c r="K767" i="36"/>
  <c r="K771" i="36"/>
  <c r="K773" i="36"/>
  <c r="K774" i="36"/>
  <c r="K775" i="36"/>
  <c r="K776" i="36"/>
  <c r="K778" i="36"/>
  <c r="K772" i="36"/>
  <c r="K777" i="36"/>
  <c r="K780" i="36"/>
  <c r="K781" i="36"/>
  <c r="K412" i="36"/>
  <c r="K2" i="36"/>
  <c r="F3" i="36"/>
  <c r="F4" i="36"/>
  <c r="F5" i="36"/>
  <c r="F6" i="36"/>
  <c r="F7" i="36"/>
  <c r="F8" i="36"/>
  <c r="F9" i="36"/>
  <c r="F10" i="36"/>
  <c r="F11" i="36"/>
  <c r="F12" i="36"/>
  <c r="F13" i="36"/>
  <c r="F14" i="36"/>
  <c r="F15" i="36"/>
  <c r="F16" i="36"/>
  <c r="F17" i="36"/>
  <c r="F18" i="36"/>
  <c r="F19" i="36"/>
  <c r="F20" i="36"/>
  <c r="F21" i="36"/>
  <c r="F22" i="36"/>
  <c r="F23" i="36"/>
  <c r="F24" i="36"/>
  <c r="F25" i="36"/>
  <c r="F26" i="36"/>
  <c r="F27" i="36"/>
  <c r="F28" i="36"/>
  <c r="F29" i="36"/>
  <c r="F30" i="36"/>
  <c r="F31" i="36"/>
  <c r="F32" i="36"/>
  <c r="F33" i="36"/>
  <c r="F34" i="36"/>
  <c r="F35" i="36"/>
  <c r="F36" i="36"/>
  <c r="F37" i="36"/>
  <c r="F38" i="36"/>
  <c r="F39" i="36"/>
  <c r="F40" i="36"/>
  <c r="F41" i="36"/>
  <c r="F42" i="36"/>
  <c r="F43" i="36"/>
  <c r="F44" i="36"/>
  <c r="F45" i="36"/>
  <c r="F46" i="36"/>
  <c r="F47" i="36"/>
  <c r="F48" i="36"/>
  <c r="F49" i="36"/>
  <c r="F50" i="36"/>
  <c r="F51" i="36"/>
  <c r="F52" i="36"/>
  <c r="F53" i="36"/>
  <c r="F54" i="36"/>
  <c r="F55" i="36"/>
  <c r="F56" i="36"/>
  <c r="F57" i="36"/>
  <c r="F58" i="36"/>
  <c r="F59" i="36"/>
  <c r="F60" i="36"/>
  <c r="F61" i="36"/>
  <c r="F62" i="36"/>
  <c r="F63" i="36"/>
  <c r="F64" i="36"/>
  <c r="F65" i="36"/>
  <c r="F66" i="36"/>
  <c r="F67" i="36"/>
  <c r="F68" i="36"/>
  <c r="F69" i="36"/>
  <c r="F70" i="36"/>
  <c r="F71" i="36"/>
  <c r="F72" i="36"/>
  <c r="F73" i="36"/>
  <c r="F74" i="36"/>
  <c r="F75" i="36"/>
  <c r="F76" i="36"/>
  <c r="F77" i="36"/>
  <c r="F78" i="36"/>
  <c r="F79" i="36"/>
  <c r="F80" i="36"/>
  <c r="F81" i="36"/>
  <c r="F82" i="36"/>
  <c r="F83" i="36"/>
  <c r="F84" i="36"/>
  <c r="F85" i="36"/>
  <c r="F86" i="36"/>
  <c r="F87" i="36"/>
  <c r="F88" i="36"/>
  <c r="F89" i="36"/>
  <c r="F90" i="36"/>
  <c r="F91" i="36"/>
  <c r="F92" i="36"/>
  <c r="F93" i="36"/>
  <c r="F94" i="36"/>
  <c r="F95" i="36"/>
  <c r="F96" i="36"/>
  <c r="F97" i="36"/>
  <c r="F98" i="36"/>
  <c r="F99" i="36"/>
  <c r="F100" i="36"/>
  <c r="F101" i="36"/>
  <c r="F102" i="36"/>
  <c r="F103" i="36"/>
  <c r="F104" i="36"/>
  <c r="F105" i="36"/>
  <c r="F106" i="36"/>
  <c r="F107" i="36"/>
  <c r="F108" i="36"/>
  <c r="F109" i="36"/>
  <c r="F110" i="36"/>
  <c r="F111" i="36"/>
  <c r="F112" i="36"/>
  <c r="F113" i="36"/>
  <c r="F114" i="36"/>
  <c r="F115" i="36"/>
  <c r="F116" i="36"/>
  <c r="F117" i="36"/>
  <c r="F118" i="36"/>
  <c r="F119" i="36"/>
  <c r="F120" i="36"/>
  <c r="F121" i="36"/>
  <c r="F122" i="36"/>
  <c r="F123" i="36"/>
  <c r="F124" i="36"/>
  <c r="F125" i="36"/>
  <c r="F126" i="36"/>
  <c r="F127" i="36"/>
  <c r="F128" i="36"/>
  <c r="F129" i="36"/>
  <c r="F130" i="36"/>
  <c r="F131" i="36"/>
  <c r="F132" i="36"/>
  <c r="F133" i="36"/>
  <c r="F134" i="36"/>
  <c r="F135" i="36"/>
  <c r="F136" i="36"/>
  <c r="F137" i="36"/>
  <c r="F138" i="36"/>
  <c r="F139" i="36"/>
  <c r="F140" i="36"/>
  <c r="F141" i="36"/>
  <c r="F142" i="36"/>
  <c r="F143" i="36"/>
  <c r="F144" i="36"/>
  <c r="F145" i="36"/>
  <c r="F146" i="36"/>
  <c r="F147" i="36"/>
  <c r="F148" i="36"/>
  <c r="F149" i="36"/>
  <c r="F150" i="36"/>
  <c r="F151" i="36"/>
  <c r="F152" i="36"/>
  <c r="F153" i="36"/>
  <c r="F154" i="36"/>
  <c r="F155" i="36"/>
  <c r="F156" i="36"/>
  <c r="F157" i="36"/>
  <c r="F158" i="36"/>
  <c r="F159" i="36"/>
  <c r="F160" i="36"/>
  <c r="F161" i="36"/>
  <c r="F162" i="36"/>
  <c r="F163" i="36"/>
  <c r="F164" i="36"/>
  <c r="F165" i="36"/>
  <c r="F166" i="36"/>
  <c r="F167" i="36"/>
  <c r="F168" i="36"/>
  <c r="F169" i="36"/>
  <c r="F170" i="36"/>
  <c r="F171" i="36"/>
  <c r="F172" i="36"/>
  <c r="F173" i="36"/>
  <c r="F174" i="36"/>
  <c r="F175" i="36"/>
  <c r="F176" i="36"/>
  <c r="F177" i="36"/>
  <c r="F178" i="36"/>
  <c r="F179" i="36"/>
  <c r="F180" i="36"/>
  <c r="F181" i="36"/>
  <c r="F182" i="36"/>
  <c r="F183" i="36"/>
  <c r="F184" i="36"/>
  <c r="F185" i="36"/>
  <c r="F186" i="36"/>
  <c r="F187" i="36"/>
  <c r="F188" i="36"/>
  <c r="F189" i="36"/>
  <c r="F190" i="36"/>
  <c r="F191" i="36"/>
  <c r="F192" i="36"/>
  <c r="F193" i="36"/>
  <c r="F194" i="36"/>
  <c r="F195" i="36"/>
  <c r="F196" i="36"/>
  <c r="F197" i="36"/>
  <c r="F198" i="36"/>
  <c r="F199" i="36"/>
  <c r="F200" i="36"/>
  <c r="F201" i="36"/>
  <c r="F202" i="36"/>
  <c r="F203" i="36"/>
  <c r="F204" i="36"/>
  <c r="F205" i="36"/>
  <c r="F206" i="36"/>
  <c r="F207" i="36"/>
  <c r="F208" i="36"/>
  <c r="F209" i="36"/>
  <c r="F210" i="36"/>
  <c r="F211" i="36"/>
  <c r="F212" i="36"/>
  <c r="F213" i="36"/>
  <c r="F214" i="36"/>
  <c r="F215" i="36"/>
  <c r="F216" i="36"/>
  <c r="F217" i="36"/>
  <c r="F218" i="36"/>
  <c r="F219" i="36"/>
  <c r="F220" i="36"/>
  <c r="F221" i="36"/>
  <c r="F222" i="36"/>
  <c r="F223" i="36"/>
  <c r="F224" i="36"/>
  <c r="F225" i="36"/>
  <c r="F226" i="36"/>
  <c r="F227" i="36"/>
  <c r="F228" i="36"/>
  <c r="F229" i="36"/>
  <c r="F230" i="36"/>
  <c r="F231" i="36"/>
  <c r="F232" i="36"/>
  <c r="F233" i="36"/>
  <c r="F234" i="36"/>
  <c r="F235" i="36"/>
  <c r="F236" i="36"/>
  <c r="F237" i="36"/>
  <c r="F238" i="36"/>
  <c r="F239" i="36"/>
  <c r="F240" i="36"/>
  <c r="F241" i="36"/>
  <c r="F242" i="36"/>
  <c r="F243" i="36"/>
  <c r="F244" i="36"/>
  <c r="F245" i="36"/>
  <c r="F246" i="36"/>
  <c r="F247" i="36"/>
  <c r="F248" i="36"/>
  <c r="F249" i="36"/>
  <c r="F250" i="36"/>
  <c r="F251" i="36"/>
  <c r="F252" i="36"/>
  <c r="F253" i="36"/>
  <c r="F254" i="36"/>
  <c r="F255" i="36"/>
  <c r="F256" i="36"/>
  <c r="F257" i="36"/>
  <c r="F258" i="36"/>
  <c r="F259" i="36"/>
  <c r="F260" i="36"/>
  <c r="F261" i="36"/>
  <c r="F262" i="36"/>
  <c r="F263" i="36"/>
  <c r="F264" i="36"/>
  <c r="F265" i="36"/>
  <c r="F266" i="36"/>
  <c r="F267" i="36"/>
  <c r="F268" i="36"/>
  <c r="F269" i="36"/>
  <c r="F270" i="36"/>
  <c r="F271" i="36"/>
  <c r="F272" i="36"/>
  <c r="F273" i="36"/>
  <c r="F274" i="36"/>
  <c r="F275" i="36"/>
  <c r="F276" i="36"/>
  <c r="F277" i="36"/>
  <c r="F278" i="36"/>
  <c r="F279" i="36"/>
  <c r="F280" i="36"/>
  <c r="F281" i="36"/>
  <c r="F282" i="36"/>
  <c r="F283" i="36"/>
  <c r="F284" i="36"/>
  <c r="F285" i="36"/>
  <c r="F286" i="36"/>
  <c r="F287" i="36"/>
  <c r="F288" i="36"/>
  <c r="F289" i="36"/>
  <c r="F290" i="36"/>
  <c r="F291" i="36"/>
  <c r="F292" i="36"/>
  <c r="F293" i="36"/>
  <c r="F294" i="36"/>
  <c r="F295" i="36"/>
  <c r="F296" i="36"/>
  <c r="F297" i="36"/>
  <c r="F298" i="36"/>
  <c r="F299" i="36"/>
  <c r="F300" i="36"/>
  <c r="F301" i="36"/>
  <c r="F302" i="36"/>
  <c r="F303" i="36"/>
  <c r="F304" i="36"/>
  <c r="F305" i="36"/>
  <c r="F306" i="36"/>
  <c r="F307" i="36"/>
  <c r="F308" i="36"/>
  <c r="F309" i="36"/>
  <c r="F310" i="36"/>
  <c r="F311" i="36"/>
  <c r="F312" i="36"/>
  <c r="F313" i="36"/>
  <c r="F314" i="36"/>
  <c r="F315" i="36"/>
  <c r="F316" i="36"/>
  <c r="F317" i="36"/>
  <c r="F318" i="36"/>
  <c r="F319" i="36"/>
  <c r="F320" i="36"/>
  <c r="F321" i="36"/>
  <c r="F322" i="36"/>
  <c r="F323" i="36"/>
  <c r="F324" i="36"/>
  <c r="F325" i="36"/>
  <c r="F326" i="36"/>
  <c r="F327" i="36"/>
  <c r="F328" i="36"/>
  <c r="F329" i="36"/>
  <c r="F330" i="36"/>
  <c r="F331" i="36"/>
  <c r="F332" i="36"/>
  <c r="F333" i="36"/>
  <c r="F334" i="36"/>
  <c r="F335" i="36"/>
  <c r="F336" i="36"/>
  <c r="F337" i="36"/>
  <c r="F338" i="36"/>
  <c r="F339" i="36"/>
  <c r="F340" i="36"/>
  <c r="F341" i="36"/>
  <c r="F342" i="36"/>
  <c r="F343" i="36"/>
  <c r="F344" i="36"/>
  <c r="F345" i="36"/>
  <c r="F346" i="36"/>
  <c r="F347" i="36"/>
  <c r="F348" i="36"/>
  <c r="F349" i="36"/>
  <c r="F350" i="36"/>
  <c r="F351" i="36"/>
  <c r="F352" i="36"/>
  <c r="F353" i="36"/>
  <c r="F354" i="36"/>
  <c r="F355" i="36"/>
  <c r="F356" i="36"/>
  <c r="F357" i="36"/>
  <c r="F358" i="36"/>
  <c r="F359" i="36"/>
  <c r="F360" i="36"/>
  <c r="F361" i="36"/>
  <c r="F362" i="36"/>
  <c r="F363" i="36"/>
  <c r="F364" i="36"/>
  <c r="F365" i="36"/>
  <c r="F366" i="36"/>
  <c r="F367" i="36"/>
  <c r="F368" i="36"/>
  <c r="F369" i="36"/>
  <c r="F370" i="36"/>
  <c r="F371" i="36"/>
  <c r="F372" i="36"/>
  <c r="F373" i="36"/>
  <c r="F374" i="36"/>
  <c r="F375" i="36"/>
  <c r="F376" i="36"/>
  <c r="F377" i="36"/>
  <c r="F378" i="36"/>
  <c r="F379" i="36"/>
  <c r="F380" i="36"/>
  <c r="F382" i="36"/>
  <c r="F383" i="36"/>
  <c r="F384" i="36"/>
  <c r="F385" i="36"/>
  <c r="F386" i="36"/>
  <c r="F387" i="36"/>
  <c r="F388" i="36"/>
  <c r="F389" i="36"/>
  <c r="F390" i="36"/>
  <c r="F391" i="36"/>
  <c r="F392" i="36"/>
  <c r="F393" i="36"/>
  <c r="F394" i="36"/>
  <c r="F395" i="36"/>
  <c r="F396" i="36"/>
  <c r="F397" i="36"/>
  <c r="F398" i="36"/>
  <c r="F399" i="36"/>
  <c r="F400" i="36"/>
  <c r="F401" i="36"/>
  <c r="F402" i="36"/>
  <c r="F403" i="36"/>
  <c r="F404" i="36"/>
  <c r="F405" i="36"/>
  <c r="F406" i="36"/>
  <c r="F407" i="36"/>
  <c r="F408" i="36"/>
  <c r="F409" i="36"/>
  <c r="F410" i="36"/>
  <c r="F411" i="36"/>
  <c r="F413" i="36"/>
  <c r="F414" i="36"/>
  <c r="F415" i="36"/>
  <c r="F416" i="36"/>
  <c r="F417" i="36"/>
  <c r="F418" i="36"/>
  <c r="F419" i="36"/>
  <c r="F420" i="36"/>
  <c r="F421" i="36"/>
  <c r="F422" i="36"/>
  <c r="F423" i="36"/>
  <c r="F424" i="36"/>
  <c r="F425" i="36"/>
  <c r="F426" i="36"/>
  <c r="F427" i="36"/>
  <c r="F428" i="36"/>
  <c r="F429" i="36"/>
  <c r="F430" i="36"/>
  <c r="F431" i="36"/>
  <c r="F432" i="36"/>
  <c r="F433" i="36"/>
  <c r="F434" i="36"/>
  <c r="F435" i="36"/>
  <c r="F436" i="36"/>
  <c r="F437" i="36"/>
  <c r="F438" i="36"/>
  <c r="F439" i="36"/>
  <c r="F440" i="36"/>
  <c r="F441" i="36"/>
  <c r="F442" i="36"/>
  <c r="F443" i="36"/>
  <c r="F444" i="36"/>
  <c r="F445" i="36"/>
  <c r="F446" i="36"/>
  <c r="F447" i="36"/>
  <c r="F448" i="36"/>
  <c r="F449" i="36"/>
  <c r="F450" i="36"/>
  <c r="F451" i="36"/>
  <c r="F452" i="36"/>
  <c r="F453" i="36"/>
  <c r="F454" i="36"/>
  <c r="F455" i="36"/>
  <c r="F456" i="36"/>
  <c r="F457" i="36"/>
  <c r="F458" i="36"/>
  <c r="F459" i="36"/>
  <c r="F460" i="36"/>
  <c r="F461" i="36"/>
  <c r="F462" i="36"/>
  <c r="F463" i="36"/>
  <c r="F464" i="36"/>
  <c r="F465" i="36"/>
  <c r="F466" i="36"/>
  <c r="F467" i="36"/>
  <c r="F468" i="36"/>
  <c r="F469" i="36"/>
  <c r="F470" i="36"/>
  <c r="F471" i="36"/>
  <c r="F472" i="36"/>
  <c r="F473" i="36"/>
  <c r="F474" i="36"/>
  <c r="F475" i="36"/>
  <c r="F476" i="36"/>
  <c r="F477" i="36"/>
  <c r="F478" i="36"/>
  <c r="F479" i="36"/>
  <c r="F480" i="36"/>
  <c r="F481" i="36"/>
  <c r="F482" i="36"/>
  <c r="F483" i="36"/>
  <c r="F484" i="36"/>
  <c r="F485" i="36"/>
  <c r="F486" i="36"/>
  <c r="F487" i="36"/>
  <c r="F488" i="36"/>
  <c r="F489" i="36"/>
  <c r="F490" i="36"/>
  <c r="F491" i="36"/>
  <c r="F492" i="36"/>
  <c r="F493" i="36"/>
  <c r="F494" i="36"/>
  <c r="F495" i="36"/>
  <c r="F496" i="36"/>
  <c r="F497" i="36"/>
  <c r="F498" i="36"/>
  <c r="F499" i="36"/>
  <c r="F500" i="36"/>
  <c r="F501" i="36"/>
  <c r="F502" i="36"/>
  <c r="F503" i="36"/>
  <c r="F504" i="36"/>
  <c r="F505" i="36"/>
  <c r="F506" i="36"/>
  <c r="F507" i="36"/>
  <c r="F508" i="36"/>
  <c r="F509" i="36"/>
  <c r="F510" i="36"/>
  <c r="F511" i="36"/>
  <c r="F512" i="36"/>
  <c r="F513" i="36"/>
  <c r="F514" i="36"/>
  <c r="F515" i="36"/>
  <c r="F516" i="36"/>
  <c r="F517" i="36"/>
  <c r="F518" i="36"/>
  <c r="F519" i="36"/>
  <c r="F520" i="36"/>
  <c r="F521" i="36"/>
  <c r="F522" i="36"/>
  <c r="F523" i="36"/>
  <c r="F524" i="36"/>
  <c r="F525" i="36"/>
  <c r="F526" i="36"/>
  <c r="F527" i="36"/>
  <c r="F528" i="36"/>
  <c r="F529" i="36"/>
  <c r="F530" i="36"/>
  <c r="F531" i="36"/>
  <c r="F532" i="36"/>
  <c r="F533" i="36"/>
  <c r="F534" i="36"/>
  <c r="F535" i="36"/>
  <c r="F536" i="36"/>
  <c r="F537" i="36"/>
  <c r="F538" i="36"/>
  <c r="F539" i="36"/>
  <c r="F540" i="36"/>
  <c r="F541" i="36"/>
  <c r="F542" i="36"/>
  <c r="F543" i="36"/>
  <c r="F544" i="36"/>
  <c r="F545" i="36"/>
  <c r="F546" i="36"/>
  <c r="F547" i="36"/>
  <c r="F548" i="36"/>
  <c r="F549" i="36"/>
  <c r="F550" i="36"/>
  <c r="F551" i="36"/>
  <c r="F552" i="36"/>
  <c r="F553" i="36"/>
  <c r="F554" i="36"/>
  <c r="F555" i="36"/>
  <c r="F556" i="36"/>
  <c r="F557" i="36"/>
  <c r="F558" i="36"/>
  <c r="F559" i="36"/>
  <c r="F560" i="36"/>
  <c r="F561" i="36"/>
  <c r="F562" i="36"/>
  <c r="F563" i="36"/>
  <c r="F564" i="36"/>
  <c r="F565" i="36"/>
  <c r="F566" i="36"/>
  <c r="F567" i="36"/>
  <c r="F568" i="36"/>
  <c r="F569" i="36"/>
  <c r="F570" i="36"/>
  <c r="F571" i="36"/>
  <c r="F572" i="36"/>
  <c r="F573" i="36"/>
  <c r="F574" i="36"/>
  <c r="F575" i="36"/>
  <c r="F576" i="36"/>
  <c r="F577" i="36"/>
  <c r="F578" i="36"/>
  <c r="F579" i="36"/>
  <c r="F580" i="36"/>
  <c r="F581" i="36"/>
  <c r="F582" i="36"/>
  <c r="F583" i="36"/>
  <c r="F584" i="36"/>
  <c r="F585" i="36"/>
  <c r="F586" i="36"/>
  <c r="F587" i="36"/>
  <c r="F588" i="36"/>
  <c r="F589" i="36"/>
  <c r="F590" i="36"/>
  <c r="F591" i="36"/>
  <c r="F592" i="36"/>
  <c r="F593" i="36"/>
  <c r="F594" i="36"/>
  <c r="F595" i="36"/>
  <c r="F596" i="36"/>
  <c r="F597" i="36"/>
  <c r="F598" i="36"/>
  <c r="F599" i="36"/>
  <c r="F600" i="36"/>
  <c r="F601" i="36"/>
  <c r="F602" i="36"/>
  <c r="F603" i="36"/>
  <c r="F604" i="36"/>
  <c r="F605" i="36"/>
  <c r="F606" i="36"/>
  <c r="F607" i="36"/>
  <c r="F608" i="36"/>
  <c r="F609" i="36"/>
  <c r="F610" i="36"/>
  <c r="F611" i="36"/>
  <c r="F612" i="36"/>
  <c r="F613" i="36"/>
  <c r="F614" i="36"/>
  <c r="F615" i="36"/>
  <c r="F616" i="36"/>
  <c r="F617" i="36"/>
  <c r="F618" i="36"/>
  <c r="F619" i="36"/>
  <c r="F620" i="36"/>
  <c r="F621" i="36"/>
  <c r="F622" i="36"/>
  <c r="F623" i="36"/>
  <c r="F624" i="36"/>
  <c r="F625" i="36"/>
  <c r="F626" i="36"/>
  <c r="F627" i="36"/>
  <c r="F628" i="36"/>
  <c r="F629" i="36"/>
  <c r="F630" i="36"/>
  <c r="F631" i="36"/>
  <c r="F632" i="36"/>
  <c r="F633" i="36"/>
  <c r="F634" i="36"/>
  <c r="F635" i="36"/>
  <c r="F636" i="36"/>
  <c r="F637" i="36"/>
  <c r="F638" i="36"/>
  <c r="F639" i="36"/>
  <c r="F640" i="36"/>
  <c r="F641" i="36"/>
  <c r="F642" i="36"/>
  <c r="F643" i="36"/>
  <c r="F644" i="36"/>
  <c r="F645" i="36"/>
  <c r="F646" i="36"/>
  <c r="F647" i="36"/>
  <c r="F648" i="36"/>
  <c r="F649" i="36"/>
  <c r="F650" i="36"/>
  <c r="F651" i="36"/>
  <c r="F652" i="36"/>
  <c r="F653" i="36"/>
  <c r="F654" i="36"/>
  <c r="F655" i="36"/>
  <c r="F656" i="36"/>
  <c r="F657" i="36"/>
  <c r="F658" i="36"/>
  <c r="F659" i="36"/>
  <c r="F660" i="36"/>
  <c r="F661" i="36"/>
  <c r="F662" i="36"/>
  <c r="F663" i="36"/>
  <c r="F664" i="36"/>
  <c r="F665" i="36"/>
  <c r="F666" i="36"/>
  <c r="F667" i="36"/>
  <c r="F668" i="36"/>
  <c r="F669" i="36"/>
  <c r="F670" i="36"/>
  <c r="F671" i="36"/>
  <c r="F672" i="36"/>
  <c r="F673" i="36"/>
  <c r="F674" i="36"/>
  <c r="F675" i="36"/>
  <c r="F676" i="36"/>
  <c r="F677" i="36"/>
  <c r="F678" i="36"/>
  <c r="F679" i="36"/>
  <c r="F680" i="36"/>
  <c r="F681" i="36"/>
  <c r="F682" i="36"/>
  <c r="F683" i="36"/>
  <c r="F684" i="36"/>
  <c r="F686" i="36"/>
  <c r="F687" i="36"/>
  <c r="F688" i="36"/>
  <c r="F689" i="36"/>
  <c r="F694" i="36"/>
  <c r="F695" i="36"/>
  <c r="F696" i="36"/>
  <c r="F697" i="36"/>
  <c r="F698" i="36"/>
  <c r="F699" i="36"/>
  <c r="F700" i="36"/>
  <c r="F701" i="36"/>
  <c r="F702" i="36"/>
  <c r="F703" i="36"/>
  <c r="F704" i="36"/>
  <c r="F705" i="36"/>
  <c r="F706" i="36"/>
  <c r="F707" i="36"/>
  <c r="F708" i="36"/>
  <c r="F709" i="36"/>
  <c r="F710" i="36"/>
  <c r="F711" i="36"/>
  <c r="F712" i="36"/>
  <c r="F713" i="36"/>
  <c r="F714" i="36"/>
  <c r="F715" i="36"/>
  <c r="F716" i="36"/>
  <c r="F717" i="36"/>
  <c r="F718" i="36"/>
  <c r="F719" i="36"/>
  <c r="F720" i="36"/>
  <c r="F721" i="36"/>
  <c r="F722" i="36"/>
  <c r="F723" i="36"/>
  <c r="F724" i="36"/>
  <c r="F725" i="36"/>
  <c r="F726" i="36"/>
  <c r="F727" i="36"/>
  <c r="F728" i="36"/>
  <c r="F729" i="36"/>
  <c r="F730" i="36"/>
  <c r="F732" i="36"/>
  <c r="F733" i="36"/>
  <c r="F734" i="36"/>
  <c r="F735" i="36"/>
  <c r="F736" i="36"/>
  <c r="F737" i="36"/>
  <c r="F738" i="36"/>
  <c r="F739" i="36"/>
  <c r="F740" i="36"/>
  <c r="F741" i="36"/>
  <c r="F742" i="36"/>
  <c r="F743" i="36"/>
  <c r="F744" i="36"/>
  <c r="F745" i="36"/>
  <c r="F746" i="36"/>
  <c r="F747" i="36"/>
  <c r="F748" i="36"/>
  <c r="F749" i="36"/>
  <c r="F750" i="36"/>
  <c r="F751" i="36"/>
  <c r="F752" i="36"/>
  <c r="F753" i="36"/>
  <c r="F754" i="36"/>
  <c r="F755" i="36"/>
  <c r="F756" i="36"/>
  <c r="F757" i="36"/>
  <c r="F758" i="36"/>
  <c r="F759" i="36"/>
  <c r="F760" i="36"/>
  <c r="F761" i="36"/>
  <c r="F762" i="36"/>
  <c r="F763" i="36"/>
  <c r="F764" i="36"/>
  <c r="F685" i="36"/>
  <c r="F766" i="36"/>
  <c r="F765" i="36"/>
  <c r="F769" i="36"/>
  <c r="F768" i="36"/>
  <c r="F767" i="36"/>
  <c r="F771" i="36"/>
  <c r="F773" i="36"/>
  <c r="F774" i="36"/>
  <c r="F775" i="36"/>
  <c r="F776" i="36"/>
  <c r="F778" i="36"/>
  <c r="F772" i="36"/>
  <c r="F777" i="36"/>
  <c r="F780" i="36"/>
  <c r="F781" i="36"/>
  <c r="F412" i="36"/>
  <c r="F2" i="36"/>
  <c r="L5" i="35"/>
  <c r="L6" i="35"/>
  <c r="L7" i="35"/>
  <c r="L8" i="35"/>
  <c r="L9" i="35"/>
  <c r="L10" i="35"/>
  <c r="L11" i="35"/>
  <c r="L12" i="35"/>
  <c r="L13" i="35"/>
  <c r="L14" i="35"/>
  <c r="L15" i="35"/>
  <c r="L16" i="35"/>
  <c r="L17" i="35"/>
  <c r="L18" i="35"/>
  <c r="L19" i="35"/>
  <c r="L20" i="35"/>
  <c r="L21" i="35"/>
  <c r="L22" i="35"/>
  <c r="L23" i="35"/>
  <c r="L24" i="35"/>
  <c r="L25" i="35"/>
  <c r="L26" i="35"/>
  <c r="L27" i="35"/>
  <c r="L28" i="35"/>
  <c r="L29" i="35"/>
  <c r="L30" i="35"/>
  <c r="L31" i="35"/>
  <c r="L32" i="35"/>
  <c r="L33" i="35"/>
  <c r="L34" i="35"/>
  <c r="L35" i="35"/>
  <c r="L36" i="35"/>
  <c r="L37" i="35"/>
  <c r="L38" i="35"/>
  <c r="L39" i="35"/>
  <c r="L40" i="35"/>
  <c r="L41" i="35"/>
  <c r="L42" i="35"/>
  <c r="L43" i="35"/>
  <c r="L44" i="35"/>
  <c r="L45" i="35"/>
  <c r="L46" i="35"/>
  <c r="L47" i="35"/>
  <c r="L48" i="35"/>
  <c r="L49" i="35"/>
  <c r="L50" i="35"/>
  <c r="L51" i="35"/>
  <c r="L52" i="35"/>
  <c r="L53" i="35"/>
  <c r="L54" i="35"/>
  <c r="L55" i="35"/>
  <c r="L56" i="35"/>
  <c r="L57" i="35"/>
  <c r="L58" i="35"/>
  <c r="L59" i="35"/>
  <c r="L60" i="35"/>
  <c r="L61" i="35"/>
  <c r="L62" i="35"/>
  <c r="L63" i="35"/>
  <c r="L64" i="35"/>
  <c r="L65" i="35"/>
  <c r="L66" i="35"/>
  <c r="L67" i="35"/>
  <c r="L68" i="35"/>
  <c r="L69" i="35"/>
  <c r="L70" i="35"/>
  <c r="L71" i="35"/>
  <c r="L72" i="35"/>
  <c r="L73" i="35"/>
  <c r="L74" i="35"/>
  <c r="L75" i="35"/>
  <c r="L76" i="35"/>
  <c r="L77" i="35"/>
  <c r="L78" i="35"/>
  <c r="L79" i="35"/>
  <c r="L80" i="35"/>
  <c r="L81" i="35"/>
  <c r="L82" i="35"/>
  <c r="L83" i="35"/>
  <c r="L84" i="35"/>
  <c r="L85" i="35"/>
  <c r="L86" i="35"/>
  <c r="L87" i="35"/>
  <c r="L88" i="35"/>
  <c r="L89" i="35"/>
  <c r="L90" i="35"/>
  <c r="L91" i="35"/>
  <c r="L92" i="35"/>
  <c r="L93" i="35"/>
  <c r="L94" i="35"/>
  <c r="L95" i="35"/>
  <c r="L96" i="35"/>
  <c r="L97" i="35"/>
  <c r="L98" i="35"/>
  <c r="L99" i="35"/>
  <c r="L100" i="35"/>
  <c r="L101" i="35"/>
  <c r="L102" i="35"/>
  <c r="L103" i="35"/>
  <c r="L104" i="35"/>
  <c r="L105" i="35"/>
  <c r="L106" i="35"/>
  <c r="L107" i="35"/>
  <c r="L108" i="35"/>
  <c r="L109" i="35"/>
  <c r="L110" i="35"/>
  <c r="L111" i="35"/>
  <c r="L112" i="35"/>
  <c r="L113" i="35"/>
  <c r="L114" i="35"/>
  <c r="L115" i="35"/>
  <c r="L116" i="35"/>
  <c r="L117" i="35"/>
  <c r="L118" i="35"/>
  <c r="L119" i="35"/>
  <c r="L120" i="35"/>
  <c r="L121" i="35"/>
  <c r="L122" i="35"/>
  <c r="L123" i="35"/>
  <c r="L124" i="35"/>
  <c r="L125" i="35"/>
  <c r="L126" i="35"/>
  <c r="L127" i="35"/>
  <c r="L128" i="35"/>
  <c r="L129" i="35"/>
  <c r="L130" i="35"/>
  <c r="L131" i="35"/>
  <c r="L132" i="35"/>
  <c r="L133" i="35"/>
  <c r="L134" i="35"/>
  <c r="L135" i="35"/>
  <c r="L136" i="35"/>
  <c r="L137" i="35"/>
  <c r="L138" i="35"/>
  <c r="L139" i="35"/>
  <c r="L140" i="35"/>
  <c r="L141" i="35"/>
  <c r="L142" i="35"/>
  <c r="L143" i="35"/>
  <c r="L144" i="35"/>
  <c r="L145" i="35"/>
  <c r="L146" i="35"/>
  <c r="L147" i="35"/>
  <c r="L148" i="35"/>
  <c r="L149" i="35"/>
  <c r="L150" i="35"/>
  <c r="L151" i="35"/>
  <c r="L152" i="35"/>
  <c r="L153" i="35"/>
  <c r="L154" i="35"/>
  <c r="L155" i="35"/>
  <c r="L156" i="35"/>
  <c r="L157" i="35"/>
  <c r="L158" i="35"/>
  <c r="L159" i="35"/>
  <c r="L160" i="35"/>
  <c r="L161" i="35"/>
  <c r="L162" i="35"/>
  <c r="L163" i="35"/>
  <c r="L164" i="35"/>
  <c r="L165" i="35"/>
  <c r="L166" i="35"/>
  <c r="L167" i="35"/>
  <c r="L168" i="35"/>
  <c r="L169" i="35"/>
  <c r="L170" i="35"/>
  <c r="L171" i="35"/>
  <c r="L172" i="35"/>
  <c r="L173" i="35"/>
  <c r="L174" i="35"/>
  <c r="L175" i="35"/>
  <c r="L176" i="35"/>
  <c r="L177" i="35"/>
  <c r="L178" i="35"/>
  <c r="L179" i="35"/>
  <c r="L180" i="35"/>
  <c r="L181" i="35"/>
  <c r="L182" i="35"/>
  <c r="L183" i="35"/>
  <c r="L184" i="35"/>
  <c r="L185" i="35"/>
  <c r="L186" i="35"/>
  <c r="L187" i="35"/>
  <c r="L188" i="35"/>
  <c r="L189" i="35"/>
  <c r="L190" i="35"/>
  <c r="L191" i="35"/>
  <c r="L192" i="35"/>
  <c r="L193" i="35"/>
  <c r="L194" i="35"/>
  <c r="L195" i="35"/>
  <c r="L196" i="35"/>
  <c r="L197" i="35"/>
  <c r="L198" i="35"/>
  <c r="L199" i="35"/>
  <c r="L200" i="35"/>
  <c r="L201" i="35"/>
  <c r="L202" i="35"/>
  <c r="L203" i="35"/>
  <c r="L204" i="35"/>
  <c r="L205" i="35"/>
  <c r="L206" i="35"/>
  <c r="L207" i="35"/>
  <c r="L208" i="35"/>
  <c r="L209" i="35"/>
  <c r="L210" i="35"/>
  <c r="L211" i="35"/>
  <c r="L212" i="35"/>
  <c r="L213" i="35"/>
  <c r="L214" i="35"/>
  <c r="L215" i="35"/>
  <c r="L216" i="35"/>
  <c r="L217" i="35"/>
  <c r="L218" i="35"/>
  <c r="L219" i="35"/>
  <c r="L220" i="35"/>
  <c r="L221" i="35"/>
  <c r="L222" i="35"/>
  <c r="L223" i="35"/>
  <c r="L224" i="35"/>
  <c r="L225" i="35"/>
  <c r="L226" i="35"/>
  <c r="L227" i="35"/>
  <c r="L229" i="35"/>
  <c r="L230" i="35"/>
  <c r="L231" i="35"/>
  <c r="L232" i="35"/>
  <c r="L234" i="35"/>
  <c r="L235" i="35"/>
  <c r="L236" i="35"/>
  <c r="L237" i="35"/>
  <c r="L239" i="35"/>
  <c r="L240" i="35"/>
  <c r="L241" i="35"/>
  <c r="L242" i="35"/>
  <c r="L243" i="35"/>
  <c r="L244" i="35"/>
  <c r="L245" i="35"/>
  <c r="L246" i="35"/>
  <c r="L247" i="35"/>
  <c r="L248" i="35"/>
  <c r="L250" i="35"/>
  <c r="L251" i="35"/>
  <c r="L253" i="35"/>
  <c r="L255" i="35"/>
  <c r="L258" i="35"/>
  <c r="L254" i="35"/>
  <c r="L257" i="35"/>
  <c r="L252" i="35"/>
  <c r="L256" i="35"/>
  <c r="L259" i="35"/>
  <c r="L263" i="35"/>
  <c r="L260" i="35"/>
  <c r="L264" i="35"/>
  <c r="L265" i="35"/>
  <c r="L238" i="35"/>
  <c r="L266" i="35"/>
  <c r="L268" i="35"/>
  <c r="L267" i="35"/>
  <c r="L270" i="35"/>
  <c r="L271" i="35"/>
  <c r="L272" i="35"/>
  <c r="L261" i="35"/>
  <c r="L262" i="35"/>
  <c r="L269" i="35"/>
  <c r="L273" i="35"/>
  <c r="L275" i="35"/>
  <c r="L274" i="35"/>
  <c r="L249" i="35"/>
  <c r="L278" i="35"/>
  <c r="L283" i="35"/>
  <c r="L282" i="35"/>
  <c r="L277" i="35"/>
  <c r="L280" i="35"/>
  <c r="L281" i="35"/>
  <c r="L285" i="35"/>
  <c r="L286" i="35"/>
  <c r="L279" i="35"/>
  <c r="L284" i="35"/>
  <c r="L288" i="35"/>
  <c r="L290" i="35"/>
  <c r="L228" i="35"/>
  <c r="L292" i="35"/>
  <c r="L287" i="35"/>
  <c r="L289" i="35"/>
  <c r="L293" i="35"/>
  <c r="L294" i="35"/>
  <c r="L295" i="35"/>
  <c r="L296" i="35"/>
  <c r="L297" i="35"/>
  <c r="L298" i="35"/>
  <c r="L276" i="35"/>
  <c r="L300" i="35"/>
  <c r="L299" i="35"/>
  <c r="L301" i="35"/>
  <c r="L302" i="35"/>
  <c r="L305" i="35"/>
  <c r="L304" i="35"/>
  <c r="L307" i="35"/>
  <c r="L308" i="35"/>
  <c r="L309" i="35"/>
  <c r="L310" i="35"/>
  <c r="L313" i="35"/>
  <c r="L311" i="35"/>
  <c r="L312" i="35"/>
  <c r="L314" i="35"/>
  <c r="L315" i="35"/>
  <c r="L303" i="35"/>
  <c r="L316" i="35"/>
  <c r="L317" i="35"/>
  <c r="L324" i="35"/>
  <c r="L320" i="35"/>
  <c r="L321" i="35"/>
  <c r="L322" i="35"/>
  <c r="L323" i="35"/>
  <c r="L318" i="35"/>
  <c r="L319" i="35"/>
  <c r="L326" i="35"/>
  <c r="L325" i="35"/>
  <c r="L329" i="35"/>
  <c r="L328" i="35"/>
  <c r="L330" i="35"/>
  <c r="L332" i="35"/>
  <c r="L336" i="35"/>
  <c r="L334" i="35"/>
  <c r="L338" i="35"/>
  <c r="L333" i="35"/>
  <c r="L339" i="35"/>
  <c r="L340" i="35"/>
  <c r="L342" i="35"/>
  <c r="L2" i="35"/>
  <c r="L3" i="35"/>
  <c r="L343" i="35"/>
  <c r="L344" i="35"/>
  <c r="L345" i="35"/>
  <c r="L337" i="35"/>
  <c r="L306" i="35"/>
  <c r="L348" i="35"/>
  <c r="L349" i="35"/>
  <c r="L351" i="35"/>
  <c r="L350" i="35"/>
  <c r="L354" i="35"/>
  <c r="L356" i="35"/>
  <c r="L353" i="35"/>
  <c r="L355" i="35"/>
  <c r="L361" i="35"/>
  <c r="L357" i="35"/>
  <c r="L359" i="35"/>
  <c r="L346" i="35"/>
  <c r="L362" i="35"/>
  <c r="L363" i="35"/>
  <c r="L364" i="35"/>
  <c r="L366" i="35"/>
  <c r="L367" i="35"/>
  <c r="L368" i="35"/>
  <c r="L365" i="35"/>
  <c r="L369" i="35"/>
  <c r="L360" i="35"/>
  <c r="L327" i="35"/>
  <c r="L331" i="35"/>
  <c r="L347" i="35"/>
  <c r="L352" i="35"/>
  <c r="L341" i="35"/>
  <c r="L370" i="35"/>
  <c r="L371" i="35"/>
  <c r="L291" i="35"/>
  <c r="L372" i="35"/>
  <c r="L373" i="35"/>
  <c r="L358" i="35"/>
  <c r="L374" i="35"/>
  <c r="L375" i="35"/>
  <c r="L376" i="35"/>
  <c r="L377" i="35"/>
  <c r="L378" i="35"/>
  <c r="L379" i="35"/>
  <c r="L380" i="35"/>
  <c r="L381" i="35"/>
  <c r="L382" i="35"/>
  <c r="L335" i="35"/>
  <c r="L395" i="35"/>
  <c r="L399" i="35"/>
  <c r="L398" i="35"/>
  <c r="L400" i="35"/>
  <c r="L401" i="35"/>
  <c r="L4" i="35"/>
  <c r="J5" i="35"/>
  <c r="J6" i="35"/>
  <c r="J7" i="35"/>
  <c r="J8" i="35"/>
  <c r="J9" i="35"/>
  <c r="J10" i="35"/>
  <c r="J11" i="35"/>
  <c r="J12" i="35"/>
  <c r="J13" i="35"/>
  <c r="J14" i="35"/>
  <c r="J15" i="35"/>
  <c r="J16" i="35"/>
  <c r="J17" i="35"/>
  <c r="J18" i="35"/>
  <c r="J19" i="35"/>
  <c r="J20" i="35"/>
  <c r="J21" i="35"/>
  <c r="J22" i="35"/>
  <c r="J23" i="35"/>
  <c r="J24" i="35"/>
  <c r="J25" i="35"/>
  <c r="J26" i="35"/>
  <c r="J27" i="35"/>
  <c r="J28" i="35"/>
  <c r="J29" i="35"/>
  <c r="J30" i="35"/>
  <c r="J31" i="35"/>
  <c r="J32" i="35"/>
  <c r="J33" i="35"/>
  <c r="J34" i="35"/>
  <c r="J35" i="35"/>
  <c r="J36" i="35"/>
  <c r="J37" i="35"/>
  <c r="J38" i="35"/>
  <c r="J39" i="35"/>
  <c r="J40" i="35"/>
  <c r="J41" i="35"/>
  <c r="J42" i="35"/>
  <c r="J43" i="35"/>
  <c r="J44" i="35"/>
  <c r="J45" i="35"/>
  <c r="J46" i="35"/>
  <c r="J47" i="35"/>
  <c r="J48" i="35"/>
  <c r="J49" i="35"/>
  <c r="J50" i="35"/>
  <c r="J51" i="35"/>
  <c r="J52" i="35"/>
  <c r="J53" i="35"/>
  <c r="J54" i="35"/>
  <c r="J55" i="35"/>
  <c r="J56" i="35"/>
  <c r="J57" i="35"/>
  <c r="J58" i="35"/>
  <c r="J59" i="35"/>
  <c r="J60" i="35"/>
  <c r="J61" i="35"/>
  <c r="J62" i="35"/>
  <c r="J63" i="35"/>
  <c r="J64" i="35"/>
  <c r="J65" i="35"/>
  <c r="J66" i="35"/>
  <c r="J67" i="35"/>
  <c r="J68" i="35"/>
  <c r="J69" i="35"/>
  <c r="J71" i="35"/>
  <c r="J72" i="35"/>
  <c r="J73" i="35"/>
  <c r="J74" i="35"/>
  <c r="J75" i="35"/>
  <c r="J76" i="35"/>
  <c r="J77" i="35"/>
  <c r="J78" i="35"/>
  <c r="J79" i="35"/>
  <c r="J80" i="35"/>
  <c r="J81" i="35"/>
  <c r="J82" i="35"/>
  <c r="J83" i="35"/>
  <c r="J84" i="35"/>
  <c r="J85" i="35"/>
  <c r="J86" i="35"/>
  <c r="J87" i="35"/>
  <c r="J88" i="35"/>
  <c r="J89" i="35"/>
  <c r="J90" i="35"/>
  <c r="J91" i="35"/>
  <c r="J92" i="35"/>
  <c r="J93" i="35"/>
  <c r="J94" i="35"/>
  <c r="J95" i="35"/>
  <c r="J96" i="35"/>
  <c r="J97" i="35"/>
  <c r="J98" i="35"/>
  <c r="J99" i="35"/>
  <c r="J100" i="35"/>
  <c r="J101" i="35"/>
  <c r="J102" i="35"/>
  <c r="J103" i="35"/>
  <c r="J104" i="35"/>
  <c r="J105" i="35"/>
  <c r="J106" i="35"/>
  <c r="J107" i="35"/>
  <c r="J108" i="35"/>
  <c r="J109" i="35"/>
  <c r="J110" i="35"/>
  <c r="J111" i="35"/>
  <c r="J112" i="35"/>
  <c r="J113" i="35"/>
  <c r="J114" i="35"/>
  <c r="J115" i="35"/>
  <c r="J116" i="35"/>
  <c r="J117" i="35"/>
  <c r="J118" i="35"/>
  <c r="J119" i="35"/>
  <c r="J120" i="35"/>
  <c r="J121" i="35"/>
  <c r="J122" i="35"/>
  <c r="J123" i="35"/>
  <c r="J124" i="35"/>
  <c r="J125" i="35"/>
  <c r="J126" i="35"/>
  <c r="J127" i="35"/>
  <c r="J128" i="35"/>
  <c r="J129" i="35"/>
  <c r="J130" i="35"/>
  <c r="J131" i="35"/>
  <c r="J132" i="35"/>
  <c r="J133" i="35"/>
  <c r="J134" i="35"/>
  <c r="J135" i="35"/>
  <c r="J136" i="35"/>
  <c r="J137" i="35"/>
  <c r="J138" i="35"/>
  <c r="J139" i="35"/>
  <c r="J140" i="35"/>
  <c r="J141" i="35"/>
  <c r="J142" i="35"/>
  <c r="J143" i="35"/>
  <c r="J144" i="35"/>
  <c r="J145" i="35"/>
  <c r="J146" i="35"/>
  <c r="J147" i="35"/>
  <c r="J148" i="35"/>
  <c r="J149" i="35"/>
  <c r="J150" i="35"/>
  <c r="J151" i="35"/>
  <c r="J152" i="35"/>
  <c r="J153" i="35"/>
  <c r="J154" i="35"/>
  <c r="J155" i="35"/>
  <c r="J156" i="35"/>
  <c r="J157" i="35"/>
  <c r="J158" i="35"/>
  <c r="J159" i="35"/>
  <c r="J160" i="35"/>
  <c r="J161" i="35"/>
  <c r="J162" i="35"/>
  <c r="J163" i="35"/>
  <c r="J164" i="35"/>
  <c r="J165" i="35"/>
  <c r="J166" i="35"/>
  <c r="J167" i="35"/>
  <c r="J168" i="35"/>
  <c r="J169" i="35"/>
  <c r="J170" i="35"/>
  <c r="J171" i="35"/>
  <c r="J172" i="35"/>
  <c r="J173" i="35"/>
  <c r="J174" i="35"/>
  <c r="J175" i="35"/>
  <c r="J176" i="35"/>
  <c r="J177" i="35"/>
  <c r="J178" i="35"/>
  <c r="J179" i="35"/>
  <c r="J180" i="35"/>
  <c r="J181" i="35"/>
  <c r="J182" i="35"/>
  <c r="J183" i="35"/>
  <c r="J184" i="35"/>
  <c r="J185" i="35"/>
  <c r="J186" i="35"/>
  <c r="J187" i="35"/>
  <c r="J188" i="35"/>
  <c r="J189" i="35"/>
  <c r="J190" i="35"/>
  <c r="J191" i="35"/>
  <c r="J192" i="35"/>
  <c r="J193" i="35"/>
  <c r="J194" i="35"/>
  <c r="J195" i="35"/>
  <c r="J196" i="35"/>
  <c r="J197" i="35"/>
  <c r="J198" i="35"/>
  <c r="J199" i="35"/>
  <c r="J200" i="35"/>
  <c r="J201" i="35"/>
  <c r="J202" i="35"/>
  <c r="J203" i="35"/>
  <c r="J204" i="35"/>
  <c r="J205" i="35"/>
  <c r="J206" i="35"/>
  <c r="J207" i="35"/>
  <c r="J208" i="35"/>
  <c r="J209" i="35"/>
  <c r="J210" i="35"/>
  <c r="J211" i="35"/>
  <c r="J212" i="35"/>
  <c r="J213" i="35"/>
  <c r="J214" i="35"/>
  <c r="J215" i="35"/>
  <c r="J216" i="35"/>
  <c r="J217" i="35"/>
  <c r="J218" i="35"/>
  <c r="J219" i="35"/>
  <c r="J220" i="35"/>
  <c r="J221" i="35"/>
  <c r="J222" i="35"/>
  <c r="J223" i="35"/>
  <c r="J224" i="35"/>
  <c r="J225" i="35"/>
  <c r="J226" i="35"/>
  <c r="J227" i="35"/>
  <c r="J229" i="35"/>
  <c r="J230" i="35"/>
  <c r="J231" i="35"/>
  <c r="J232" i="35"/>
  <c r="J234" i="35"/>
  <c r="J235" i="35"/>
  <c r="J236" i="35"/>
  <c r="J237" i="35"/>
  <c r="J239" i="35"/>
  <c r="J240" i="35"/>
  <c r="J241" i="35"/>
  <c r="J242" i="35"/>
  <c r="J243" i="35"/>
  <c r="J244" i="35"/>
  <c r="J245" i="35"/>
  <c r="J246" i="35"/>
  <c r="J247" i="35"/>
  <c r="J248" i="35"/>
  <c r="J250" i="35"/>
  <c r="J251" i="35"/>
  <c r="J253" i="35"/>
  <c r="J255" i="35"/>
  <c r="J258" i="35"/>
  <c r="J254" i="35"/>
  <c r="J257" i="35"/>
  <c r="J252" i="35"/>
  <c r="J256" i="35"/>
  <c r="J259" i="35"/>
  <c r="J263" i="35"/>
  <c r="J260" i="35"/>
  <c r="J264" i="35"/>
  <c r="J265" i="35"/>
  <c r="J238" i="35"/>
  <c r="J266" i="35"/>
  <c r="J268" i="35"/>
  <c r="J267" i="35"/>
  <c r="J270" i="35"/>
  <c r="J271" i="35"/>
  <c r="J272" i="35"/>
  <c r="J261" i="35"/>
  <c r="J262" i="35"/>
  <c r="J269" i="35"/>
  <c r="J273" i="35"/>
  <c r="J275" i="35"/>
  <c r="J274" i="35"/>
  <c r="J249" i="35"/>
  <c r="J278" i="35"/>
  <c r="J283" i="35"/>
  <c r="J282" i="35"/>
  <c r="J277" i="35"/>
  <c r="J280" i="35"/>
  <c r="J281" i="35"/>
  <c r="J285" i="35"/>
  <c r="J286" i="35"/>
  <c r="J279" i="35"/>
  <c r="J284" i="35"/>
  <c r="J288" i="35"/>
  <c r="J290" i="35"/>
  <c r="J228" i="35"/>
  <c r="J292" i="35"/>
  <c r="J287" i="35"/>
  <c r="J289" i="35"/>
  <c r="J293" i="35"/>
  <c r="J294" i="35"/>
  <c r="J295" i="35"/>
  <c r="J296" i="35"/>
  <c r="J297" i="35"/>
  <c r="J298" i="35"/>
  <c r="J276" i="35"/>
  <c r="J300" i="35"/>
  <c r="J299" i="35"/>
  <c r="J301" i="35"/>
  <c r="J302" i="35"/>
  <c r="J305" i="35"/>
  <c r="J304" i="35"/>
  <c r="J307" i="35"/>
  <c r="J308" i="35"/>
  <c r="J309" i="35"/>
  <c r="J310" i="35"/>
  <c r="J313" i="35"/>
  <c r="J311" i="35"/>
  <c r="J312" i="35"/>
  <c r="J314" i="35"/>
  <c r="J315" i="35"/>
  <c r="J303" i="35"/>
  <c r="J316" i="35"/>
  <c r="J317" i="35"/>
  <c r="J324" i="35"/>
  <c r="J320" i="35"/>
  <c r="J321" i="35"/>
  <c r="J322" i="35"/>
  <c r="J323" i="35"/>
  <c r="J318" i="35"/>
  <c r="J319" i="35"/>
  <c r="J326" i="35"/>
  <c r="J325" i="35"/>
  <c r="J329" i="35"/>
  <c r="J328" i="35"/>
  <c r="J330" i="35"/>
  <c r="J332" i="35"/>
  <c r="J336" i="35"/>
  <c r="J334" i="35"/>
  <c r="J338" i="35"/>
  <c r="J333" i="35"/>
  <c r="J339" i="35"/>
  <c r="J340" i="35"/>
  <c r="J342" i="35"/>
  <c r="J2" i="35"/>
  <c r="J3" i="35"/>
  <c r="J343" i="35"/>
  <c r="J344" i="35"/>
  <c r="J345" i="35"/>
  <c r="J337" i="35"/>
  <c r="J306" i="35"/>
  <c r="J348" i="35"/>
  <c r="J349" i="35"/>
  <c r="J351" i="35"/>
  <c r="J350" i="35"/>
  <c r="J354" i="35"/>
  <c r="J356" i="35"/>
  <c r="J353" i="35"/>
  <c r="J355" i="35"/>
  <c r="J361" i="35"/>
  <c r="J357" i="35"/>
  <c r="J359" i="35"/>
  <c r="J346" i="35"/>
  <c r="J362" i="35"/>
  <c r="J363" i="35"/>
  <c r="J364" i="35"/>
  <c r="J366" i="35"/>
  <c r="J367" i="35"/>
  <c r="J368" i="35"/>
  <c r="J365" i="35"/>
  <c r="J369" i="35"/>
  <c r="J360" i="35"/>
  <c r="J327" i="35"/>
  <c r="J331" i="35"/>
  <c r="J347" i="35"/>
  <c r="J352" i="35"/>
  <c r="J341" i="35"/>
  <c r="J370" i="35"/>
  <c r="J371" i="35"/>
  <c r="J291" i="35"/>
  <c r="J372" i="35"/>
  <c r="J373" i="35"/>
  <c r="J358" i="35"/>
  <c r="J374" i="35"/>
  <c r="J375" i="35"/>
  <c r="J376" i="35"/>
  <c r="J377" i="35"/>
  <c r="J378" i="35"/>
  <c r="J379" i="35"/>
  <c r="J380" i="35"/>
  <c r="J381" i="35"/>
  <c r="J382" i="35"/>
  <c r="J335" i="35"/>
  <c r="J395" i="35"/>
  <c r="J399" i="35"/>
  <c r="J398" i="35"/>
  <c r="J400" i="35"/>
  <c r="J401" i="35"/>
  <c r="J4" i="35"/>
  <c r="F6" i="35"/>
  <c r="F7" i="35"/>
  <c r="I7" i="35" s="1"/>
  <c r="F8" i="35"/>
  <c r="F9" i="35"/>
  <c r="F10" i="35"/>
  <c r="F11" i="35"/>
  <c r="G11" i="35" s="1"/>
  <c r="F12" i="35"/>
  <c r="F13" i="35"/>
  <c r="F14" i="35"/>
  <c r="F15" i="35"/>
  <c r="G15" i="35" s="1"/>
  <c r="F16" i="35"/>
  <c r="F17" i="35"/>
  <c r="F18" i="35"/>
  <c r="F19" i="35"/>
  <c r="F20" i="35"/>
  <c r="G20" i="35" s="1"/>
  <c r="F21" i="35"/>
  <c r="F22" i="35"/>
  <c r="F23" i="35"/>
  <c r="G23" i="35" s="1"/>
  <c r="F24" i="35"/>
  <c r="G24" i="35" s="1"/>
  <c r="F25" i="35"/>
  <c r="F26" i="35"/>
  <c r="F27" i="35"/>
  <c r="H27" i="35" s="1"/>
  <c r="F28" i="35"/>
  <c r="F29" i="35"/>
  <c r="F30" i="35"/>
  <c r="F31" i="35"/>
  <c r="G31" i="35" s="1"/>
  <c r="F32" i="35"/>
  <c r="H32" i="35" s="1"/>
  <c r="F33" i="35"/>
  <c r="F34" i="35"/>
  <c r="F35" i="35"/>
  <c r="F36" i="35"/>
  <c r="I36" i="35" s="1"/>
  <c r="F37" i="35"/>
  <c r="F38" i="35"/>
  <c r="F39" i="35"/>
  <c r="H39" i="35" s="1"/>
  <c r="F40" i="35"/>
  <c r="F41" i="35"/>
  <c r="G41" i="35" s="1"/>
  <c r="F42" i="35"/>
  <c r="F43" i="35"/>
  <c r="H43" i="35" s="1"/>
  <c r="F44" i="35"/>
  <c r="F45" i="35"/>
  <c r="F46" i="35"/>
  <c r="F47" i="35"/>
  <c r="F48" i="35"/>
  <c r="H48" i="35" s="1"/>
  <c r="F49" i="35"/>
  <c r="G49" i="35" s="1"/>
  <c r="F50" i="35"/>
  <c r="F51" i="35"/>
  <c r="I51" i="35" s="1"/>
  <c r="F52" i="35"/>
  <c r="H52" i="35" s="1"/>
  <c r="F53" i="35"/>
  <c r="H53" i="35" s="1"/>
  <c r="F54" i="35"/>
  <c r="F55" i="35"/>
  <c r="H55" i="35" s="1"/>
  <c r="F56" i="35"/>
  <c r="F57" i="35"/>
  <c r="F58" i="35"/>
  <c r="F59" i="35"/>
  <c r="I59" i="35" s="1"/>
  <c r="F60" i="35"/>
  <c r="F61" i="35"/>
  <c r="G61" i="35" s="1"/>
  <c r="F62" i="35"/>
  <c r="F63" i="35"/>
  <c r="F64" i="35"/>
  <c r="F65" i="35"/>
  <c r="H65" i="35" s="1"/>
  <c r="F66" i="35"/>
  <c r="F67" i="35"/>
  <c r="F68" i="35"/>
  <c r="F69" i="35"/>
  <c r="H69" i="35" s="1"/>
  <c r="F71" i="35"/>
  <c r="F72" i="35"/>
  <c r="F73" i="35"/>
  <c r="F74" i="35"/>
  <c r="F75" i="35"/>
  <c r="F76" i="35"/>
  <c r="F77" i="35"/>
  <c r="H77" i="35" s="1"/>
  <c r="F78" i="35"/>
  <c r="F79" i="35"/>
  <c r="F80" i="35"/>
  <c r="F81" i="35"/>
  <c r="F82" i="35"/>
  <c r="F83" i="35"/>
  <c r="I83" i="35" s="1"/>
  <c r="F84" i="35"/>
  <c r="F85" i="35"/>
  <c r="F86" i="35"/>
  <c r="F87" i="35"/>
  <c r="G87" i="35" s="1"/>
  <c r="F88" i="35"/>
  <c r="F89" i="35"/>
  <c r="F90" i="35"/>
  <c r="F91" i="35"/>
  <c r="G91" i="35" s="1"/>
  <c r="F92" i="35"/>
  <c r="F93" i="35"/>
  <c r="F94" i="35"/>
  <c r="F95" i="35"/>
  <c r="F96" i="35"/>
  <c r="F97" i="35"/>
  <c r="F98" i="35"/>
  <c r="F99" i="35"/>
  <c r="F100" i="35"/>
  <c r="G100" i="35" s="1"/>
  <c r="F101" i="35"/>
  <c r="F102" i="35"/>
  <c r="F103" i="35"/>
  <c r="H103" i="35" s="1"/>
  <c r="F104" i="35"/>
  <c r="F105" i="35"/>
  <c r="F106" i="35"/>
  <c r="F107" i="35"/>
  <c r="G107" i="35" s="1"/>
  <c r="F108" i="35"/>
  <c r="H108" i="35" s="1"/>
  <c r="F109" i="35"/>
  <c r="F110" i="35"/>
  <c r="F111" i="35"/>
  <c r="F112" i="35"/>
  <c r="I112" i="35" s="1"/>
  <c r="F113" i="35"/>
  <c r="F114" i="35"/>
  <c r="F115" i="35"/>
  <c r="I115" i="35" s="1"/>
  <c r="F116" i="35"/>
  <c r="H116" i="35" s="1"/>
  <c r="F117" i="35"/>
  <c r="F118" i="35"/>
  <c r="F119" i="35"/>
  <c r="I119" i="35" s="1"/>
  <c r="F120" i="35"/>
  <c r="I120" i="35" s="1"/>
  <c r="F121" i="35"/>
  <c r="F122" i="35"/>
  <c r="F123" i="35"/>
  <c r="I123" i="35" s="1"/>
  <c r="F124" i="35"/>
  <c r="F125" i="35"/>
  <c r="F126" i="35"/>
  <c r="F127" i="35"/>
  <c r="F128" i="35"/>
  <c r="I128" i="35" s="1"/>
  <c r="F129" i="35"/>
  <c r="F130" i="35"/>
  <c r="F131" i="35"/>
  <c r="H131" i="35" s="1"/>
  <c r="F132" i="35"/>
  <c r="H132" i="35" s="1"/>
  <c r="F133" i="35"/>
  <c r="G133" i="35" s="1"/>
  <c r="F134" i="35"/>
  <c r="F135" i="35"/>
  <c r="H135" i="35" s="1"/>
  <c r="F136" i="35"/>
  <c r="F137" i="35"/>
  <c r="F138" i="35"/>
  <c r="F139" i="35"/>
  <c r="H139" i="35" s="1"/>
  <c r="F140" i="35"/>
  <c r="F141" i="35"/>
  <c r="F142" i="35"/>
  <c r="F143" i="35"/>
  <c r="F144" i="35"/>
  <c r="I144" i="35" s="1"/>
  <c r="F145" i="35"/>
  <c r="I145" i="35" s="1"/>
  <c r="F146" i="35"/>
  <c r="F147" i="35"/>
  <c r="I147" i="35" s="1"/>
  <c r="F148" i="35"/>
  <c r="H148" i="35" s="1"/>
  <c r="F149" i="35"/>
  <c r="F150" i="35"/>
  <c r="F151" i="35"/>
  <c r="H151" i="35" s="1"/>
  <c r="F152" i="35"/>
  <c r="G152" i="35" s="1"/>
  <c r="F153" i="35"/>
  <c r="F154" i="35"/>
  <c r="F155" i="35"/>
  <c r="G155" i="35" s="1"/>
  <c r="F156" i="35"/>
  <c r="F157" i="35"/>
  <c r="H157" i="35" s="1"/>
  <c r="F158" i="35"/>
  <c r="F159" i="35"/>
  <c r="I159" i="35" s="1"/>
  <c r="F160" i="35"/>
  <c r="F161" i="35"/>
  <c r="I161" i="35" s="1"/>
  <c r="F162" i="35"/>
  <c r="F163" i="35"/>
  <c r="I163" i="35" s="1"/>
  <c r="F164" i="35"/>
  <c r="G164" i="35" s="1"/>
  <c r="F165" i="35"/>
  <c r="F166" i="35"/>
  <c r="F167" i="35"/>
  <c r="H167" i="35" s="1"/>
  <c r="F168" i="35"/>
  <c r="I168" i="35" s="1"/>
  <c r="F169" i="35"/>
  <c r="I169" i="35" s="1"/>
  <c r="F170" i="35"/>
  <c r="F171" i="35"/>
  <c r="G171" i="35" s="1"/>
  <c r="F172" i="35"/>
  <c r="F173" i="35"/>
  <c r="I173" i="35" s="1"/>
  <c r="F174" i="35"/>
  <c r="G174" i="35" s="1"/>
  <c r="F175" i="35"/>
  <c r="G175" i="35" s="1"/>
  <c r="F176" i="35"/>
  <c r="I176" i="35" s="1"/>
  <c r="F177" i="35"/>
  <c r="F178" i="35"/>
  <c r="F179" i="35"/>
  <c r="I179" i="35" s="1"/>
  <c r="F180" i="35"/>
  <c r="I180" i="35" s="1"/>
  <c r="F181" i="35"/>
  <c r="G181" i="35" s="1"/>
  <c r="F182" i="35"/>
  <c r="F183" i="35"/>
  <c r="H183" i="35" s="1"/>
  <c r="F184" i="35"/>
  <c r="F185" i="35"/>
  <c r="I185" i="35" s="1"/>
  <c r="F186" i="35"/>
  <c r="F187" i="35"/>
  <c r="G187" i="35" s="1"/>
  <c r="F188" i="35"/>
  <c r="H188" i="35" s="1"/>
  <c r="F189" i="35"/>
  <c r="F190" i="35"/>
  <c r="F191" i="35"/>
  <c r="H191" i="35" s="1"/>
  <c r="F192" i="35"/>
  <c r="I192" i="35" s="1"/>
  <c r="F193" i="35"/>
  <c r="G193" i="35" s="1"/>
  <c r="F194" i="35"/>
  <c r="F195" i="35"/>
  <c r="I195" i="35" s="1"/>
  <c r="F196" i="35"/>
  <c r="F197" i="35"/>
  <c r="F198" i="35"/>
  <c r="F199" i="35"/>
  <c r="H199" i="35" s="1"/>
  <c r="F200" i="35"/>
  <c r="H200" i="35" s="1"/>
  <c r="F201" i="35"/>
  <c r="F202" i="35"/>
  <c r="I202" i="35" s="1"/>
  <c r="F203" i="35"/>
  <c r="G203" i="35" s="1"/>
  <c r="F204" i="35"/>
  <c r="H204" i="35" s="1"/>
  <c r="F205" i="35"/>
  <c r="G205" i="35" s="1"/>
  <c r="F206" i="35"/>
  <c r="F207" i="35"/>
  <c r="I207" i="35" s="1"/>
  <c r="F208" i="35"/>
  <c r="F209" i="35"/>
  <c r="H209" i="35" s="1"/>
  <c r="F210" i="35"/>
  <c r="F211" i="35"/>
  <c r="I211" i="35" s="1"/>
  <c r="F212" i="35"/>
  <c r="H212" i="35" s="1"/>
  <c r="F213" i="35"/>
  <c r="I213" i="35" s="1"/>
  <c r="F214" i="35"/>
  <c r="F215" i="35"/>
  <c r="H215" i="35" s="1"/>
  <c r="F216" i="35"/>
  <c r="F217" i="35"/>
  <c r="H217" i="35" s="1"/>
  <c r="F218" i="35"/>
  <c r="F219" i="35"/>
  <c r="I219" i="35" s="1"/>
  <c r="F220" i="35"/>
  <c r="I220" i="35" s="1"/>
  <c r="F221" i="35"/>
  <c r="F222" i="35"/>
  <c r="F223" i="35"/>
  <c r="H223" i="35" s="1"/>
  <c r="F224" i="35"/>
  <c r="G224" i="35" s="1"/>
  <c r="F225" i="35"/>
  <c r="F226" i="35"/>
  <c r="I226" i="35" s="1"/>
  <c r="F227" i="35"/>
  <c r="G227" i="35" s="1"/>
  <c r="F229" i="35"/>
  <c r="H229" i="35" s="1"/>
  <c r="F230" i="35"/>
  <c r="I230" i="35" s="1"/>
  <c r="F231" i="35"/>
  <c r="F232" i="35"/>
  <c r="G232" i="35" s="1"/>
  <c r="F234" i="35"/>
  <c r="H234" i="35" s="1"/>
  <c r="F235" i="35"/>
  <c r="F236" i="35"/>
  <c r="I236" i="35" s="1"/>
  <c r="F237" i="35"/>
  <c r="F239" i="35"/>
  <c r="F240" i="35"/>
  <c r="F241" i="35"/>
  <c r="H241" i="35" s="1"/>
  <c r="F242" i="35"/>
  <c r="G242" i="35" s="1"/>
  <c r="F243" i="35"/>
  <c r="F244" i="35"/>
  <c r="F245" i="35"/>
  <c r="G245" i="35" s="1"/>
  <c r="F246" i="35"/>
  <c r="H246" i="35" s="1"/>
  <c r="F247" i="35"/>
  <c r="F248" i="35"/>
  <c r="F250" i="35"/>
  <c r="H250" i="35" s="1"/>
  <c r="F251" i="35"/>
  <c r="F253" i="35"/>
  <c r="H253" i="35" s="1"/>
  <c r="F255" i="35"/>
  <c r="F258" i="35"/>
  <c r="I258" i="35" s="1"/>
  <c r="F254" i="35"/>
  <c r="I254" i="35" s="1"/>
  <c r="F257" i="35"/>
  <c r="G257" i="35" s="1"/>
  <c r="F252" i="35"/>
  <c r="F256" i="35"/>
  <c r="H256" i="35" s="1"/>
  <c r="F259" i="35"/>
  <c r="G259" i="35" s="1"/>
  <c r="F263" i="35"/>
  <c r="F260" i="35"/>
  <c r="F264" i="35"/>
  <c r="G264" i="35" s="1"/>
  <c r="F265" i="35"/>
  <c r="F238" i="35"/>
  <c r="F266" i="35"/>
  <c r="G266" i="35" s="1"/>
  <c r="F268" i="35"/>
  <c r="G268" i="35" s="1"/>
  <c r="F267" i="35"/>
  <c r="F270" i="35"/>
  <c r="H270" i="35" s="1"/>
  <c r="F271" i="35"/>
  <c r="F272" i="35"/>
  <c r="I272" i="35" s="1"/>
  <c r="F261" i="35"/>
  <c r="I261" i="35" s="1"/>
  <c r="F262" i="35"/>
  <c r="G262" i="35" s="1"/>
  <c r="F269" i="35"/>
  <c r="F273" i="35"/>
  <c r="H273" i="35" s="1"/>
  <c r="F275" i="35"/>
  <c r="G275" i="35" s="1"/>
  <c r="F274" i="35"/>
  <c r="F249" i="35"/>
  <c r="F278" i="35"/>
  <c r="G278" i="35" s="1"/>
  <c r="F283" i="35"/>
  <c r="H283" i="35" s="1"/>
  <c r="F282" i="35"/>
  <c r="I282" i="35" s="1"/>
  <c r="F277" i="35"/>
  <c r="F280" i="35"/>
  <c r="H280" i="35" s="1"/>
  <c r="F281" i="35"/>
  <c r="F285" i="35"/>
  <c r="H285" i="35" s="1"/>
  <c r="F286" i="35"/>
  <c r="F279" i="35"/>
  <c r="I279" i="35" s="1"/>
  <c r="F284" i="35"/>
  <c r="I284" i="35" s="1"/>
  <c r="F288" i="35"/>
  <c r="F290" i="35"/>
  <c r="F228" i="35"/>
  <c r="H228" i="35" s="1"/>
  <c r="F292" i="35"/>
  <c r="G292" i="35" s="1"/>
  <c r="F287" i="35"/>
  <c r="I287" i="35" s="1"/>
  <c r="F289" i="35"/>
  <c r="F293" i="35"/>
  <c r="I293" i="35" s="1"/>
  <c r="F294" i="35"/>
  <c r="G294" i="35" s="1"/>
  <c r="F295" i="35"/>
  <c r="F296" i="35"/>
  <c r="F297" i="35"/>
  <c r="I297" i="35" s="1"/>
  <c r="F298" i="35"/>
  <c r="G298" i="35" s="1"/>
  <c r="F276" i="35"/>
  <c r="I276" i="35" s="1"/>
  <c r="F300" i="35"/>
  <c r="F299" i="35"/>
  <c r="I299" i="35" s="1"/>
  <c r="F301" i="35"/>
  <c r="G301" i="35" s="1"/>
  <c r="F302" i="35"/>
  <c r="F305" i="35"/>
  <c r="F304" i="35"/>
  <c r="I304" i="35" s="1"/>
  <c r="F307" i="35"/>
  <c r="G307" i="35" s="1"/>
  <c r="F308" i="35"/>
  <c r="I308" i="35" s="1"/>
  <c r="F309" i="35"/>
  <c r="F310" i="35"/>
  <c r="I310" i="35" s="1"/>
  <c r="F313" i="35"/>
  <c r="G313" i="35" s="1"/>
  <c r="F311" i="35"/>
  <c r="F312" i="35"/>
  <c r="F314" i="35"/>
  <c r="I314" i="35" s="1"/>
  <c r="F315" i="35"/>
  <c r="G315" i="35" s="1"/>
  <c r="F303" i="35"/>
  <c r="I303" i="35" s="1"/>
  <c r="F316" i="35"/>
  <c r="F317" i="35"/>
  <c r="I317" i="35" s="1"/>
  <c r="F324" i="35"/>
  <c r="G324" i="35" s="1"/>
  <c r="F320" i="35"/>
  <c r="F321" i="35"/>
  <c r="F322" i="35"/>
  <c r="I322" i="35" s="1"/>
  <c r="F323" i="35"/>
  <c r="G323" i="35" s="1"/>
  <c r="F318" i="35"/>
  <c r="I318" i="35" s="1"/>
  <c r="F319" i="35"/>
  <c r="F326" i="35"/>
  <c r="I326" i="35" s="1"/>
  <c r="F325" i="35"/>
  <c r="G325" i="35" s="1"/>
  <c r="F329" i="35"/>
  <c r="F328" i="35"/>
  <c r="F330" i="35"/>
  <c r="I330" i="35" s="1"/>
  <c r="F332" i="35"/>
  <c r="G332" i="35" s="1"/>
  <c r="F336" i="35"/>
  <c r="I336" i="35" s="1"/>
  <c r="F334" i="35"/>
  <c r="G334" i="35" s="1"/>
  <c r="F338" i="35"/>
  <c r="I338" i="35" s="1"/>
  <c r="F333" i="35"/>
  <c r="G333" i="35" s="1"/>
  <c r="F339" i="35"/>
  <c r="F340" i="35"/>
  <c r="F342" i="35"/>
  <c r="I342" i="35" s="1"/>
  <c r="F2" i="35"/>
  <c r="G2" i="35" s="1"/>
  <c r="F3" i="35"/>
  <c r="I3" i="35" s="1"/>
  <c r="F343" i="35"/>
  <c r="G343" i="35" s="1"/>
  <c r="F344" i="35"/>
  <c r="I344" i="35" s="1"/>
  <c r="F345" i="35"/>
  <c r="G345" i="35" s="1"/>
  <c r="F337" i="35"/>
  <c r="F306" i="35"/>
  <c r="F348" i="35"/>
  <c r="I348" i="35" s="1"/>
  <c r="F349" i="35"/>
  <c r="G349" i="35" s="1"/>
  <c r="F351" i="35"/>
  <c r="I351" i="35" s="1"/>
  <c r="F350" i="35"/>
  <c r="G350" i="35" s="1"/>
  <c r="F354" i="35"/>
  <c r="I354" i="35" s="1"/>
  <c r="F356" i="35"/>
  <c r="G356" i="35" s="1"/>
  <c r="F353" i="35"/>
  <c r="F355" i="35"/>
  <c r="F361" i="35"/>
  <c r="I361" i="35" s="1"/>
  <c r="F357" i="35"/>
  <c r="G357" i="35" s="1"/>
  <c r="F359" i="35"/>
  <c r="I359" i="35" s="1"/>
  <c r="F346" i="35"/>
  <c r="F362" i="35"/>
  <c r="I362" i="35" s="1"/>
  <c r="F363" i="35"/>
  <c r="G363" i="35" s="1"/>
  <c r="F364" i="35"/>
  <c r="F366" i="35"/>
  <c r="F367" i="35"/>
  <c r="I367" i="35" s="1"/>
  <c r="F368" i="35"/>
  <c r="G368" i="35" s="1"/>
  <c r="F365" i="35"/>
  <c r="I365" i="35" s="1"/>
  <c r="F369" i="35"/>
  <c r="F360" i="35"/>
  <c r="I360" i="35" s="1"/>
  <c r="F327" i="35"/>
  <c r="G327" i="35" s="1"/>
  <c r="F331" i="35"/>
  <c r="F347" i="35"/>
  <c r="F352" i="35"/>
  <c r="I352" i="35" s="1"/>
  <c r="F341" i="35"/>
  <c r="G341" i="35" s="1"/>
  <c r="F370" i="35"/>
  <c r="I370" i="35" s="1"/>
  <c r="F371" i="35"/>
  <c r="F291" i="35"/>
  <c r="I291" i="35" s="1"/>
  <c r="F372" i="35"/>
  <c r="G372" i="35" s="1"/>
  <c r="F373" i="35"/>
  <c r="F358" i="35"/>
  <c r="F374" i="35"/>
  <c r="I374" i="35" s="1"/>
  <c r="F375" i="35"/>
  <c r="G375" i="35" s="1"/>
  <c r="F376" i="35"/>
  <c r="I376" i="35" s="1"/>
  <c r="F377" i="35"/>
  <c r="F378" i="35"/>
  <c r="I378" i="35" s="1"/>
  <c r="F379" i="35"/>
  <c r="G379" i="35" s="1"/>
  <c r="F380" i="35"/>
  <c r="F381" i="35"/>
  <c r="F382" i="35"/>
  <c r="I382" i="35" s="1"/>
  <c r="F335" i="35"/>
  <c r="G335" i="35" s="1"/>
  <c r="F395" i="35"/>
  <c r="I395" i="35" s="1"/>
  <c r="F399" i="35"/>
  <c r="F398" i="35"/>
  <c r="I398" i="35" s="1"/>
  <c r="F400" i="35"/>
  <c r="I400" i="35" s="1"/>
  <c r="F401" i="35"/>
  <c r="G401" i="35" s="1"/>
  <c r="I384" i="35" l="1"/>
  <c r="I264" i="35"/>
  <c r="I389" i="35"/>
  <c r="H147" i="35"/>
  <c r="G348" i="35"/>
  <c r="H333" i="35"/>
  <c r="G258" i="35"/>
  <c r="H123" i="35"/>
  <c r="H326" i="35"/>
  <c r="I241" i="35"/>
  <c r="G317" i="35"/>
  <c r="I39" i="35"/>
  <c r="I301" i="35"/>
  <c r="G215" i="35"/>
  <c r="H294" i="35"/>
  <c r="I199" i="35"/>
  <c r="H361" i="35"/>
  <c r="G159" i="35"/>
  <c r="I372" i="35"/>
  <c r="G279" i="35"/>
  <c r="H759" i="36"/>
  <c r="G759" i="36"/>
  <c r="H694" i="36"/>
  <c r="G694" i="36"/>
  <c r="H617" i="36"/>
  <c r="G617" i="36"/>
  <c r="H553" i="36"/>
  <c r="G553" i="36"/>
  <c r="H497" i="36"/>
  <c r="G497" i="36"/>
  <c r="H449" i="36"/>
  <c r="G449" i="36"/>
  <c r="G400" i="36"/>
  <c r="H400" i="36"/>
  <c r="H343" i="36"/>
  <c r="G343" i="36"/>
  <c r="H271" i="36"/>
  <c r="G271" i="36"/>
  <c r="G199" i="36"/>
  <c r="H199" i="36"/>
  <c r="G135" i="36"/>
  <c r="H135" i="36"/>
  <c r="G63" i="36"/>
  <c r="H63" i="36"/>
  <c r="H23" i="36"/>
  <c r="G23" i="36"/>
  <c r="G2" i="36"/>
  <c r="H2" i="36"/>
  <c r="G775" i="36"/>
  <c r="H775" i="36"/>
  <c r="G766" i="36"/>
  <c r="H766" i="36"/>
  <c r="H758" i="36"/>
  <c r="G758" i="36"/>
  <c r="G750" i="36"/>
  <c r="H750" i="36"/>
  <c r="G742" i="36"/>
  <c r="H742" i="36"/>
  <c r="G734" i="36"/>
  <c r="H734" i="36"/>
  <c r="G725" i="36"/>
  <c r="H725" i="36"/>
  <c r="G717" i="36"/>
  <c r="H717" i="36"/>
  <c r="G709" i="36"/>
  <c r="H709" i="36"/>
  <c r="G701" i="36"/>
  <c r="H701" i="36"/>
  <c r="H689" i="36"/>
  <c r="G689" i="36"/>
  <c r="G680" i="36"/>
  <c r="H680" i="36"/>
  <c r="H672" i="36"/>
  <c r="G672" i="36"/>
  <c r="H664" i="36"/>
  <c r="G664" i="36"/>
  <c r="G656" i="36"/>
  <c r="H656" i="36"/>
  <c r="H648" i="36"/>
  <c r="G648" i="36"/>
  <c r="H640" i="36"/>
  <c r="G640" i="36"/>
  <c r="H632" i="36"/>
  <c r="G632" i="36"/>
  <c r="H624" i="36"/>
  <c r="G624" i="36"/>
  <c r="H616" i="36"/>
  <c r="G616" i="36"/>
  <c r="G608" i="36"/>
  <c r="H608" i="36"/>
  <c r="H600" i="36"/>
  <c r="G600" i="36"/>
  <c r="G592" i="36"/>
  <c r="H592" i="36"/>
  <c r="H584" i="36"/>
  <c r="G584" i="36"/>
  <c r="G576" i="36"/>
  <c r="H576" i="36"/>
  <c r="H568" i="36"/>
  <c r="G568" i="36"/>
  <c r="G560" i="36"/>
  <c r="H560" i="36"/>
  <c r="H552" i="36"/>
  <c r="G552" i="36"/>
  <c r="G544" i="36"/>
  <c r="H544" i="36"/>
  <c r="H536" i="36"/>
  <c r="G536" i="36"/>
  <c r="G528" i="36"/>
  <c r="H528" i="36"/>
  <c r="H520" i="36"/>
  <c r="G520" i="36"/>
  <c r="G512" i="36"/>
  <c r="H512" i="36"/>
  <c r="G504" i="36"/>
  <c r="H504" i="36"/>
  <c r="G496" i="36"/>
  <c r="H496" i="36"/>
  <c r="H488" i="36"/>
  <c r="G488" i="36"/>
  <c r="H480" i="36"/>
  <c r="G480" i="36"/>
  <c r="G472" i="36"/>
  <c r="H472" i="36"/>
  <c r="H464" i="36"/>
  <c r="G464" i="36"/>
  <c r="H456" i="36"/>
  <c r="G456" i="36"/>
  <c r="H448" i="36"/>
  <c r="G448" i="36"/>
  <c r="H440" i="36"/>
  <c r="G440" i="36"/>
  <c r="G432" i="36"/>
  <c r="H432" i="36"/>
  <c r="H424" i="36"/>
  <c r="G424" i="36"/>
  <c r="H416" i="36"/>
  <c r="G416" i="36"/>
  <c r="H407" i="36"/>
  <c r="G407" i="36"/>
  <c r="H399" i="36"/>
  <c r="G399" i="36"/>
  <c r="G391" i="36"/>
  <c r="H391" i="36"/>
  <c r="G383" i="36"/>
  <c r="H383" i="36"/>
  <c r="H374" i="36"/>
  <c r="G374" i="36"/>
  <c r="H366" i="36"/>
  <c r="G366" i="36"/>
  <c r="G358" i="36"/>
  <c r="H358" i="36"/>
  <c r="H350" i="36"/>
  <c r="G350" i="36"/>
  <c r="H342" i="36"/>
  <c r="G342" i="36"/>
  <c r="H334" i="36"/>
  <c r="G334" i="36"/>
  <c r="H326" i="36"/>
  <c r="G326" i="36"/>
  <c r="H318" i="36"/>
  <c r="G318" i="36"/>
  <c r="H310" i="36"/>
  <c r="G310" i="36"/>
  <c r="H302" i="36"/>
  <c r="G302" i="36"/>
  <c r="H294" i="36"/>
  <c r="G294" i="36"/>
  <c r="H286" i="36"/>
  <c r="G286" i="36"/>
  <c r="H278" i="36"/>
  <c r="G278" i="36"/>
  <c r="H270" i="36"/>
  <c r="G270" i="36"/>
  <c r="H262" i="36"/>
  <c r="G262" i="36"/>
  <c r="H254" i="36"/>
  <c r="G254" i="36"/>
  <c r="H246" i="36"/>
  <c r="G246" i="36"/>
  <c r="H238" i="36"/>
  <c r="G238" i="36"/>
  <c r="H230" i="36"/>
  <c r="G230" i="36"/>
  <c r="H222" i="36"/>
  <c r="G222" i="36"/>
  <c r="H214" i="36"/>
  <c r="G214" i="36"/>
  <c r="H206" i="36"/>
  <c r="G206" i="36"/>
  <c r="H198" i="36"/>
  <c r="G198" i="36"/>
  <c r="H190" i="36"/>
  <c r="G190" i="36"/>
  <c r="H182" i="36"/>
  <c r="G182" i="36"/>
  <c r="H174" i="36"/>
  <c r="G174" i="36"/>
  <c r="H166" i="36"/>
  <c r="G166" i="36"/>
  <c r="H158" i="36"/>
  <c r="G158" i="36"/>
  <c r="H150" i="36"/>
  <c r="G150" i="36"/>
  <c r="H142" i="36"/>
  <c r="G142" i="36"/>
  <c r="H134" i="36"/>
  <c r="G134" i="36"/>
  <c r="H126" i="36"/>
  <c r="G126" i="36"/>
  <c r="H118" i="36"/>
  <c r="G118" i="36"/>
  <c r="H110" i="36"/>
  <c r="G110" i="36"/>
  <c r="H102" i="36"/>
  <c r="G102" i="36"/>
  <c r="H94" i="36"/>
  <c r="G94" i="36"/>
  <c r="H86" i="36"/>
  <c r="G86" i="36"/>
  <c r="H78" i="36"/>
  <c r="G78" i="36"/>
  <c r="H70" i="36"/>
  <c r="G70" i="36"/>
  <c r="H62" i="36"/>
  <c r="G62" i="36"/>
  <c r="H54" i="36"/>
  <c r="G54" i="36"/>
  <c r="H46" i="36"/>
  <c r="G46" i="36"/>
  <c r="H38" i="36"/>
  <c r="G38" i="36"/>
  <c r="H30" i="36"/>
  <c r="G30" i="36"/>
  <c r="H22" i="36"/>
  <c r="G22" i="36"/>
  <c r="H14" i="36"/>
  <c r="G14" i="36"/>
  <c r="H6" i="36"/>
  <c r="G6" i="36"/>
  <c r="H776" i="36"/>
  <c r="G776" i="36"/>
  <c r="H726" i="36"/>
  <c r="G726" i="36"/>
  <c r="H702" i="36"/>
  <c r="G702" i="36"/>
  <c r="H657" i="36"/>
  <c r="G657" i="36"/>
  <c r="H609" i="36"/>
  <c r="G609" i="36"/>
  <c r="H569" i="36"/>
  <c r="G569" i="36"/>
  <c r="H513" i="36"/>
  <c r="G513" i="36"/>
  <c r="H473" i="36"/>
  <c r="G473" i="36"/>
  <c r="G433" i="36"/>
  <c r="H433" i="36"/>
  <c r="H384" i="36"/>
  <c r="G384" i="36"/>
  <c r="H335" i="36"/>
  <c r="G335" i="36"/>
  <c r="G287" i="36"/>
  <c r="H287" i="36"/>
  <c r="G223" i="36"/>
  <c r="H223" i="36"/>
  <c r="H151" i="36"/>
  <c r="G151" i="36"/>
  <c r="H87" i="36"/>
  <c r="G87" i="36"/>
  <c r="G39" i="36"/>
  <c r="H39" i="36"/>
  <c r="H412" i="36"/>
  <c r="G412" i="36"/>
  <c r="H774" i="36"/>
  <c r="G774" i="36"/>
  <c r="H685" i="36"/>
  <c r="G685" i="36"/>
  <c r="H757" i="36"/>
  <c r="G757" i="36"/>
  <c r="H749" i="36"/>
  <c r="G749" i="36"/>
  <c r="H741" i="36"/>
  <c r="G741" i="36"/>
  <c r="H733" i="36"/>
  <c r="G733" i="36"/>
  <c r="H724" i="36"/>
  <c r="G724" i="36"/>
  <c r="H716" i="36"/>
  <c r="G716" i="36"/>
  <c r="H708" i="36"/>
  <c r="G708" i="36"/>
  <c r="H700" i="36"/>
  <c r="G700" i="36"/>
  <c r="H688" i="36"/>
  <c r="G688" i="36"/>
  <c r="H679" i="36"/>
  <c r="G679" i="36"/>
  <c r="H671" i="36"/>
  <c r="G671" i="36"/>
  <c r="H663" i="36"/>
  <c r="G663" i="36"/>
  <c r="H655" i="36"/>
  <c r="G655" i="36"/>
  <c r="H647" i="36"/>
  <c r="G647" i="36"/>
  <c r="H639" i="36"/>
  <c r="G639" i="36"/>
  <c r="H631" i="36"/>
  <c r="G631" i="36"/>
  <c r="H623" i="36"/>
  <c r="G623" i="36"/>
  <c r="H615" i="36"/>
  <c r="G615" i="36"/>
  <c r="H607" i="36"/>
  <c r="G607" i="36"/>
  <c r="H599" i="36"/>
  <c r="G599" i="36"/>
  <c r="H591" i="36"/>
  <c r="G591" i="36"/>
  <c r="H583" i="36"/>
  <c r="G583" i="36"/>
  <c r="H575" i="36"/>
  <c r="G575" i="36"/>
  <c r="H567" i="36"/>
  <c r="G567" i="36"/>
  <c r="H559" i="36"/>
  <c r="G559" i="36"/>
  <c r="H551" i="36"/>
  <c r="G551" i="36"/>
  <c r="H543" i="36"/>
  <c r="G543" i="36"/>
  <c r="H535" i="36"/>
  <c r="G535" i="36"/>
  <c r="H527" i="36"/>
  <c r="G527" i="36"/>
  <c r="H519" i="36"/>
  <c r="G519" i="36"/>
  <c r="H511" i="36"/>
  <c r="G511" i="36"/>
  <c r="H503" i="36"/>
  <c r="G503" i="36"/>
  <c r="H495" i="36"/>
  <c r="G495" i="36"/>
  <c r="H487" i="36"/>
  <c r="G487" i="36"/>
  <c r="H479" i="36"/>
  <c r="G479" i="36"/>
  <c r="H471" i="36"/>
  <c r="G471" i="36"/>
  <c r="H463" i="36"/>
  <c r="G463" i="36"/>
  <c r="H455" i="36"/>
  <c r="G455" i="36"/>
  <c r="G447" i="36"/>
  <c r="H447" i="36"/>
  <c r="H439" i="36"/>
  <c r="G439" i="36"/>
  <c r="H431" i="36"/>
  <c r="G431" i="36"/>
  <c r="H423" i="36"/>
  <c r="G423" i="36"/>
  <c r="G415" i="36"/>
  <c r="H415" i="36"/>
  <c r="H406" i="36"/>
  <c r="G406" i="36"/>
  <c r="H398" i="36"/>
  <c r="G398" i="36"/>
  <c r="H390" i="36"/>
  <c r="G390" i="36"/>
  <c r="H382" i="36"/>
  <c r="G382" i="36"/>
  <c r="H373" i="36"/>
  <c r="G373" i="36"/>
  <c r="H365" i="36"/>
  <c r="G365" i="36"/>
  <c r="H357" i="36"/>
  <c r="G357" i="36"/>
  <c r="H349" i="36"/>
  <c r="G349" i="36"/>
  <c r="H341" i="36"/>
  <c r="G341" i="36"/>
  <c r="H333" i="36"/>
  <c r="G333" i="36"/>
  <c r="H325" i="36"/>
  <c r="G325" i="36"/>
  <c r="H317" i="36"/>
  <c r="G317" i="36"/>
  <c r="H309" i="36"/>
  <c r="G309" i="36"/>
  <c r="H301" i="36"/>
  <c r="G301" i="36"/>
  <c r="H293" i="36"/>
  <c r="G293" i="36"/>
  <c r="H285" i="36"/>
  <c r="G285" i="36"/>
  <c r="H277" i="36"/>
  <c r="G277" i="36"/>
  <c r="H269" i="36"/>
  <c r="G269" i="36"/>
  <c r="H261" i="36"/>
  <c r="G261" i="36"/>
  <c r="H253" i="36"/>
  <c r="G253" i="36"/>
  <c r="H245" i="36"/>
  <c r="G245" i="36"/>
  <c r="H237" i="36"/>
  <c r="G237" i="36"/>
  <c r="H229" i="36"/>
  <c r="G229" i="36"/>
  <c r="H221" i="36"/>
  <c r="G221" i="36"/>
  <c r="H213" i="36"/>
  <c r="G213" i="36"/>
  <c r="H205" i="36"/>
  <c r="G205" i="36"/>
  <c r="H197" i="36"/>
  <c r="G197" i="36"/>
  <c r="H189" i="36"/>
  <c r="G189" i="36"/>
  <c r="H181" i="36"/>
  <c r="G181" i="36"/>
  <c r="H173" i="36"/>
  <c r="G173" i="36"/>
  <c r="H165" i="36"/>
  <c r="G165" i="36"/>
  <c r="H157" i="36"/>
  <c r="G157" i="36"/>
  <c r="H149" i="36"/>
  <c r="G149" i="36"/>
  <c r="H141" i="36"/>
  <c r="G141" i="36"/>
  <c r="H133" i="36"/>
  <c r="G133" i="36"/>
  <c r="H125" i="36"/>
  <c r="G125" i="36"/>
  <c r="H117" i="36"/>
  <c r="G117" i="36"/>
  <c r="H109" i="36"/>
  <c r="G109" i="36"/>
  <c r="H101" i="36"/>
  <c r="G101" i="36"/>
  <c r="H93" i="36"/>
  <c r="G93" i="36"/>
  <c r="H85" i="36"/>
  <c r="G85" i="36"/>
  <c r="H77" i="36"/>
  <c r="G77" i="36"/>
  <c r="H69" i="36"/>
  <c r="G69" i="36"/>
  <c r="H61" i="36"/>
  <c r="G61" i="36"/>
  <c r="H53" i="36"/>
  <c r="G53" i="36"/>
  <c r="H45" i="36"/>
  <c r="G45" i="36"/>
  <c r="H37" i="36"/>
  <c r="G37" i="36"/>
  <c r="H29" i="36"/>
  <c r="G29" i="36"/>
  <c r="H21" i="36"/>
  <c r="G21" i="36"/>
  <c r="H13" i="36"/>
  <c r="G13" i="36"/>
  <c r="H5" i="36"/>
  <c r="G5" i="36"/>
  <c r="H545" i="36"/>
  <c r="G545" i="36"/>
  <c r="G103" i="36"/>
  <c r="H103" i="36"/>
  <c r="H781" i="36"/>
  <c r="G781" i="36"/>
  <c r="G773" i="36"/>
  <c r="H773" i="36"/>
  <c r="G756" i="36"/>
  <c r="H756" i="36"/>
  <c r="H748" i="36"/>
  <c r="G748" i="36"/>
  <c r="H740" i="36"/>
  <c r="G740" i="36"/>
  <c r="H732" i="36"/>
  <c r="G732" i="36"/>
  <c r="H723" i="36"/>
  <c r="G723" i="36"/>
  <c r="H715" i="36"/>
  <c r="G715" i="36"/>
  <c r="H707" i="36"/>
  <c r="G707" i="36"/>
  <c r="H699" i="36"/>
  <c r="G699" i="36"/>
  <c r="H687" i="36"/>
  <c r="G687" i="36"/>
  <c r="H678" i="36"/>
  <c r="G678" i="36"/>
  <c r="H670" i="36"/>
  <c r="G670" i="36"/>
  <c r="H654" i="36"/>
  <c r="G654" i="36"/>
  <c r="H646" i="36"/>
  <c r="G646" i="36"/>
  <c r="H638" i="36"/>
  <c r="G638" i="36"/>
  <c r="H630" i="36"/>
  <c r="G630" i="36"/>
  <c r="H622" i="36"/>
  <c r="G622" i="36"/>
  <c r="H614" i="36"/>
  <c r="G614" i="36"/>
  <c r="H606" i="36"/>
  <c r="G606" i="36"/>
  <c r="H598" i="36"/>
  <c r="G598" i="36"/>
  <c r="H590" i="36"/>
  <c r="G590" i="36"/>
  <c r="H582" i="36"/>
  <c r="G582" i="36"/>
  <c r="H574" i="36"/>
  <c r="G574" i="36"/>
  <c r="H566" i="36"/>
  <c r="G566" i="36"/>
  <c r="H558" i="36"/>
  <c r="G558" i="36"/>
  <c r="H550" i="36"/>
  <c r="G550" i="36"/>
  <c r="H542" i="36"/>
  <c r="G542" i="36"/>
  <c r="H534" i="36"/>
  <c r="G534" i="36"/>
  <c r="H526" i="36"/>
  <c r="G526" i="36"/>
  <c r="H518" i="36"/>
  <c r="G518" i="36"/>
  <c r="H510" i="36"/>
  <c r="G510" i="36"/>
  <c r="H502" i="36"/>
  <c r="G502" i="36"/>
  <c r="H494" i="36"/>
  <c r="G494" i="36"/>
  <c r="H486" i="36"/>
  <c r="G486" i="36"/>
  <c r="H478" i="36"/>
  <c r="G478" i="36"/>
  <c r="H470" i="36"/>
  <c r="G470" i="36"/>
  <c r="H462" i="36"/>
  <c r="G462" i="36"/>
  <c r="H454" i="36"/>
  <c r="G454" i="36"/>
  <c r="H446" i="36"/>
  <c r="G446" i="36"/>
  <c r="H438" i="36"/>
  <c r="G438" i="36"/>
  <c r="H430" i="36"/>
  <c r="G430" i="36"/>
  <c r="H422" i="36"/>
  <c r="G422" i="36"/>
  <c r="G414" i="36"/>
  <c r="H414" i="36"/>
  <c r="H405" i="36"/>
  <c r="G405" i="36"/>
  <c r="H397" i="36"/>
  <c r="G397" i="36"/>
  <c r="H389" i="36"/>
  <c r="G389" i="36"/>
  <c r="H380" i="36"/>
  <c r="G380" i="36"/>
  <c r="H372" i="36"/>
  <c r="G372" i="36"/>
  <c r="H364" i="36"/>
  <c r="G364" i="36"/>
  <c r="H356" i="36"/>
  <c r="G356" i="36"/>
  <c r="H348" i="36"/>
  <c r="G348" i="36"/>
  <c r="H340" i="36"/>
  <c r="G340" i="36"/>
  <c r="H332" i="36"/>
  <c r="G332" i="36"/>
  <c r="G324" i="36"/>
  <c r="H324" i="36"/>
  <c r="H316" i="36"/>
  <c r="G316" i="36"/>
  <c r="H308" i="36"/>
  <c r="G308" i="36"/>
  <c r="H300" i="36"/>
  <c r="G300" i="36"/>
  <c r="H292" i="36"/>
  <c r="G292" i="36"/>
  <c r="H284" i="36"/>
  <c r="G284" i="36"/>
  <c r="H276" i="36"/>
  <c r="G276" i="36"/>
  <c r="H268" i="36"/>
  <c r="G268" i="36"/>
  <c r="G260" i="36"/>
  <c r="H260" i="36"/>
  <c r="H252" i="36"/>
  <c r="G252" i="36"/>
  <c r="H244" i="36"/>
  <c r="G244" i="36"/>
  <c r="H236" i="36"/>
  <c r="G236" i="36"/>
  <c r="H228" i="36"/>
  <c r="G228" i="36"/>
  <c r="H220" i="36"/>
  <c r="G220" i="36"/>
  <c r="H212" i="36"/>
  <c r="G212" i="36"/>
  <c r="H204" i="36"/>
  <c r="G204" i="36"/>
  <c r="H196" i="36"/>
  <c r="G196" i="36"/>
  <c r="H188" i="36"/>
  <c r="G188" i="36"/>
  <c r="H180" i="36"/>
  <c r="G180" i="36"/>
  <c r="H172" i="36"/>
  <c r="G172" i="36"/>
  <c r="G164" i="36"/>
  <c r="H164" i="36"/>
  <c r="H156" i="36"/>
  <c r="G156" i="36"/>
  <c r="H148" i="36"/>
  <c r="G148" i="36"/>
  <c r="H140" i="36"/>
  <c r="G140" i="36"/>
  <c r="G132" i="36"/>
  <c r="H132" i="36"/>
  <c r="H124" i="36"/>
  <c r="G124" i="36"/>
  <c r="H116" i="36"/>
  <c r="G116" i="36"/>
  <c r="H108" i="36"/>
  <c r="G108" i="36"/>
  <c r="H100" i="36"/>
  <c r="G100" i="36"/>
  <c r="H92" i="36"/>
  <c r="G92" i="36"/>
  <c r="H84" i="36"/>
  <c r="G84" i="36"/>
  <c r="G76" i="36"/>
  <c r="H76" i="36"/>
  <c r="G68" i="36"/>
  <c r="H68" i="36"/>
  <c r="H60" i="36"/>
  <c r="G60" i="36"/>
  <c r="H52" i="36"/>
  <c r="G52" i="36"/>
  <c r="H44" i="36"/>
  <c r="G44" i="36"/>
  <c r="G36" i="36"/>
  <c r="H36" i="36"/>
  <c r="H28" i="36"/>
  <c r="G28" i="36"/>
  <c r="H20" i="36"/>
  <c r="G20" i="36"/>
  <c r="H12" i="36"/>
  <c r="G12" i="36"/>
  <c r="H4" i="36"/>
  <c r="G4" i="36"/>
  <c r="H765" i="36"/>
  <c r="G765" i="36"/>
  <c r="H710" i="36"/>
  <c r="G710" i="36"/>
  <c r="H641" i="36"/>
  <c r="G641" i="36"/>
  <c r="H577" i="36"/>
  <c r="G577" i="36"/>
  <c r="H505" i="36"/>
  <c r="G505" i="36"/>
  <c r="H465" i="36"/>
  <c r="G465" i="36"/>
  <c r="H417" i="36"/>
  <c r="G417" i="36"/>
  <c r="H351" i="36"/>
  <c r="G351" i="36"/>
  <c r="H279" i="36"/>
  <c r="G279" i="36"/>
  <c r="H215" i="36"/>
  <c r="G215" i="36"/>
  <c r="H143" i="36"/>
  <c r="G143" i="36"/>
  <c r="G71" i="36"/>
  <c r="H71" i="36"/>
  <c r="G7" i="36"/>
  <c r="H7" i="36"/>
  <c r="H764" i="36"/>
  <c r="G764" i="36"/>
  <c r="H662" i="36"/>
  <c r="G662" i="36"/>
  <c r="H780" i="36"/>
  <c r="G780" i="36"/>
  <c r="H771" i="36"/>
  <c r="G771" i="36"/>
  <c r="H763" i="36"/>
  <c r="G763" i="36"/>
  <c r="H755" i="36"/>
  <c r="G755" i="36"/>
  <c r="H747" i="36"/>
  <c r="G747" i="36"/>
  <c r="H739" i="36"/>
  <c r="G739" i="36"/>
  <c r="H730" i="36"/>
  <c r="G730" i="36"/>
  <c r="H722" i="36"/>
  <c r="G722" i="36"/>
  <c r="H714" i="36"/>
  <c r="G714" i="36"/>
  <c r="H706" i="36"/>
  <c r="G706" i="36"/>
  <c r="H698" i="36"/>
  <c r="G698" i="36"/>
  <c r="H686" i="36"/>
  <c r="G686" i="36"/>
  <c r="H677" i="36"/>
  <c r="G677" i="36"/>
  <c r="H669" i="36"/>
  <c r="G669" i="36"/>
  <c r="H661" i="36"/>
  <c r="G661" i="36"/>
  <c r="H653" i="36"/>
  <c r="G653" i="36"/>
  <c r="H645" i="36"/>
  <c r="G645" i="36"/>
  <c r="H637" i="36"/>
  <c r="G637" i="36"/>
  <c r="H629" i="36"/>
  <c r="G629" i="36"/>
  <c r="H621" i="36"/>
  <c r="G621" i="36"/>
  <c r="H613" i="36"/>
  <c r="G613" i="36"/>
  <c r="H605" i="36"/>
  <c r="G605" i="36"/>
  <c r="H597" i="36"/>
  <c r="G597" i="36"/>
  <c r="H589" i="36"/>
  <c r="G589" i="36"/>
  <c r="H581" i="36"/>
  <c r="G581" i="36"/>
  <c r="H573" i="36"/>
  <c r="G573" i="36"/>
  <c r="H565" i="36"/>
  <c r="G565" i="36"/>
  <c r="H557" i="36"/>
  <c r="G557" i="36"/>
  <c r="H549" i="36"/>
  <c r="G549" i="36"/>
  <c r="H541" i="36"/>
  <c r="G541" i="36"/>
  <c r="H533" i="36"/>
  <c r="G533" i="36"/>
  <c r="H525" i="36"/>
  <c r="G525" i="36"/>
  <c r="H517" i="36"/>
  <c r="G517" i="36"/>
  <c r="H509" i="36"/>
  <c r="G509" i="36"/>
  <c r="H501" i="36"/>
  <c r="G501" i="36"/>
  <c r="H493" i="36"/>
  <c r="G493" i="36"/>
  <c r="H485" i="36"/>
  <c r="G485" i="36"/>
  <c r="H477" i="36"/>
  <c r="G477" i="36"/>
  <c r="H469" i="36"/>
  <c r="G469" i="36"/>
  <c r="H461" i="36"/>
  <c r="G461" i="36"/>
  <c r="H453" i="36"/>
  <c r="G453" i="36"/>
  <c r="H445" i="36"/>
  <c r="G445" i="36"/>
  <c r="H437" i="36"/>
  <c r="G437" i="36"/>
  <c r="G429" i="36"/>
  <c r="H429" i="36"/>
  <c r="H421" i="36"/>
  <c r="G421" i="36"/>
  <c r="H413" i="36"/>
  <c r="G413" i="36"/>
  <c r="H404" i="36"/>
  <c r="G404" i="36"/>
  <c r="H396" i="36"/>
  <c r="G396" i="36"/>
  <c r="H388" i="36"/>
  <c r="G388" i="36"/>
  <c r="H379" i="36"/>
  <c r="G379" i="36"/>
  <c r="H371" i="36"/>
  <c r="G371" i="36"/>
  <c r="H363" i="36"/>
  <c r="G363" i="36"/>
  <c r="H355" i="36"/>
  <c r="G355" i="36"/>
  <c r="H347" i="36"/>
  <c r="G347" i="36"/>
  <c r="H339" i="36"/>
  <c r="G339" i="36"/>
  <c r="H331" i="36"/>
  <c r="G331" i="36"/>
  <c r="H323" i="36"/>
  <c r="G323" i="36"/>
  <c r="H315" i="36"/>
  <c r="G315" i="36"/>
  <c r="G307" i="36"/>
  <c r="H307" i="36"/>
  <c r="H299" i="36"/>
  <c r="G299" i="36"/>
  <c r="H291" i="36"/>
  <c r="G291" i="36"/>
  <c r="H283" i="36"/>
  <c r="G283" i="36"/>
  <c r="G275" i="36"/>
  <c r="H275" i="36"/>
  <c r="H267" i="36"/>
  <c r="G267" i="36"/>
  <c r="H259" i="36"/>
  <c r="G259" i="36"/>
  <c r="H251" i="36"/>
  <c r="G251" i="36"/>
  <c r="G243" i="36"/>
  <c r="H243" i="36"/>
  <c r="H235" i="36"/>
  <c r="G235" i="36"/>
  <c r="H227" i="36"/>
  <c r="G227" i="36"/>
  <c r="H219" i="36"/>
  <c r="G219" i="36"/>
  <c r="G211" i="36"/>
  <c r="H211" i="36"/>
  <c r="H203" i="36"/>
  <c r="G203" i="36"/>
  <c r="H195" i="36"/>
  <c r="G195" i="36"/>
  <c r="H187" i="36"/>
  <c r="G187" i="36"/>
  <c r="G179" i="36"/>
  <c r="H179" i="36"/>
  <c r="H171" i="36"/>
  <c r="G171" i="36"/>
  <c r="H163" i="36"/>
  <c r="G163" i="36"/>
  <c r="H155" i="36"/>
  <c r="G155" i="36"/>
  <c r="H147" i="36"/>
  <c r="G147" i="36"/>
  <c r="H139" i="36"/>
  <c r="G139" i="36"/>
  <c r="H131" i="36"/>
  <c r="G131" i="36"/>
  <c r="H123" i="36"/>
  <c r="G123" i="36"/>
  <c r="H115" i="36"/>
  <c r="G115" i="36"/>
  <c r="H107" i="36"/>
  <c r="G107" i="36"/>
  <c r="H99" i="36"/>
  <c r="G99" i="36"/>
  <c r="H91" i="36"/>
  <c r="G91" i="36"/>
  <c r="H83" i="36"/>
  <c r="G83" i="36"/>
  <c r="H75" i="36"/>
  <c r="G75" i="36"/>
  <c r="H67" i="36"/>
  <c r="G67" i="36"/>
  <c r="H59" i="36"/>
  <c r="G59" i="36"/>
  <c r="H51" i="36"/>
  <c r="G51" i="36"/>
  <c r="H43" i="36"/>
  <c r="G43" i="36"/>
  <c r="H35" i="36"/>
  <c r="G35" i="36"/>
  <c r="H27" i="36"/>
  <c r="G27" i="36"/>
  <c r="H19" i="36"/>
  <c r="G19" i="36"/>
  <c r="G11" i="36"/>
  <c r="H11" i="36"/>
  <c r="H3" i="36"/>
  <c r="G3" i="36"/>
  <c r="H735" i="36"/>
  <c r="G735" i="36"/>
  <c r="H665" i="36"/>
  <c r="G665" i="36"/>
  <c r="H633" i="36"/>
  <c r="G633" i="36"/>
  <c r="H585" i="36"/>
  <c r="G585" i="36"/>
  <c r="H521" i="36"/>
  <c r="G521" i="36"/>
  <c r="H457" i="36"/>
  <c r="G457" i="36"/>
  <c r="H408" i="36"/>
  <c r="G408" i="36"/>
  <c r="G367" i="36"/>
  <c r="H367" i="36"/>
  <c r="G319" i="36"/>
  <c r="H319" i="36"/>
  <c r="G295" i="36"/>
  <c r="H295" i="36"/>
  <c r="G263" i="36"/>
  <c r="H263" i="36"/>
  <c r="H231" i="36"/>
  <c r="G231" i="36"/>
  <c r="H191" i="36"/>
  <c r="G191" i="36"/>
  <c r="H167" i="36"/>
  <c r="G167" i="36"/>
  <c r="H127" i="36"/>
  <c r="G127" i="36"/>
  <c r="G95" i="36"/>
  <c r="H95" i="36"/>
  <c r="G55" i="36"/>
  <c r="H55" i="36"/>
  <c r="G31" i="36"/>
  <c r="H31" i="36"/>
  <c r="H777" i="36"/>
  <c r="G777" i="36"/>
  <c r="H767" i="36"/>
  <c r="G767" i="36"/>
  <c r="H762" i="36"/>
  <c r="G762" i="36"/>
  <c r="H754" i="36"/>
  <c r="G754" i="36"/>
  <c r="H746" i="36"/>
  <c r="G746" i="36"/>
  <c r="H738" i="36"/>
  <c r="G738" i="36"/>
  <c r="H729" i="36"/>
  <c r="G729" i="36"/>
  <c r="H721" i="36"/>
  <c r="G721" i="36"/>
  <c r="H713" i="36"/>
  <c r="G713" i="36"/>
  <c r="H705" i="36"/>
  <c r="G705" i="36"/>
  <c r="H697" i="36"/>
  <c r="G697" i="36"/>
  <c r="G684" i="36"/>
  <c r="H684" i="36"/>
  <c r="H676" i="36"/>
  <c r="G676" i="36"/>
  <c r="H668" i="36"/>
  <c r="G668" i="36"/>
  <c r="H660" i="36"/>
  <c r="G660" i="36"/>
  <c r="G652" i="36"/>
  <c r="H652" i="36"/>
  <c r="H644" i="36"/>
  <c r="G644" i="36"/>
  <c r="G636" i="36"/>
  <c r="H636" i="36"/>
  <c r="H628" i="36"/>
  <c r="G628" i="36"/>
  <c r="G620" i="36"/>
  <c r="H620" i="36"/>
  <c r="H612" i="36"/>
  <c r="G612" i="36"/>
  <c r="G604" i="36"/>
  <c r="H604" i="36"/>
  <c r="G596" i="36"/>
  <c r="H596" i="36"/>
  <c r="H588" i="36"/>
  <c r="G588" i="36"/>
  <c r="H580" i="36"/>
  <c r="G580" i="36"/>
  <c r="H572" i="36"/>
  <c r="G572" i="36"/>
  <c r="G564" i="36"/>
  <c r="H564" i="36"/>
  <c r="H556" i="36"/>
  <c r="G556" i="36"/>
  <c r="H548" i="36"/>
  <c r="G548" i="36"/>
  <c r="H540" i="36"/>
  <c r="G540" i="36"/>
  <c r="G532" i="36"/>
  <c r="H532" i="36"/>
  <c r="H524" i="36"/>
  <c r="G524" i="36"/>
  <c r="H516" i="36"/>
  <c r="G516" i="36"/>
  <c r="H508" i="36"/>
  <c r="G508" i="36"/>
  <c r="H500" i="36"/>
  <c r="G500" i="36"/>
  <c r="G492" i="36"/>
  <c r="H492" i="36"/>
  <c r="H484" i="36"/>
  <c r="G484" i="36"/>
  <c r="H476" i="36"/>
  <c r="G476" i="36"/>
  <c r="H468" i="36"/>
  <c r="G468" i="36"/>
  <c r="H460" i="36"/>
  <c r="G460" i="36"/>
  <c r="H452" i="36"/>
  <c r="G452" i="36"/>
  <c r="H444" i="36"/>
  <c r="G444" i="36"/>
  <c r="G436" i="36"/>
  <c r="H436" i="36"/>
  <c r="G428" i="36"/>
  <c r="H428" i="36"/>
  <c r="G420" i="36"/>
  <c r="H420" i="36"/>
  <c r="H411" i="36"/>
  <c r="G411" i="36"/>
  <c r="H403" i="36"/>
  <c r="G403" i="36"/>
  <c r="H395" i="36"/>
  <c r="G395" i="36"/>
  <c r="H387" i="36"/>
  <c r="G387" i="36"/>
  <c r="H378" i="36"/>
  <c r="G378" i="36"/>
  <c r="H370" i="36"/>
  <c r="G370" i="36"/>
  <c r="H362" i="36"/>
  <c r="G362" i="36"/>
  <c r="G354" i="36"/>
  <c r="H354" i="36"/>
  <c r="G346" i="36"/>
  <c r="H346" i="36"/>
  <c r="G338" i="36"/>
  <c r="H338" i="36"/>
  <c r="H330" i="36"/>
  <c r="G330" i="36"/>
  <c r="H322" i="36"/>
  <c r="G322" i="36"/>
  <c r="G314" i="36"/>
  <c r="H314" i="36"/>
  <c r="G306" i="36"/>
  <c r="H306" i="36"/>
  <c r="G298" i="36"/>
  <c r="H298" i="36"/>
  <c r="H290" i="36"/>
  <c r="G290" i="36"/>
  <c r="G282" i="36"/>
  <c r="H282" i="36"/>
  <c r="G274" i="36"/>
  <c r="H274" i="36"/>
  <c r="H266" i="36"/>
  <c r="G266" i="36"/>
  <c r="H258" i="36"/>
  <c r="G258" i="36"/>
  <c r="H250" i="36"/>
  <c r="G250" i="36"/>
  <c r="G242" i="36"/>
  <c r="H242" i="36"/>
  <c r="G234" i="36"/>
  <c r="H234" i="36"/>
  <c r="H226" i="36"/>
  <c r="G226" i="36"/>
  <c r="H218" i="36"/>
  <c r="G218" i="36"/>
  <c r="H210" i="36"/>
  <c r="G210" i="36"/>
  <c r="H202" i="36"/>
  <c r="G202" i="36"/>
  <c r="H194" i="36"/>
  <c r="G194" i="36"/>
  <c r="H186" i="36"/>
  <c r="G186" i="36"/>
  <c r="H178" i="36"/>
  <c r="G178" i="36"/>
  <c r="H170" i="36"/>
  <c r="G170" i="36"/>
  <c r="H162" i="36"/>
  <c r="G162" i="36"/>
  <c r="G154" i="36"/>
  <c r="H154" i="36"/>
  <c r="H146" i="36"/>
  <c r="G146" i="36"/>
  <c r="H138" i="36"/>
  <c r="G138" i="36"/>
  <c r="H130" i="36"/>
  <c r="G130" i="36"/>
  <c r="G122" i="36"/>
  <c r="H122" i="36"/>
  <c r="G114" i="36"/>
  <c r="H114" i="36"/>
  <c r="H106" i="36"/>
  <c r="G106" i="36"/>
  <c r="H98" i="36"/>
  <c r="G98" i="36"/>
  <c r="G90" i="36"/>
  <c r="H90" i="36"/>
  <c r="G82" i="36"/>
  <c r="H82" i="36"/>
  <c r="H74" i="36"/>
  <c r="G74" i="36"/>
  <c r="H66" i="36"/>
  <c r="G66" i="36"/>
  <c r="G58" i="36"/>
  <c r="H58" i="36"/>
  <c r="G50" i="36"/>
  <c r="H50" i="36"/>
  <c r="G42" i="36"/>
  <c r="H42" i="36"/>
  <c r="H34" i="36"/>
  <c r="G34" i="36"/>
  <c r="H26" i="36"/>
  <c r="G26" i="36"/>
  <c r="G18" i="36"/>
  <c r="H18" i="36"/>
  <c r="H10" i="36"/>
  <c r="G10" i="36"/>
  <c r="H743" i="36"/>
  <c r="G743" i="36"/>
  <c r="H673" i="36"/>
  <c r="G673" i="36"/>
  <c r="H625" i="36"/>
  <c r="G625" i="36"/>
  <c r="H593" i="36"/>
  <c r="G593" i="36"/>
  <c r="H537" i="36"/>
  <c r="G537" i="36"/>
  <c r="H481" i="36"/>
  <c r="G481" i="36"/>
  <c r="H425" i="36"/>
  <c r="G425" i="36"/>
  <c r="G375" i="36"/>
  <c r="H375" i="36"/>
  <c r="G327" i="36"/>
  <c r="H327" i="36"/>
  <c r="H303" i="36"/>
  <c r="G303" i="36"/>
  <c r="G255" i="36"/>
  <c r="H255" i="36"/>
  <c r="H239" i="36"/>
  <c r="G239" i="36"/>
  <c r="H207" i="36"/>
  <c r="G207" i="36"/>
  <c r="H175" i="36"/>
  <c r="G175" i="36"/>
  <c r="G159" i="36"/>
  <c r="H159" i="36"/>
  <c r="G119" i="36"/>
  <c r="H119" i="36"/>
  <c r="H79" i="36"/>
  <c r="G79" i="36"/>
  <c r="H47" i="36"/>
  <c r="G47" i="36"/>
  <c r="H15" i="36"/>
  <c r="G15" i="36"/>
  <c r="H772" i="36"/>
  <c r="G772" i="36"/>
  <c r="H768" i="36"/>
  <c r="G768" i="36"/>
  <c r="H761" i="36"/>
  <c r="G761" i="36"/>
  <c r="H753" i="36"/>
  <c r="G753" i="36"/>
  <c r="H745" i="36"/>
  <c r="G745" i="36"/>
  <c r="H737" i="36"/>
  <c r="G737" i="36"/>
  <c r="H728" i="36"/>
  <c r="G728" i="36"/>
  <c r="H720" i="36"/>
  <c r="G720" i="36"/>
  <c r="H712" i="36"/>
  <c r="G712" i="36"/>
  <c r="H704" i="36"/>
  <c r="G704" i="36"/>
  <c r="H696" i="36"/>
  <c r="G696" i="36"/>
  <c r="H683" i="36"/>
  <c r="G683" i="36"/>
  <c r="H675" i="36"/>
  <c r="G675" i="36"/>
  <c r="G667" i="36"/>
  <c r="H667" i="36"/>
  <c r="H659" i="36"/>
  <c r="G659" i="36"/>
  <c r="H651" i="36"/>
  <c r="G651" i="36"/>
  <c r="H643" i="36"/>
  <c r="G643" i="36"/>
  <c r="H635" i="36"/>
  <c r="G635" i="36"/>
  <c r="H627" i="36"/>
  <c r="G627" i="36"/>
  <c r="H619" i="36"/>
  <c r="G619" i="36"/>
  <c r="H611" i="36"/>
  <c r="G611" i="36"/>
  <c r="H603" i="36"/>
  <c r="G603" i="36"/>
  <c r="H595" i="36"/>
  <c r="G595" i="36"/>
  <c r="H587" i="36"/>
  <c r="G587" i="36"/>
  <c r="H579" i="36"/>
  <c r="G579" i="36"/>
  <c r="H571" i="36"/>
  <c r="G571" i="36"/>
  <c r="H563" i="36"/>
  <c r="G563" i="36"/>
  <c r="H555" i="36"/>
  <c r="G555" i="36"/>
  <c r="H547" i="36"/>
  <c r="G547" i="36"/>
  <c r="H539" i="36"/>
  <c r="G539" i="36"/>
  <c r="H531" i="36"/>
  <c r="G531" i="36"/>
  <c r="H523" i="36"/>
  <c r="G523" i="36"/>
  <c r="H515" i="36"/>
  <c r="G515" i="36"/>
  <c r="H507" i="36"/>
  <c r="G507" i="36"/>
  <c r="H499" i="36"/>
  <c r="G499" i="36"/>
  <c r="H491" i="36"/>
  <c r="G491" i="36"/>
  <c r="H483" i="36"/>
  <c r="G483" i="36"/>
  <c r="H475" i="36"/>
  <c r="G475" i="36"/>
  <c r="H467" i="36"/>
  <c r="G467" i="36"/>
  <c r="H459" i="36"/>
  <c r="G459" i="36"/>
  <c r="H451" i="36"/>
  <c r="G451" i="36"/>
  <c r="H443" i="36"/>
  <c r="G443" i="36"/>
  <c r="H435" i="36"/>
  <c r="G435" i="36"/>
  <c r="H427" i="36"/>
  <c r="G427" i="36"/>
  <c r="H419" i="36"/>
  <c r="G419" i="36"/>
  <c r="H410" i="36"/>
  <c r="G410" i="36"/>
  <c r="H402" i="36"/>
  <c r="G402" i="36"/>
  <c r="H394" i="36"/>
  <c r="G394" i="36"/>
  <c r="H386" i="36"/>
  <c r="G386" i="36"/>
  <c r="H377" i="36"/>
  <c r="G377" i="36"/>
  <c r="H369" i="36"/>
  <c r="G369" i="36"/>
  <c r="H361" i="36"/>
  <c r="G361" i="36"/>
  <c r="H353" i="36"/>
  <c r="G353" i="36"/>
  <c r="H345" i="36"/>
  <c r="G345" i="36"/>
  <c r="H337" i="36"/>
  <c r="G337" i="36"/>
  <c r="H329" i="36"/>
  <c r="G329" i="36"/>
  <c r="H321" i="36"/>
  <c r="G321" i="36"/>
  <c r="H313" i="36"/>
  <c r="G313" i="36"/>
  <c r="H305" i="36"/>
  <c r="G305" i="36"/>
  <c r="H297" i="36"/>
  <c r="G297" i="36"/>
  <c r="H289" i="36"/>
  <c r="G289" i="36"/>
  <c r="H281" i="36"/>
  <c r="G281" i="36"/>
  <c r="H273" i="36"/>
  <c r="G273" i="36"/>
  <c r="H265" i="36"/>
  <c r="G265" i="36"/>
  <c r="H257" i="36"/>
  <c r="G257" i="36"/>
  <c r="H249" i="36"/>
  <c r="G249" i="36"/>
  <c r="H241" i="36"/>
  <c r="G241" i="36"/>
  <c r="H233" i="36"/>
  <c r="G233" i="36"/>
  <c r="H225" i="36"/>
  <c r="G225" i="36"/>
  <c r="H217" i="36"/>
  <c r="G217" i="36"/>
  <c r="H209" i="36"/>
  <c r="G209" i="36"/>
  <c r="H201" i="36"/>
  <c r="G201" i="36"/>
  <c r="H193" i="36"/>
  <c r="G193" i="36"/>
  <c r="H185" i="36"/>
  <c r="G185" i="36"/>
  <c r="H177" i="36"/>
  <c r="G177" i="36"/>
  <c r="H169" i="36"/>
  <c r="G169" i="36"/>
  <c r="H161" i="36"/>
  <c r="G161" i="36"/>
  <c r="H153" i="36"/>
  <c r="G153" i="36"/>
  <c r="H145" i="36"/>
  <c r="G145" i="36"/>
  <c r="H137" i="36"/>
  <c r="G137" i="36"/>
  <c r="H129" i="36"/>
  <c r="G129" i="36"/>
  <c r="H121" i="36"/>
  <c r="G121" i="36"/>
  <c r="H113" i="36"/>
  <c r="G113" i="36"/>
  <c r="H105" i="36"/>
  <c r="G105" i="36"/>
  <c r="H97" i="36"/>
  <c r="G97" i="36"/>
  <c r="H89" i="36"/>
  <c r="G89" i="36"/>
  <c r="H81" i="36"/>
  <c r="G81" i="36"/>
  <c r="H73" i="36"/>
  <c r="G73" i="36"/>
  <c r="H65" i="36"/>
  <c r="G65" i="36"/>
  <c r="H57" i="36"/>
  <c r="G57" i="36"/>
  <c r="H49" i="36"/>
  <c r="G49" i="36"/>
  <c r="H41" i="36"/>
  <c r="G41" i="36"/>
  <c r="H33" i="36"/>
  <c r="G33" i="36"/>
  <c r="H25" i="36"/>
  <c r="G25" i="36"/>
  <c r="H17" i="36"/>
  <c r="G17" i="36"/>
  <c r="H9" i="36"/>
  <c r="G9" i="36"/>
  <c r="H751" i="36"/>
  <c r="G751" i="36"/>
  <c r="H718" i="36"/>
  <c r="G718" i="36"/>
  <c r="H681" i="36"/>
  <c r="G681" i="36"/>
  <c r="H649" i="36"/>
  <c r="G649" i="36"/>
  <c r="H601" i="36"/>
  <c r="G601" i="36"/>
  <c r="H561" i="36"/>
  <c r="G561" i="36"/>
  <c r="H529" i="36"/>
  <c r="G529" i="36"/>
  <c r="H489" i="36"/>
  <c r="G489" i="36"/>
  <c r="H441" i="36"/>
  <c r="G441" i="36"/>
  <c r="G392" i="36"/>
  <c r="H392" i="36"/>
  <c r="G359" i="36"/>
  <c r="H359" i="36"/>
  <c r="H311" i="36"/>
  <c r="G311" i="36"/>
  <c r="G247" i="36"/>
  <c r="H247" i="36"/>
  <c r="G183" i="36"/>
  <c r="H183" i="36"/>
  <c r="H111" i="36"/>
  <c r="G111" i="36"/>
  <c r="G778" i="36"/>
  <c r="H778" i="36"/>
  <c r="G769" i="36"/>
  <c r="H769" i="36"/>
  <c r="H760" i="36"/>
  <c r="G760" i="36"/>
  <c r="G752" i="36"/>
  <c r="H752" i="36"/>
  <c r="H744" i="36"/>
  <c r="G744" i="36"/>
  <c r="G736" i="36"/>
  <c r="H736" i="36"/>
  <c r="G727" i="36"/>
  <c r="H727" i="36"/>
  <c r="H719" i="36"/>
  <c r="G719" i="36"/>
  <c r="G711" i="36"/>
  <c r="H711" i="36"/>
  <c r="G703" i="36"/>
  <c r="H703" i="36"/>
  <c r="H695" i="36"/>
  <c r="G695" i="36"/>
  <c r="H682" i="36"/>
  <c r="G682" i="36"/>
  <c r="H674" i="36"/>
  <c r="G674" i="36"/>
  <c r="G666" i="36"/>
  <c r="H666" i="36"/>
  <c r="H658" i="36"/>
  <c r="G658" i="36"/>
  <c r="G650" i="36"/>
  <c r="H650" i="36"/>
  <c r="H642" i="36"/>
  <c r="G642" i="36"/>
  <c r="G634" i="36"/>
  <c r="H634" i="36"/>
  <c r="H626" i="36"/>
  <c r="G626" i="36"/>
  <c r="G618" i="36"/>
  <c r="H618" i="36"/>
  <c r="H610" i="36"/>
  <c r="G610" i="36"/>
  <c r="G602" i="36"/>
  <c r="H602" i="36"/>
  <c r="H594" i="36"/>
  <c r="G594" i="36"/>
  <c r="G586" i="36"/>
  <c r="H586" i="36"/>
  <c r="H578" i="36"/>
  <c r="G578" i="36"/>
  <c r="G570" i="36"/>
  <c r="H570" i="36"/>
  <c r="H562" i="36"/>
  <c r="G562" i="36"/>
  <c r="H554" i="36"/>
  <c r="G554" i="36"/>
  <c r="H546" i="36"/>
  <c r="G546" i="36"/>
  <c r="H538" i="36"/>
  <c r="G538" i="36"/>
  <c r="H530" i="36"/>
  <c r="G530" i="36"/>
  <c r="H522" i="36"/>
  <c r="G522" i="36"/>
  <c r="H514" i="36"/>
  <c r="G514" i="36"/>
  <c r="H506" i="36"/>
  <c r="G506" i="36"/>
  <c r="H498" i="36"/>
  <c r="G498" i="36"/>
  <c r="H490" i="36"/>
  <c r="G490" i="36"/>
  <c r="H482" i="36"/>
  <c r="G482" i="36"/>
  <c r="H474" i="36"/>
  <c r="G474" i="36"/>
  <c r="H466" i="36"/>
  <c r="G466" i="36"/>
  <c r="H458" i="36"/>
  <c r="G458" i="36"/>
  <c r="H450" i="36"/>
  <c r="G450" i="36"/>
  <c r="H442" i="36"/>
  <c r="G442" i="36"/>
  <c r="H434" i="36"/>
  <c r="G434" i="36"/>
  <c r="H426" i="36"/>
  <c r="G426" i="36"/>
  <c r="H418" i="36"/>
  <c r="G418" i="36"/>
  <c r="H409" i="36"/>
  <c r="G409" i="36"/>
  <c r="H401" i="36"/>
  <c r="G401" i="36"/>
  <c r="H393" i="36"/>
  <c r="G393" i="36"/>
  <c r="H385" i="36"/>
  <c r="G385" i="36"/>
  <c r="H376" i="36"/>
  <c r="G376" i="36"/>
  <c r="H368" i="36"/>
  <c r="G368" i="36"/>
  <c r="H360" i="36"/>
  <c r="G360" i="36"/>
  <c r="H352" i="36"/>
  <c r="G352" i="36"/>
  <c r="H344" i="36"/>
  <c r="G344" i="36"/>
  <c r="H336" i="36"/>
  <c r="G336" i="36"/>
  <c r="H328" i="36"/>
  <c r="G328" i="36"/>
  <c r="H320" i="36"/>
  <c r="G320" i="36"/>
  <c r="H312" i="36"/>
  <c r="G312" i="36"/>
  <c r="H304" i="36"/>
  <c r="G304" i="36"/>
  <c r="H296" i="36"/>
  <c r="G296" i="36"/>
  <c r="H288" i="36"/>
  <c r="G288" i="36"/>
  <c r="H280" i="36"/>
  <c r="G280" i="36"/>
  <c r="H272" i="36"/>
  <c r="G272" i="36"/>
  <c r="H264" i="36"/>
  <c r="G264" i="36"/>
  <c r="H256" i="36"/>
  <c r="G256" i="36"/>
  <c r="H248" i="36"/>
  <c r="G248" i="36"/>
  <c r="H240" i="36"/>
  <c r="G240" i="36"/>
  <c r="H232" i="36"/>
  <c r="G232" i="36"/>
  <c r="H224" i="36"/>
  <c r="G224" i="36"/>
  <c r="H216" i="36"/>
  <c r="G216" i="36"/>
  <c r="H208" i="36"/>
  <c r="G208" i="36"/>
  <c r="H200" i="36"/>
  <c r="G200" i="36"/>
  <c r="H192" i="36"/>
  <c r="G192" i="36"/>
  <c r="H184" i="36"/>
  <c r="G184" i="36"/>
  <c r="H176" i="36"/>
  <c r="G176" i="36"/>
  <c r="H168" i="36"/>
  <c r="G168" i="36"/>
  <c r="H160" i="36"/>
  <c r="G160" i="36"/>
  <c r="H152" i="36"/>
  <c r="G152" i="36"/>
  <c r="H144" i="36"/>
  <c r="G144" i="36"/>
  <c r="H136" i="36"/>
  <c r="G136" i="36"/>
  <c r="H128" i="36"/>
  <c r="G128" i="36"/>
  <c r="G120" i="36"/>
  <c r="H120" i="36"/>
  <c r="H112" i="36"/>
  <c r="G112" i="36"/>
  <c r="H104" i="36"/>
  <c r="G104" i="36"/>
  <c r="H96" i="36"/>
  <c r="G96" i="36"/>
  <c r="H88" i="36"/>
  <c r="G88" i="36"/>
  <c r="H80" i="36"/>
  <c r="G80" i="36"/>
  <c r="H72" i="36"/>
  <c r="G72" i="36"/>
  <c r="H64" i="36"/>
  <c r="G64" i="36"/>
  <c r="G56" i="36"/>
  <c r="H56" i="36"/>
  <c r="H48" i="36"/>
  <c r="G48" i="36"/>
  <c r="H40" i="36"/>
  <c r="G40" i="36"/>
  <c r="H32" i="36"/>
  <c r="G32" i="36"/>
  <c r="H24" i="36"/>
  <c r="G24" i="36"/>
  <c r="H16" i="36"/>
  <c r="G16" i="36"/>
  <c r="H8" i="36"/>
  <c r="G8" i="36"/>
  <c r="G382" i="35"/>
  <c r="H389" i="35"/>
  <c r="H398" i="35"/>
  <c r="G378" i="35"/>
  <c r="I327" i="35"/>
  <c r="H363" i="35"/>
  <c r="H354" i="35"/>
  <c r="G344" i="35"/>
  <c r="H330" i="35"/>
  <c r="G322" i="35"/>
  <c r="I313" i="35"/>
  <c r="I228" i="35"/>
  <c r="H275" i="35"/>
  <c r="G270" i="35"/>
  <c r="I256" i="35"/>
  <c r="I232" i="35"/>
  <c r="G223" i="35"/>
  <c r="H207" i="35"/>
  <c r="I187" i="35"/>
  <c r="H175" i="35"/>
  <c r="H163" i="35"/>
  <c r="I152" i="35"/>
  <c r="H382" i="35"/>
  <c r="G374" i="35"/>
  <c r="H327" i="35"/>
  <c r="H362" i="35"/>
  <c r="G354" i="35"/>
  <c r="I333" i="35"/>
  <c r="H325" i="35"/>
  <c r="H317" i="35"/>
  <c r="G310" i="35"/>
  <c r="H297" i="35"/>
  <c r="G228" i="35"/>
  <c r="I273" i="35"/>
  <c r="I268" i="35"/>
  <c r="G256" i="35"/>
  <c r="I242" i="35"/>
  <c r="G219" i="35"/>
  <c r="I203" i="35"/>
  <c r="H187" i="35"/>
  <c r="H159" i="35"/>
  <c r="G135" i="35"/>
  <c r="I43" i="35"/>
  <c r="I27" i="35"/>
  <c r="G400" i="35"/>
  <c r="H378" i="35"/>
  <c r="G291" i="35"/>
  <c r="H367" i="35"/>
  <c r="G361" i="35"/>
  <c r="I345" i="35"/>
  <c r="H322" i="35"/>
  <c r="G314" i="35"/>
  <c r="H301" i="35"/>
  <c r="H293" i="35"/>
  <c r="G280" i="35"/>
  <c r="H272" i="35"/>
  <c r="H264" i="35"/>
  <c r="G250" i="35"/>
  <c r="G236" i="35"/>
  <c r="I223" i="35"/>
  <c r="I209" i="35"/>
  <c r="G195" i="35"/>
  <c r="G179" i="35"/>
  <c r="H164" i="35"/>
  <c r="H155" i="35"/>
  <c r="G123" i="35"/>
  <c r="I103" i="35"/>
  <c r="I55" i="35"/>
  <c r="G39" i="35"/>
  <c r="H384" i="35"/>
  <c r="I401" i="35"/>
  <c r="G398" i="35"/>
  <c r="I379" i="35"/>
  <c r="H372" i="35"/>
  <c r="H352" i="35"/>
  <c r="H360" i="35"/>
  <c r="G367" i="35"/>
  <c r="G362" i="35"/>
  <c r="I356" i="35"/>
  <c r="H345" i="35"/>
  <c r="H342" i="35"/>
  <c r="H338" i="35"/>
  <c r="G330" i="35"/>
  <c r="G326" i="35"/>
  <c r="I324" i="35"/>
  <c r="H313" i="35"/>
  <c r="H304" i="35"/>
  <c r="H299" i="35"/>
  <c r="G297" i="35"/>
  <c r="G293" i="35"/>
  <c r="I280" i="35"/>
  <c r="I278" i="35"/>
  <c r="G273" i="35"/>
  <c r="G272" i="35"/>
  <c r="H268" i="35"/>
  <c r="I259" i="35"/>
  <c r="I250" i="35"/>
  <c r="I245" i="35"/>
  <c r="G241" i="35"/>
  <c r="H232" i="35"/>
  <c r="I227" i="35"/>
  <c r="I215" i="35"/>
  <c r="H211" i="35"/>
  <c r="G207" i="35"/>
  <c r="G199" i="35"/>
  <c r="I191" i="35"/>
  <c r="I183" i="35"/>
  <c r="I171" i="35"/>
  <c r="G167" i="35"/>
  <c r="I157" i="35"/>
  <c r="H152" i="35"/>
  <c r="G147" i="35"/>
  <c r="I135" i="35"/>
  <c r="H119" i="35"/>
  <c r="G112" i="35"/>
  <c r="G103" i="35"/>
  <c r="G43" i="35"/>
  <c r="H36" i="35"/>
  <c r="G27" i="35"/>
  <c r="G285" i="35"/>
  <c r="I253" i="35"/>
  <c r="G217" i="35"/>
  <c r="I65" i="35"/>
  <c r="H400" i="35"/>
  <c r="H379" i="35"/>
  <c r="H374" i="35"/>
  <c r="H291" i="35"/>
  <c r="G352" i="35"/>
  <c r="G360" i="35"/>
  <c r="I363" i="35"/>
  <c r="H356" i="35"/>
  <c r="H348" i="35"/>
  <c r="H344" i="35"/>
  <c r="G342" i="35"/>
  <c r="G338" i="35"/>
  <c r="I325" i="35"/>
  <c r="H324" i="35"/>
  <c r="H314" i="35"/>
  <c r="H310" i="35"/>
  <c r="G304" i="35"/>
  <c r="G299" i="35"/>
  <c r="I294" i="35"/>
  <c r="H279" i="35"/>
  <c r="H278" i="35"/>
  <c r="I270" i="35"/>
  <c r="H259" i="35"/>
  <c r="H258" i="35"/>
  <c r="H245" i="35"/>
  <c r="H236" i="35"/>
  <c r="H227" i="35"/>
  <c r="H219" i="35"/>
  <c r="G211" i="35"/>
  <c r="H195" i="35"/>
  <c r="G191" i="35"/>
  <c r="G183" i="35"/>
  <c r="I175" i="35"/>
  <c r="H171" i="35"/>
  <c r="I164" i="35"/>
  <c r="G157" i="35"/>
  <c r="I151" i="35"/>
  <c r="G119" i="35"/>
  <c r="G36" i="35"/>
  <c r="H399" i="35"/>
  <c r="I399" i="35"/>
  <c r="H377" i="35"/>
  <c r="I377" i="35"/>
  <c r="H371" i="35"/>
  <c r="I371" i="35"/>
  <c r="H369" i="35"/>
  <c r="I369" i="35"/>
  <c r="H346" i="35"/>
  <c r="I346" i="35"/>
  <c r="H355" i="35"/>
  <c r="I355" i="35"/>
  <c r="G355" i="35"/>
  <c r="H306" i="35"/>
  <c r="I306" i="35"/>
  <c r="G306" i="35"/>
  <c r="H340" i="35"/>
  <c r="I340" i="35"/>
  <c r="G340" i="35"/>
  <c r="H328" i="35"/>
  <c r="I328" i="35"/>
  <c r="G328" i="35"/>
  <c r="H321" i="35"/>
  <c r="I321" i="35"/>
  <c r="G321" i="35"/>
  <c r="H312" i="35"/>
  <c r="I312" i="35"/>
  <c r="G312" i="35"/>
  <c r="H309" i="35"/>
  <c r="I309" i="35"/>
  <c r="H300" i="35"/>
  <c r="I300" i="35"/>
  <c r="H289" i="35"/>
  <c r="I289" i="35"/>
  <c r="I286" i="35"/>
  <c r="G286" i="35"/>
  <c r="H286" i="35"/>
  <c r="I249" i="35"/>
  <c r="G249" i="35"/>
  <c r="I271" i="35"/>
  <c r="G271" i="35"/>
  <c r="H271" i="35"/>
  <c r="I260" i="35"/>
  <c r="G260" i="35"/>
  <c r="H260" i="35"/>
  <c r="I255" i="35"/>
  <c r="G255" i="35"/>
  <c r="H255" i="35"/>
  <c r="I244" i="35"/>
  <c r="H244" i="35"/>
  <c r="I235" i="35"/>
  <c r="G235" i="35"/>
  <c r="H235" i="35"/>
  <c r="I231" i="35"/>
  <c r="H231" i="35"/>
  <c r="G231" i="35"/>
  <c r="I222" i="35"/>
  <c r="G222" i="35"/>
  <c r="H222" i="35"/>
  <c r="I214" i="35"/>
  <c r="H214" i="35"/>
  <c r="I194" i="35"/>
  <c r="G194" i="35"/>
  <c r="H194" i="35"/>
  <c r="I186" i="35"/>
  <c r="H186" i="35"/>
  <c r="G186" i="35"/>
  <c r="I178" i="35"/>
  <c r="G178" i="35"/>
  <c r="I170" i="35"/>
  <c r="G170" i="35"/>
  <c r="H170" i="35"/>
  <c r="I162" i="35"/>
  <c r="G162" i="35"/>
  <c r="H162" i="35"/>
  <c r="I154" i="35"/>
  <c r="G154" i="35"/>
  <c r="H154" i="35"/>
  <c r="I146" i="35"/>
  <c r="G146" i="35"/>
  <c r="H146" i="35"/>
  <c r="I138" i="35"/>
  <c r="G138" i="35"/>
  <c r="H138" i="35"/>
  <c r="I130" i="35"/>
  <c r="H130" i="35"/>
  <c r="I122" i="35"/>
  <c r="G122" i="35"/>
  <c r="H122" i="35"/>
  <c r="G114" i="35"/>
  <c r="H114" i="35"/>
  <c r="I114" i="35"/>
  <c r="G106" i="35"/>
  <c r="H106" i="35"/>
  <c r="I106" i="35"/>
  <c r="G98" i="35"/>
  <c r="H98" i="35"/>
  <c r="I98" i="35"/>
  <c r="G90" i="35"/>
  <c r="H90" i="35"/>
  <c r="I90" i="35"/>
  <c r="G82" i="35"/>
  <c r="I82" i="35"/>
  <c r="H82" i="35"/>
  <c r="G74" i="35"/>
  <c r="H74" i="35"/>
  <c r="I74" i="35"/>
  <c r="G66" i="35"/>
  <c r="H66" i="35"/>
  <c r="I66" i="35"/>
  <c r="G58" i="35"/>
  <c r="H58" i="35"/>
  <c r="I58" i="35"/>
  <c r="G50" i="35"/>
  <c r="I50" i="35"/>
  <c r="H50" i="35"/>
  <c r="G42" i="35"/>
  <c r="H42" i="35"/>
  <c r="I42" i="35"/>
  <c r="G34" i="35"/>
  <c r="I34" i="35"/>
  <c r="H34" i="35"/>
  <c r="G30" i="35"/>
  <c r="I30" i="35"/>
  <c r="H30" i="35"/>
  <c r="G22" i="35"/>
  <c r="I22" i="35"/>
  <c r="H22" i="35"/>
  <c r="G14" i="35"/>
  <c r="H14" i="35"/>
  <c r="I14" i="35"/>
  <c r="G6" i="35"/>
  <c r="I6" i="35"/>
  <c r="H6" i="35"/>
  <c r="G371" i="35"/>
  <c r="G369" i="35"/>
  <c r="G300" i="35"/>
  <c r="G289" i="35"/>
  <c r="H226" i="35"/>
  <c r="H4" i="35"/>
  <c r="G4" i="35"/>
  <c r="H381" i="35"/>
  <c r="I381" i="35"/>
  <c r="G381" i="35"/>
  <c r="H358" i="35"/>
  <c r="I358" i="35"/>
  <c r="G358" i="35"/>
  <c r="H347" i="35"/>
  <c r="I347" i="35"/>
  <c r="G347" i="35"/>
  <c r="H366" i="35"/>
  <c r="I366" i="35"/>
  <c r="G366" i="35"/>
  <c r="H350" i="35"/>
  <c r="I350" i="35"/>
  <c r="H343" i="35"/>
  <c r="I343" i="35"/>
  <c r="H334" i="35"/>
  <c r="I334" i="35"/>
  <c r="H319" i="35"/>
  <c r="I319" i="35"/>
  <c r="H316" i="35"/>
  <c r="I316" i="35"/>
  <c r="H305" i="35"/>
  <c r="I305" i="35"/>
  <c r="G305" i="35"/>
  <c r="H296" i="35"/>
  <c r="I296" i="35"/>
  <c r="G296" i="35"/>
  <c r="I290" i="35"/>
  <c r="G290" i="35"/>
  <c r="H290" i="35"/>
  <c r="I277" i="35"/>
  <c r="H277" i="35"/>
  <c r="I269" i="35"/>
  <c r="G269" i="35"/>
  <c r="H269" i="35"/>
  <c r="I266" i="35"/>
  <c r="H266" i="35"/>
  <c r="I252" i="35"/>
  <c r="G252" i="35"/>
  <c r="I248" i="35"/>
  <c r="H248" i="35"/>
  <c r="G248" i="35"/>
  <c r="I240" i="35"/>
  <c r="G240" i="35"/>
  <c r="I218" i="35"/>
  <c r="G218" i="35"/>
  <c r="H218" i="35"/>
  <c r="I210" i="35"/>
  <c r="G210" i="35"/>
  <c r="H210" i="35"/>
  <c r="I206" i="35"/>
  <c r="H206" i="35"/>
  <c r="G206" i="35"/>
  <c r="I198" i="35"/>
  <c r="H198" i="35"/>
  <c r="I190" i="35"/>
  <c r="H190" i="35"/>
  <c r="G190" i="35"/>
  <c r="I182" i="35"/>
  <c r="G182" i="35"/>
  <c r="H182" i="35"/>
  <c r="I174" i="35"/>
  <c r="H174" i="35"/>
  <c r="I166" i="35"/>
  <c r="G166" i="35"/>
  <c r="H166" i="35"/>
  <c r="I158" i="35"/>
  <c r="H158" i="35"/>
  <c r="G158" i="35"/>
  <c r="I150" i="35"/>
  <c r="H150" i="35"/>
  <c r="I142" i="35"/>
  <c r="G142" i="35"/>
  <c r="H142" i="35"/>
  <c r="I134" i="35"/>
  <c r="H134" i="35"/>
  <c r="G134" i="35"/>
  <c r="I126" i="35"/>
  <c r="G126" i="35"/>
  <c r="H126" i="35"/>
  <c r="G118" i="35"/>
  <c r="I118" i="35"/>
  <c r="H118" i="35"/>
  <c r="G110" i="35"/>
  <c r="I110" i="35"/>
  <c r="H110" i="35"/>
  <c r="G102" i="35"/>
  <c r="I102" i="35"/>
  <c r="H102" i="35"/>
  <c r="G94" i="35"/>
  <c r="I94" i="35"/>
  <c r="G86" i="35"/>
  <c r="I86" i="35"/>
  <c r="G78" i="35"/>
  <c r="H78" i="35"/>
  <c r="I78" i="35"/>
  <c r="I70" i="35"/>
  <c r="H70" i="35"/>
  <c r="G62" i="35"/>
  <c r="I62" i="35"/>
  <c r="H62" i="35"/>
  <c r="G54" i="35"/>
  <c r="I54" i="35"/>
  <c r="H54" i="35"/>
  <c r="G46" i="35"/>
  <c r="H46" i="35"/>
  <c r="I46" i="35"/>
  <c r="G38" i="35"/>
  <c r="I38" i="35"/>
  <c r="H38" i="35"/>
  <c r="G26" i="35"/>
  <c r="H26" i="35"/>
  <c r="I26" i="35"/>
  <c r="G18" i="35"/>
  <c r="I18" i="35"/>
  <c r="H18" i="35"/>
  <c r="G10" i="35"/>
  <c r="H10" i="35"/>
  <c r="I10" i="35"/>
  <c r="G399" i="35"/>
  <c r="G377" i="35"/>
  <c r="G346" i="35"/>
  <c r="G319" i="35"/>
  <c r="G316" i="35"/>
  <c r="G309" i="35"/>
  <c r="H202" i="35"/>
  <c r="G198" i="35"/>
  <c r="H178" i="35"/>
  <c r="G150" i="35"/>
  <c r="G130" i="35"/>
  <c r="G226" i="35"/>
  <c r="G202" i="35"/>
  <c r="H86" i="35"/>
  <c r="I4" i="35"/>
  <c r="G244" i="35"/>
  <c r="H240" i="35"/>
  <c r="H94" i="35"/>
  <c r="G277" i="35"/>
  <c r="H249" i="35"/>
  <c r="H252" i="35"/>
  <c r="G214" i="35"/>
  <c r="G395" i="35"/>
  <c r="H395" i="35"/>
  <c r="G373" i="35"/>
  <c r="H373" i="35"/>
  <c r="G331" i="35"/>
  <c r="H331" i="35"/>
  <c r="G359" i="35"/>
  <c r="H359" i="35"/>
  <c r="G351" i="35"/>
  <c r="H351" i="35"/>
  <c r="G3" i="35"/>
  <c r="H3" i="35"/>
  <c r="G336" i="35"/>
  <c r="H336" i="35"/>
  <c r="G318" i="35"/>
  <c r="H318" i="35"/>
  <c r="G303" i="35"/>
  <c r="H303" i="35"/>
  <c r="G302" i="35"/>
  <c r="H302" i="35"/>
  <c r="G295" i="35"/>
  <c r="H295" i="35"/>
  <c r="H282" i="35"/>
  <c r="G282" i="35"/>
  <c r="H262" i="35"/>
  <c r="I262" i="35"/>
  <c r="H238" i="35"/>
  <c r="G238" i="35"/>
  <c r="H243" i="35"/>
  <c r="G243" i="35"/>
  <c r="I243" i="35"/>
  <c r="H239" i="35"/>
  <c r="I239" i="35"/>
  <c r="H230" i="35"/>
  <c r="G230" i="35"/>
  <c r="H221" i="35"/>
  <c r="I221" i="35"/>
  <c r="H197" i="35"/>
  <c r="I197" i="35"/>
  <c r="H189" i="35"/>
  <c r="G189" i="35"/>
  <c r="I189" i="35"/>
  <c r="H181" i="35"/>
  <c r="I181" i="35"/>
  <c r="H173" i="35"/>
  <c r="G173" i="35"/>
  <c r="H165" i="35"/>
  <c r="I165" i="35"/>
  <c r="G165" i="35"/>
  <c r="H149" i="35"/>
  <c r="I149" i="35"/>
  <c r="G149" i="35"/>
  <c r="H145" i="35"/>
  <c r="G145" i="35"/>
  <c r="H141" i="35"/>
  <c r="I141" i="35"/>
  <c r="G141" i="35"/>
  <c r="H137" i="35"/>
  <c r="G137" i="35"/>
  <c r="I137" i="35"/>
  <c r="H133" i="35"/>
  <c r="I133" i="35"/>
  <c r="H129" i="35"/>
  <c r="G129" i="35"/>
  <c r="I129" i="35"/>
  <c r="H125" i="35"/>
  <c r="I125" i="35"/>
  <c r="G125" i="35"/>
  <c r="H121" i="35"/>
  <c r="G121" i="35"/>
  <c r="I121" i="35"/>
  <c r="G117" i="35"/>
  <c r="H117" i="35"/>
  <c r="I117" i="35"/>
  <c r="H113" i="35"/>
  <c r="I113" i="35"/>
  <c r="G113" i="35"/>
  <c r="I109" i="35"/>
  <c r="G109" i="35"/>
  <c r="H109" i="35"/>
  <c r="G105" i="35"/>
  <c r="H105" i="35"/>
  <c r="I105" i="35"/>
  <c r="G101" i="35"/>
  <c r="I101" i="35"/>
  <c r="H101" i="35"/>
  <c r="I93" i="35"/>
  <c r="G93" i="35"/>
  <c r="H93" i="35"/>
  <c r="I89" i="35"/>
  <c r="G89" i="35"/>
  <c r="H89" i="35"/>
  <c r="G85" i="35"/>
  <c r="H85" i="35"/>
  <c r="I85" i="35"/>
  <c r="H81" i="35"/>
  <c r="G81" i="35"/>
  <c r="I77" i="35"/>
  <c r="G77" i="35"/>
  <c r="H73" i="35"/>
  <c r="G73" i="35"/>
  <c r="G69" i="35"/>
  <c r="I69" i="35"/>
  <c r="I61" i="35"/>
  <c r="H61" i="35"/>
  <c r="G57" i="35"/>
  <c r="H57" i="35"/>
  <c r="G53" i="35"/>
  <c r="I53" i="35"/>
  <c r="H49" i="35"/>
  <c r="I49" i="35"/>
  <c r="I45" i="35"/>
  <c r="G45" i="35"/>
  <c r="H41" i="35"/>
  <c r="I41" i="35"/>
  <c r="G37" i="35"/>
  <c r="I37" i="35"/>
  <c r="H37" i="35"/>
  <c r="H33" i="35"/>
  <c r="G33" i="35"/>
  <c r="I33" i="35"/>
  <c r="I29" i="35"/>
  <c r="G29" i="35"/>
  <c r="H29" i="35"/>
  <c r="I25" i="35"/>
  <c r="H25" i="35"/>
  <c r="G25" i="35"/>
  <c r="G21" i="35"/>
  <c r="H21" i="35"/>
  <c r="I21" i="35"/>
  <c r="H17" i="35"/>
  <c r="G17" i="35"/>
  <c r="I17" i="35"/>
  <c r="I13" i="35"/>
  <c r="G13" i="35"/>
  <c r="H13" i="35"/>
  <c r="H9" i="35"/>
  <c r="I9" i="35"/>
  <c r="G9" i="35"/>
  <c r="G5" i="35"/>
  <c r="H5" i="35"/>
  <c r="H401" i="35"/>
  <c r="I335" i="35"/>
  <c r="I375" i="35"/>
  <c r="I341" i="35"/>
  <c r="I368" i="35"/>
  <c r="I357" i="35"/>
  <c r="I349" i="35"/>
  <c r="I2" i="35"/>
  <c r="I332" i="35"/>
  <c r="I323" i="35"/>
  <c r="I315" i="35"/>
  <c r="I307" i="35"/>
  <c r="I298" i="35"/>
  <c r="I292" i="35"/>
  <c r="I238" i="35"/>
  <c r="G253" i="35"/>
  <c r="H242" i="35"/>
  <c r="G239" i="35"/>
  <c r="I234" i="35"/>
  <c r="I224" i="35"/>
  <c r="G209" i="35"/>
  <c r="G197" i="35"/>
  <c r="I81" i="35"/>
  <c r="I73" i="35"/>
  <c r="G65" i="35"/>
  <c r="I57" i="35"/>
  <c r="H45" i="35"/>
  <c r="G380" i="35"/>
  <c r="H380" i="35"/>
  <c r="G376" i="35"/>
  <c r="H376" i="35"/>
  <c r="G370" i="35"/>
  <c r="H370" i="35"/>
  <c r="G365" i="35"/>
  <c r="H365" i="35"/>
  <c r="G364" i="35"/>
  <c r="H364" i="35"/>
  <c r="G353" i="35"/>
  <c r="H353" i="35"/>
  <c r="G337" i="35"/>
  <c r="H337" i="35"/>
  <c r="G339" i="35"/>
  <c r="H339" i="35"/>
  <c r="G329" i="35"/>
  <c r="H329" i="35"/>
  <c r="G320" i="35"/>
  <c r="H320" i="35"/>
  <c r="G311" i="35"/>
  <c r="H311" i="35"/>
  <c r="G308" i="35"/>
  <c r="H308" i="35"/>
  <c r="G276" i="35"/>
  <c r="H276" i="35"/>
  <c r="G287" i="35"/>
  <c r="H287" i="35"/>
  <c r="H288" i="35"/>
  <c r="I288" i="35"/>
  <c r="H274" i="35"/>
  <c r="G274" i="35"/>
  <c r="I274" i="35"/>
  <c r="H263" i="35"/>
  <c r="G263" i="35"/>
  <c r="I263" i="35"/>
  <c r="H257" i="35"/>
  <c r="I257" i="35"/>
  <c r="H247" i="35"/>
  <c r="G247" i="35"/>
  <c r="H225" i="35"/>
  <c r="G225" i="35"/>
  <c r="I225" i="35"/>
  <c r="H213" i="35"/>
  <c r="G213" i="35"/>
  <c r="H205" i="35"/>
  <c r="I205" i="35"/>
  <c r="H201" i="35"/>
  <c r="G201" i="35"/>
  <c r="I201" i="35"/>
  <c r="H193" i="35"/>
  <c r="I193" i="35"/>
  <c r="H185" i="35"/>
  <c r="G185" i="35"/>
  <c r="H177" i="35"/>
  <c r="G177" i="35"/>
  <c r="I177" i="35"/>
  <c r="H169" i="35"/>
  <c r="G169" i="35"/>
  <c r="H161" i="35"/>
  <c r="G161" i="35"/>
  <c r="H153" i="35"/>
  <c r="G153" i="35"/>
  <c r="I153" i="35"/>
  <c r="H97" i="35"/>
  <c r="G97" i="35"/>
  <c r="I97" i="35"/>
  <c r="G284" i="35"/>
  <c r="H284" i="35"/>
  <c r="G281" i="35"/>
  <c r="H281" i="35"/>
  <c r="I281" i="35"/>
  <c r="G283" i="35"/>
  <c r="I283" i="35"/>
  <c r="G261" i="35"/>
  <c r="H261" i="35"/>
  <c r="G267" i="35"/>
  <c r="H267" i="35"/>
  <c r="I267" i="35"/>
  <c r="G265" i="35"/>
  <c r="I265" i="35"/>
  <c r="G254" i="35"/>
  <c r="H254" i="35"/>
  <c r="G251" i="35"/>
  <c r="H251" i="35"/>
  <c r="I251" i="35"/>
  <c r="G246" i="35"/>
  <c r="I246" i="35"/>
  <c r="G237" i="35"/>
  <c r="H237" i="35"/>
  <c r="G229" i="35"/>
  <c r="I229" i="35"/>
  <c r="G220" i="35"/>
  <c r="H220" i="35"/>
  <c r="G216" i="35"/>
  <c r="H216" i="35"/>
  <c r="I216" i="35"/>
  <c r="G212" i="35"/>
  <c r="I212" i="35"/>
  <c r="G208" i="35"/>
  <c r="H208" i="35"/>
  <c r="I208" i="35"/>
  <c r="G204" i="35"/>
  <c r="I204" i="35"/>
  <c r="G200" i="35"/>
  <c r="I200" i="35"/>
  <c r="G196" i="35"/>
  <c r="H196" i="35"/>
  <c r="I196" i="35"/>
  <c r="G192" i="35"/>
  <c r="H192" i="35"/>
  <c r="G188" i="35"/>
  <c r="I188" i="35"/>
  <c r="G184" i="35"/>
  <c r="H184" i="35"/>
  <c r="I184" i="35"/>
  <c r="G180" i="35"/>
  <c r="H180" i="35"/>
  <c r="G176" i="35"/>
  <c r="H176" i="35"/>
  <c r="G172" i="35"/>
  <c r="I172" i="35"/>
  <c r="H172" i="35"/>
  <c r="G168" i="35"/>
  <c r="H168" i="35"/>
  <c r="G160" i="35"/>
  <c r="H160" i="35"/>
  <c r="I160" i="35"/>
  <c r="G156" i="35"/>
  <c r="I156" i="35"/>
  <c r="H156" i="35"/>
  <c r="G148" i="35"/>
  <c r="I148" i="35"/>
  <c r="G144" i="35"/>
  <c r="H144" i="35"/>
  <c r="G140" i="35"/>
  <c r="H140" i="35"/>
  <c r="I140" i="35"/>
  <c r="G136" i="35"/>
  <c r="H136" i="35"/>
  <c r="I136" i="35"/>
  <c r="G132" i="35"/>
  <c r="I132" i="35"/>
  <c r="G128" i="35"/>
  <c r="H128" i="35"/>
  <c r="G124" i="35"/>
  <c r="I124" i="35"/>
  <c r="H124" i="35"/>
  <c r="G120" i="35"/>
  <c r="H120" i="35"/>
  <c r="I116" i="35"/>
  <c r="G116" i="35"/>
  <c r="I108" i="35"/>
  <c r="G108" i="35"/>
  <c r="I104" i="35"/>
  <c r="H104" i="35"/>
  <c r="G104" i="35"/>
  <c r="I100" i="35"/>
  <c r="H100" i="35"/>
  <c r="I96" i="35"/>
  <c r="H96" i="35"/>
  <c r="I92" i="35"/>
  <c r="G92" i="35"/>
  <c r="H92" i="35"/>
  <c r="I88" i="35"/>
  <c r="H88" i="35"/>
  <c r="G88" i="35"/>
  <c r="I84" i="35"/>
  <c r="G84" i="35"/>
  <c r="H84" i="35"/>
  <c r="I80" i="35"/>
  <c r="H80" i="35"/>
  <c r="G80" i="35"/>
  <c r="I76" i="35"/>
  <c r="G76" i="35"/>
  <c r="H76" i="35"/>
  <c r="I72" i="35"/>
  <c r="H72" i="35"/>
  <c r="G72" i="35"/>
  <c r="I68" i="35"/>
  <c r="H68" i="35"/>
  <c r="G68" i="35"/>
  <c r="I64" i="35"/>
  <c r="G64" i="35"/>
  <c r="H64" i="35"/>
  <c r="I60" i="35"/>
  <c r="G60" i="35"/>
  <c r="H60" i="35"/>
  <c r="I56" i="35"/>
  <c r="H56" i="35"/>
  <c r="I52" i="35"/>
  <c r="G52" i="35"/>
  <c r="I48" i="35"/>
  <c r="G48" i="35"/>
  <c r="I44" i="35"/>
  <c r="G44" i="35"/>
  <c r="H44" i="35"/>
  <c r="I40" i="35"/>
  <c r="H40" i="35"/>
  <c r="G40" i="35"/>
  <c r="I32" i="35"/>
  <c r="G32" i="35"/>
  <c r="I28" i="35"/>
  <c r="G28" i="35"/>
  <c r="H28" i="35"/>
  <c r="I24" i="35"/>
  <c r="H24" i="35"/>
  <c r="I20" i="35"/>
  <c r="H20" i="35"/>
  <c r="I16" i="35"/>
  <c r="H16" i="35"/>
  <c r="G16" i="35"/>
  <c r="I12" i="35"/>
  <c r="G12" i="35"/>
  <c r="H12" i="35"/>
  <c r="H8" i="35"/>
  <c r="G8" i="35"/>
  <c r="H335" i="35"/>
  <c r="I380" i="35"/>
  <c r="H375" i="35"/>
  <c r="I373" i="35"/>
  <c r="H341" i="35"/>
  <c r="I331" i="35"/>
  <c r="H368" i="35"/>
  <c r="I364" i="35"/>
  <c r="H357" i="35"/>
  <c r="I353" i="35"/>
  <c r="H349" i="35"/>
  <c r="I337" i="35"/>
  <c r="H2" i="35"/>
  <c r="I339" i="35"/>
  <c r="H332" i="35"/>
  <c r="I329" i="35"/>
  <c r="H323" i="35"/>
  <c r="I320" i="35"/>
  <c r="H315" i="35"/>
  <c r="I311" i="35"/>
  <c r="H307" i="35"/>
  <c r="I302" i="35"/>
  <c r="H298" i="35"/>
  <c r="I295" i="35"/>
  <c r="H292" i="35"/>
  <c r="G288" i="35"/>
  <c r="I285" i="35"/>
  <c r="I275" i="35"/>
  <c r="H265" i="35"/>
  <c r="I247" i="35"/>
  <c r="I237" i="35"/>
  <c r="G234" i="35"/>
  <c r="H224" i="35"/>
  <c r="G221" i="35"/>
  <c r="I217" i="35"/>
  <c r="H112" i="35"/>
  <c r="G96" i="35"/>
  <c r="G56" i="35"/>
  <c r="I5" i="35"/>
  <c r="H143" i="35"/>
  <c r="I143" i="35"/>
  <c r="I139" i="35"/>
  <c r="G139" i="35"/>
  <c r="G131" i="35"/>
  <c r="I131" i="35"/>
  <c r="H127" i="35"/>
  <c r="G127" i="35"/>
  <c r="H115" i="35"/>
  <c r="G115" i="35"/>
  <c r="H111" i="35"/>
  <c r="I111" i="35"/>
  <c r="G111" i="35"/>
  <c r="H107" i="35"/>
  <c r="I107" i="35"/>
  <c r="H99" i="35"/>
  <c r="G99" i="35"/>
  <c r="I99" i="35"/>
  <c r="H95" i="35"/>
  <c r="I95" i="35"/>
  <c r="G95" i="35"/>
  <c r="H91" i="35"/>
  <c r="I91" i="35"/>
  <c r="H87" i="35"/>
  <c r="I87" i="35"/>
  <c r="H83" i="35"/>
  <c r="G83" i="35"/>
  <c r="H79" i="35"/>
  <c r="I79" i="35"/>
  <c r="G79" i="35"/>
  <c r="H75" i="35"/>
  <c r="I75" i="35"/>
  <c r="H71" i="35"/>
  <c r="G71" i="35"/>
  <c r="H67" i="35"/>
  <c r="G67" i="35"/>
  <c r="H63" i="35"/>
  <c r="I63" i="35"/>
  <c r="G63" i="35"/>
  <c r="H59" i="35"/>
  <c r="G59" i="35"/>
  <c r="H51" i="35"/>
  <c r="G51" i="35"/>
  <c r="H47" i="35"/>
  <c r="I47" i="35"/>
  <c r="G47" i="35"/>
  <c r="H35" i="35"/>
  <c r="G35" i="35"/>
  <c r="I35" i="35"/>
  <c r="H31" i="35"/>
  <c r="I31" i="35"/>
  <c r="H23" i="35"/>
  <c r="I23" i="35"/>
  <c r="H19" i="35"/>
  <c r="G19" i="35"/>
  <c r="I19" i="35"/>
  <c r="H15" i="35"/>
  <c r="I15" i="35"/>
  <c r="H11" i="35"/>
  <c r="I11" i="35"/>
  <c r="H7" i="35"/>
  <c r="G7" i="35"/>
  <c r="H203" i="35"/>
  <c r="H179" i="35"/>
  <c r="I167" i="35"/>
  <c r="G163" i="35"/>
  <c r="I155" i="35"/>
  <c r="G151" i="35"/>
  <c r="G143" i="35"/>
  <c r="I127" i="35"/>
  <c r="G75" i="35"/>
  <c r="I71" i="35"/>
  <c r="I67" i="35"/>
  <c r="G55" i="35"/>
  <c r="F566" i="8"/>
  <c r="F34" i="8"/>
  <c r="F35" i="8"/>
  <c r="F567" i="8"/>
  <c r="F568" i="8"/>
  <c r="F569" i="8"/>
  <c r="F570" i="8"/>
  <c r="F571" i="8"/>
  <c r="F572" i="8"/>
  <c r="F573" i="8"/>
  <c r="F574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6" i="8"/>
  <c r="F57" i="8"/>
  <c r="F58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5" i="8"/>
  <c r="F79" i="8"/>
  <c r="F80" i="8"/>
  <c r="F81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580" i="8"/>
  <c r="F581" i="8"/>
  <c r="F582" i="8"/>
  <c r="F564" i="8"/>
  <c r="E566" i="8"/>
  <c r="E34" i="8"/>
  <c r="E35" i="8"/>
  <c r="E567" i="8"/>
  <c r="E568" i="8"/>
  <c r="E569" i="8"/>
  <c r="E570" i="8"/>
  <c r="E571" i="8"/>
  <c r="E572" i="8"/>
  <c r="E573" i="8"/>
  <c r="E574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6" i="8"/>
  <c r="E57" i="8"/>
  <c r="E58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5" i="8"/>
  <c r="E79" i="8"/>
  <c r="E80" i="8"/>
  <c r="E81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18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580" i="8"/>
  <c r="E581" i="8"/>
  <c r="E582" i="8"/>
  <c r="E564" i="8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91" i="16"/>
  <c r="F92" i="16"/>
  <c r="F93" i="16"/>
  <c r="F94" i="16"/>
  <c r="F95" i="16"/>
  <c r="F96" i="16"/>
  <c r="F97" i="16"/>
  <c r="F98" i="16"/>
  <c r="F99" i="16"/>
  <c r="F100" i="16"/>
  <c r="F101" i="16"/>
  <c r="F102" i="16"/>
  <c r="F103" i="16"/>
  <c r="F104" i="16"/>
  <c r="F105" i="16"/>
  <c r="F106" i="16"/>
  <c r="F107" i="16"/>
  <c r="F108" i="16"/>
  <c r="F109" i="16"/>
  <c r="F110" i="16"/>
  <c r="F111" i="16"/>
  <c r="F112" i="16"/>
  <c r="F113" i="16"/>
  <c r="F114" i="16"/>
  <c r="F115" i="16"/>
  <c r="F116" i="16"/>
  <c r="F117" i="16"/>
  <c r="F118" i="16"/>
  <c r="F119" i="16"/>
  <c r="F120" i="16"/>
  <c r="F121" i="16"/>
  <c r="F91" i="16"/>
  <c r="G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3" i="16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" i="8"/>
  <c r="F4" i="8"/>
  <c r="F151" i="8"/>
  <c r="F152" i="8"/>
  <c r="F153" i="8"/>
  <c r="F5" i="8"/>
  <c r="F6" i="8"/>
  <c r="F159" i="8"/>
  <c r="F7" i="8"/>
  <c r="F160" i="8"/>
  <c r="F161" i="8"/>
  <c r="F162" i="8"/>
  <c r="F163" i="8"/>
  <c r="F164" i="8"/>
  <c r="F165" i="8"/>
  <c r="F168" i="8"/>
  <c r="F169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8" i="8"/>
  <c r="F188" i="8"/>
  <c r="F189" i="8"/>
  <c r="F190" i="8"/>
  <c r="F191" i="8"/>
  <c r="F192" i="8"/>
  <c r="F9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11" i="8"/>
  <c r="F12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14" i="8"/>
  <c r="F222" i="8"/>
  <c r="F223" i="8"/>
  <c r="F15" i="8"/>
  <c r="F224" i="8"/>
  <c r="F225" i="8"/>
  <c r="F226" i="8"/>
  <c r="F16" i="8"/>
  <c r="F17" i="8"/>
  <c r="F227" i="8"/>
  <c r="F228" i="8"/>
  <c r="F229" i="8"/>
  <c r="F230" i="8"/>
  <c r="F231" i="8"/>
  <c r="F232" i="8"/>
  <c r="F18" i="8"/>
  <c r="F233" i="8"/>
  <c r="F234" i="8"/>
  <c r="F235" i="8"/>
  <c r="F20" i="8"/>
  <c r="F236" i="8"/>
  <c r="F237" i="8"/>
  <c r="F238" i="8"/>
  <c r="F239" i="8"/>
  <c r="F240" i="8"/>
  <c r="F241" i="8"/>
  <c r="F242" i="8"/>
  <c r="F243" i="8"/>
  <c r="F244" i="8"/>
  <c r="F21" i="8"/>
  <c r="F245" i="8"/>
  <c r="F247" i="8"/>
  <c r="F248" i="8"/>
  <c r="F249" i="8"/>
  <c r="F22" i="8"/>
  <c r="F250" i="8"/>
  <c r="F251" i="8"/>
  <c r="F253" i="8"/>
  <c r="F254" i="8"/>
  <c r="F255" i="8"/>
  <c r="F256" i="8"/>
  <c r="F257" i="8"/>
  <c r="F258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20" i="8"/>
  <c r="F321" i="8"/>
  <c r="F322" i="8"/>
  <c r="F323" i="8"/>
  <c r="F324" i="8"/>
  <c r="F326" i="8"/>
  <c r="F327" i="8"/>
  <c r="F328" i="8"/>
  <c r="F329" i="8"/>
  <c r="F330" i="8"/>
  <c r="F331" i="8"/>
  <c r="F332" i="8"/>
  <c r="F333" i="8"/>
  <c r="F335" i="8"/>
  <c r="F336" i="8"/>
  <c r="F337" i="8"/>
  <c r="F338" i="8"/>
  <c r="F339" i="8"/>
  <c r="F340" i="8"/>
  <c r="F24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29" i="8"/>
  <c r="F402" i="8"/>
  <c r="F403" i="8"/>
  <c r="F404" i="8"/>
  <c r="F405" i="8"/>
  <c r="F406" i="8"/>
  <c r="F407" i="8"/>
  <c r="F408" i="8"/>
  <c r="F409" i="8"/>
  <c r="F410" i="8"/>
  <c r="F31" i="8"/>
  <c r="F411" i="8"/>
  <c r="F412" i="8"/>
  <c r="F413" i="8"/>
  <c r="F414" i="8"/>
  <c r="F415" i="8"/>
  <c r="F416" i="8"/>
  <c r="F32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F445" i="8"/>
  <c r="F446" i="8"/>
  <c r="F447" i="8"/>
  <c r="F448" i="8"/>
  <c r="F449" i="8"/>
  <c r="F450" i="8"/>
  <c r="F451" i="8"/>
  <c r="F452" i="8"/>
  <c r="F453" i="8"/>
  <c r="F454" i="8"/>
  <c r="F455" i="8"/>
  <c r="F456" i="8"/>
  <c r="F457" i="8"/>
  <c r="F458" i="8"/>
  <c r="F459" i="8"/>
  <c r="F460" i="8"/>
  <c r="F461" i="8"/>
  <c r="F462" i="8"/>
  <c r="F463" i="8"/>
  <c r="F465" i="8"/>
  <c r="F467" i="8"/>
  <c r="F468" i="8"/>
  <c r="F469" i="8"/>
  <c r="F470" i="8"/>
  <c r="F471" i="8"/>
  <c r="F472" i="8"/>
  <c r="F473" i="8"/>
  <c r="F474" i="8"/>
  <c r="F475" i="8"/>
  <c r="F476" i="8"/>
  <c r="F477" i="8"/>
  <c r="F478" i="8"/>
  <c r="F479" i="8"/>
  <c r="F480" i="8"/>
  <c r="F481" i="8"/>
  <c r="F482" i="8"/>
  <c r="F483" i="8"/>
  <c r="F484" i="8"/>
  <c r="F485" i="8"/>
  <c r="F486" i="8"/>
  <c r="F487" i="8"/>
  <c r="F488" i="8"/>
  <c r="F489" i="8"/>
  <c r="F490" i="8"/>
  <c r="F491" i="8"/>
  <c r="F492" i="8"/>
  <c r="F493" i="8"/>
  <c r="F494" i="8"/>
  <c r="F33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9" i="8"/>
  <c r="F560" i="8"/>
  <c r="F563" i="8"/>
  <c r="F2" i="8"/>
  <c r="E3" i="8"/>
  <c r="E4" i="8"/>
  <c r="E151" i="8"/>
  <c r="E152" i="8"/>
  <c r="E153" i="8"/>
  <c r="E5" i="8"/>
  <c r="E6" i="8"/>
  <c r="E159" i="8"/>
  <c r="E7" i="8"/>
  <c r="E160" i="8"/>
  <c r="E161" i="8"/>
  <c r="E162" i="8"/>
  <c r="E163" i="8"/>
  <c r="E164" i="8"/>
  <c r="E165" i="8"/>
  <c r="E168" i="8"/>
  <c r="E169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8" i="8"/>
  <c r="E188" i="8"/>
  <c r="E189" i="8"/>
  <c r="E190" i="8"/>
  <c r="E191" i="8"/>
  <c r="E192" i="8"/>
  <c r="E9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11" i="8"/>
  <c r="E12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14" i="8"/>
  <c r="E222" i="8"/>
  <c r="E223" i="8"/>
  <c r="E15" i="8"/>
  <c r="E224" i="8"/>
  <c r="E225" i="8"/>
  <c r="E226" i="8"/>
  <c r="E16" i="8"/>
  <c r="E17" i="8"/>
  <c r="E227" i="8"/>
  <c r="E228" i="8"/>
  <c r="E229" i="8"/>
  <c r="E230" i="8"/>
  <c r="E231" i="8"/>
  <c r="E232" i="8"/>
  <c r="E18" i="8"/>
  <c r="E233" i="8"/>
  <c r="E234" i="8"/>
  <c r="E235" i="8"/>
  <c r="E20" i="8"/>
  <c r="E236" i="8"/>
  <c r="E237" i="8"/>
  <c r="E238" i="8"/>
  <c r="E239" i="8"/>
  <c r="E240" i="8"/>
  <c r="E241" i="8"/>
  <c r="E242" i="8"/>
  <c r="E243" i="8"/>
  <c r="E244" i="8"/>
  <c r="E21" i="8"/>
  <c r="E245" i="8"/>
  <c r="E247" i="8"/>
  <c r="E248" i="8"/>
  <c r="E249" i="8"/>
  <c r="E22" i="8"/>
  <c r="E250" i="8"/>
  <c r="E251" i="8"/>
  <c r="E253" i="8"/>
  <c r="E254" i="8"/>
  <c r="E255" i="8"/>
  <c r="E256" i="8"/>
  <c r="E257" i="8"/>
  <c r="E258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20" i="8"/>
  <c r="E321" i="8"/>
  <c r="E322" i="8"/>
  <c r="E323" i="8"/>
  <c r="E324" i="8"/>
  <c r="E326" i="8"/>
  <c r="E327" i="8"/>
  <c r="E328" i="8"/>
  <c r="E329" i="8"/>
  <c r="E330" i="8"/>
  <c r="E331" i="8"/>
  <c r="E332" i="8"/>
  <c r="E333" i="8"/>
  <c r="E335" i="8"/>
  <c r="E336" i="8"/>
  <c r="E337" i="8"/>
  <c r="E338" i="8"/>
  <c r="E339" i="8"/>
  <c r="E340" i="8"/>
  <c r="E24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6" i="8"/>
  <c r="E357" i="8"/>
  <c r="E358" i="8"/>
  <c r="E359" i="8"/>
  <c r="E360" i="8"/>
  <c r="E361" i="8"/>
  <c r="E362" i="8"/>
  <c r="E363" i="8"/>
  <c r="E364" i="8"/>
  <c r="E365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29" i="8"/>
  <c r="E402" i="8"/>
  <c r="E403" i="8"/>
  <c r="E404" i="8"/>
  <c r="E405" i="8"/>
  <c r="E406" i="8"/>
  <c r="E407" i="8"/>
  <c r="E408" i="8"/>
  <c r="E409" i="8"/>
  <c r="E410" i="8"/>
  <c r="E31" i="8"/>
  <c r="E411" i="8"/>
  <c r="E412" i="8"/>
  <c r="E413" i="8"/>
  <c r="E414" i="8"/>
  <c r="E415" i="8"/>
  <c r="E416" i="8"/>
  <c r="E32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5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33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9" i="8"/>
  <c r="E560" i="8"/>
  <c r="E563" i="8"/>
  <c r="E2" i="8"/>
  <c r="F3" i="7"/>
  <c r="F4" i="7"/>
  <c r="F5" i="7"/>
  <c r="F6" i="7"/>
  <c r="F11" i="7"/>
  <c r="F12" i="7"/>
  <c r="F14" i="7"/>
  <c r="F15" i="7"/>
  <c r="F16" i="7"/>
  <c r="F17" i="7"/>
  <c r="F18" i="7"/>
  <c r="F19" i="7"/>
  <c r="F20" i="7"/>
  <c r="F21" i="7"/>
  <c r="F24" i="7"/>
  <c r="F25" i="7"/>
  <c r="F26" i="7"/>
  <c r="F27" i="7"/>
  <c r="F29" i="7"/>
  <c r="F30" i="7"/>
  <c r="F31" i="7"/>
  <c r="F33" i="7"/>
  <c r="F34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31" i="7"/>
  <c r="F132" i="7"/>
  <c r="F133" i="7"/>
  <c r="F134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2" i="7"/>
  <c r="F153" i="7"/>
  <c r="F154" i="7"/>
  <c r="F155" i="7"/>
  <c r="F156" i="7"/>
  <c r="F157" i="7"/>
  <c r="F158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9" i="7"/>
  <c r="F270" i="7"/>
  <c r="F271" i="7"/>
  <c r="F272" i="7"/>
  <c r="F273" i="7"/>
  <c r="F274" i="7"/>
  <c r="F275" i="7"/>
  <c r="F276" i="7"/>
  <c r="F277" i="7"/>
  <c r="F278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400" i="7"/>
  <c r="F401" i="7"/>
  <c r="F402" i="7"/>
  <c r="F403" i="7"/>
  <c r="F404" i="7"/>
  <c r="F406" i="7"/>
  <c r="F407" i="7"/>
  <c r="F408" i="7"/>
  <c r="F409" i="7"/>
  <c r="F410" i="7"/>
  <c r="F412" i="7"/>
  <c r="F413" i="7"/>
  <c r="F414" i="7"/>
  <c r="F415" i="7"/>
  <c r="F416" i="7"/>
  <c r="F419" i="7"/>
  <c r="F420" i="7"/>
  <c r="F421" i="7"/>
  <c r="F422" i="7"/>
  <c r="F423" i="7"/>
  <c r="F424" i="7"/>
  <c r="F425" i="7"/>
  <c r="F427" i="7"/>
  <c r="F428" i="7"/>
  <c r="F429" i="7"/>
  <c r="F431" i="7"/>
  <c r="F432" i="7"/>
  <c r="F433" i="7"/>
  <c r="F435" i="7"/>
  <c r="F436" i="7"/>
  <c r="F437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3" i="7"/>
  <c r="F464" i="7"/>
  <c r="F467" i="7"/>
  <c r="F468" i="7"/>
  <c r="F469" i="7"/>
  <c r="F471" i="7"/>
  <c r="F472" i="7"/>
  <c r="F475" i="7"/>
  <c r="F476" i="7"/>
  <c r="F479" i="7"/>
  <c r="F480" i="7"/>
  <c r="F483" i="7"/>
  <c r="F484" i="7"/>
  <c r="F487" i="7"/>
  <c r="F489" i="7"/>
  <c r="F490" i="7"/>
  <c r="F492" i="7"/>
  <c r="F494" i="7"/>
  <c r="F495" i="7"/>
  <c r="F500" i="7"/>
  <c r="F501" i="7"/>
  <c r="F505" i="7"/>
  <c r="F506" i="7"/>
  <c r="F507" i="7"/>
  <c r="F508" i="7"/>
  <c r="F509" i="7"/>
  <c r="F510" i="7"/>
  <c r="F511" i="7"/>
  <c r="F513" i="7"/>
  <c r="F514" i="7"/>
  <c r="F521" i="7"/>
  <c r="F524" i="7"/>
  <c r="F526" i="7"/>
  <c r="F527" i="7"/>
  <c r="F528" i="7"/>
  <c r="F529" i="7"/>
  <c r="F531" i="7"/>
  <c r="F532" i="7"/>
  <c r="F537" i="7"/>
  <c r="F538" i="7"/>
  <c r="F541" i="7"/>
  <c r="F542" i="7"/>
  <c r="F543" i="7"/>
  <c r="F544" i="7"/>
  <c r="F545" i="7"/>
  <c r="F546" i="7"/>
  <c r="F547" i="7"/>
  <c r="F549" i="7"/>
  <c r="F550" i="7"/>
  <c r="F551" i="7"/>
  <c r="F552" i="7"/>
  <c r="F554" i="7"/>
  <c r="F556" i="7"/>
  <c r="F558" i="7"/>
  <c r="F559" i="7"/>
  <c r="F562" i="7"/>
  <c r="F563" i="7"/>
  <c r="F565" i="7"/>
  <c r="F568" i="7"/>
  <c r="F570" i="7"/>
  <c r="F571" i="7"/>
  <c r="F572" i="7"/>
  <c r="F573" i="7"/>
  <c r="F574" i="7"/>
  <c r="F575" i="7"/>
  <c r="F576" i="7"/>
  <c r="F578" i="7"/>
  <c r="F579" i="7"/>
  <c r="F583" i="7"/>
  <c r="F585" i="7"/>
  <c r="F586" i="7"/>
  <c r="F591" i="7"/>
  <c r="F592" i="7"/>
  <c r="F593" i="7"/>
  <c r="F594" i="7"/>
  <c r="F595" i="7"/>
  <c r="F598" i="7"/>
  <c r="F599" i="7"/>
  <c r="F600" i="7"/>
  <c r="F601" i="7"/>
  <c r="F602" i="7"/>
  <c r="F603" i="7"/>
  <c r="F604" i="7"/>
  <c r="F608" i="7"/>
  <c r="F613" i="7"/>
  <c r="F616" i="7"/>
  <c r="F618" i="7"/>
  <c r="F619" i="7"/>
  <c r="F620" i="7"/>
  <c r="F623" i="7"/>
  <c r="F624" i="7"/>
  <c r="F626" i="7"/>
  <c r="F627" i="7"/>
  <c r="F628" i="7"/>
  <c r="F633" i="7"/>
  <c r="F634" i="7"/>
  <c r="F637" i="7"/>
  <c r="F638" i="7"/>
  <c r="F639" i="7"/>
  <c r="F642" i="7"/>
  <c r="F646" i="7"/>
  <c r="F648" i="7"/>
  <c r="F650" i="7"/>
  <c r="F651" i="7"/>
  <c r="F656" i="7"/>
  <c r="F657" i="7"/>
  <c r="F658" i="7"/>
  <c r="F659" i="7"/>
  <c r="F660" i="7"/>
  <c r="F663" i="7"/>
  <c r="F664" i="7"/>
  <c r="F665" i="7"/>
  <c r="F666" i="7"/>
  <c r="F667" i="7"/>
  <c r="F669" i="7"/>
  <c r="F670" i="7"/>
  <c r="F671" i="7"/>
  <c r="F672" i="7"/>
  <c r="F673" i="7"/>
  <c r="F675" i="7"/>
  <c r="F677" i="7"/>
  <c r="F678" i="7"/>
  <c r="F680" i="7"/>
  <c r="F681" i="7"/>
  <c r="F682" i="7"/>
  <c r="F683" i="7"/>
  <c r="F684" i="7"/>
  <c r="F691" i="7"/>
  <c r="F692" i="7"/>
  <c r="F696" i="7"/>
  <c r="F697" i="7"/>
  <c r="F698" i="7"/>
  <c r="F699" i="7"/>
  <c r="F700" i="7"/>
  <c r="F701" i="7"/>
  <c r="F702" i="7"/>
  <c r="F703" i="7"/>
  <c r="F704" i="7"/>
  <c r="F706" i="7"/>
  <c r="F707" i="7"/>
  <c r="F709" i="7"/>
  <c r="F710" i="7"/>
  <c r="F711" i="7"/>
  <c r="F712" i="7"/>
  <c r="F713" i="7"/>
  <c r="F715" i="7"/>
  <c r="F717" i="7"/>
  <c r="F718" i="7"/>
  <c r="F719" i="7"/>
  <c r="F720" i="7"/>
  <c r="F721" i="7"/>
  <c r="F722" i="7"/>
  <c r="F724" i="7"/>
  <c r="F725" i="7"/>
  <c r="F727" i="7"/>
  <c r="F728" i="7"/>
  <c r="F729" i="7"/>
  <c r="F730" i="7"/>
  <c r="F731" i="7"/>
  <c r="F733" i="7"/>
  <c r="F734" i="7"/>
  <c r="F735" i="7"/>
  <c r="F739" i="7"/>
  <c r="F742" i="7"/>
  <c r="F743" i="7"/>
  <c r="F744" i="7"/>
  <c r="F746" i="7"/>
  <c r="F747" i="7"/>
  <c r="F748" i="7"/>
  <c r="F750" i="7"/>
  <c r="F752" i="7"/>
  <c r="F753" i="7"/>
  <c r="F754" i="7"/>
  <c r="F755" i="7"/>
  <c r="F757" i="7"/>
  <c r="F758" i="7"/>
  <c r="F759" i="7"/>
  <c r="F760" i="7"/>
  <c r="F762" i="7"/>
  <c r="F763" i="7"/>
  <c r="F769" i="7"/>
  <c r="F770" i="7"/>
  <c r="F771" i="7"/>
  <c r="F772" i="7"/>
  <c r="F773" i="7"/>
  <c r="F775" i="7"/>
  <c r="F776" i="7"/>
  <c r="F777" i="7"/>
  <c r="F779" i="7"/>
  <c r="F780" i="7"/>
  <c r="F782" i="7"/>
  <c r="F783" i="7"/>
  <c r="F784" i="7"/>
  <c r="F785" i="7"/>
  <c r="F786" i="7"/>
  <c r="F787" i="7"/>
  <c r="F788" i="7"/>
  <c r="F789" i="7"/>
  <c r="F792" i="7"/>
  <c r="F793" i="7"/>
  <c r="F794" i="7"/>
  <c r="F795" i="7"/>
  <c r="F797" i="7"/>
  <c r="F798" i="7"/>
  <c r="F804" i="7"/>
  <c r="F805" i="7"/>
  <c r="F806" i="7"/>
  <c r="F808" i="7"/>
  <c r="F809" i="7"/>
  <c r="F810" i="7"/>
  <c r="F811" i="7"/>
  <c r="F814" i="7"/>
  <c r="F815" i="7"/>
  <c r="F817" i="7"/>
  <c r="F818" i="7"/>
  <c r="F819" i="7"/>
  <c r="F821" i="7"/>
  <c r="F822" i="7"/>
  <c r="F823" i="7"/>
  <c r="F824" i="7"/>
  <c r="F825" i="7"/>
  <c r="F828" i="7"/>
  <c r="F829" i="7"/>
  <c r="F830" i="7"/>
  <c r="F831" i="7"/>
  <c r="F832" i="7"/>
  <c r="F833" i="7"/>
  <c r="F834" i="7"/>
  <c r="F835" i="7"/>
  <c r="F836" i="7"/>
  <c r="F840" i="7"/>
  <c r="F842" i="7"/>
  <c r="F843" i="7"/>
  <c r="F844" i="7"/>
  <c r="F845" i="7"/>
  <c r="F846" i="7"/>
  <c r="F848" i="7"/>
  <c r="F851" i="7"/>
  <c r="F852" i="7"/>
  <c r="F853" i="7"/>
  <c r="F854" i="7"/>
  <c r="F855" i="7"/>
  <c r="F856" i="7"/>
  <c r="F857" i="7"/>
  <c r="F858" i="7"/>
  <c r="F859" i="7"/>
  <c r="F860" i="7"/>
  <c r="F863" i="7"/>
  <c r="F864" i="7"/>
  <c r="F866" i="7"/>
  <c r="F867" i="7"/>
  <c r="F868" i="7"/>
  <c r="F869" i="7"/>
  <c r="F871" i="7"/>
  <c r="F874" i="7"/>
  <c r="F876" i="7"/>
  <c r="F880" i="7"/>
  <c r="F881" i="7"/>
  <c r="F882" i="7"/>
  <c r="F883" i="7"/>
  <c r="F886" i="7"/>
  <c r="F888" i="7"/>
  <c r="F889" i="7"/>
  <c r="F890" i="7"/>
  <c r="F891" i="7"/>
  <c r="F892" i="7"/>
  <c r="F893" i="7"/>
  <c r="F894" i="7"/>
  <c r="F896" i="7"/>
  <c r="F898" i="7"/>
  <c r="F900" i="7"/>
  <c r="F901" i="7"/>
  <c r="F902" i="7"/>
  <c r="F906" i="7"/>
  <c r="F907" i="7"/>
  <c r="F908" i="7"/>
  <c r="F909" i="7"/>
  <c r="F910" i="7"/>
  <c r="F911" i="7"/>
  <c r="F912" i="7"/>
  <c r="F913" i="7"/>
  <c r="F914" i="7"/>
  <c r="F915" i="7"/>
  <c r="F916" i="7"/>
  <c r="F917" i="7"/>
  <c r="F918" i="7"/>
  <c r="F919" i="7"/>
  <c r="F920" i="7"/>
  <c r="F921" i="7"/>
  <c r="F922" i="7"/>
  <c r="F923" i="7"/>
  <c r="F924" i="7"/>
  <c r="F925" i="7"/>
  <c r="F926" i="7"/>
  <c r="F927" i="7"/>
  <c r="F928" i="7"/>
  <c r="F929" i="7"/>
  <c r="F930" i="7"/>
  <c r="F931" i="7"/>
  <c r="F932" i="7"/>
  <c r="F933" i="7"/>
  <c r="F934" i="7"/>
  <c r="F935" i="7"/>
  <c r="F936" i="7"/>
  <c r="F937" i="7"/>
  <c r="F938" i="7"/>
  <c r="F939" i="7"/>
  <c r="F940" i="7"/>
  <c r="F941" i="7"/>
  <c r="F942" i="7"/>
  <c r="F943" i="7"/>
  <c r="F944" i="7"/>
  <c r="F945" i="7"/>
  <c r="F946" i="7"/>
  <c r="F947" i="7"/>
  <c r="F948" i="7"/>
  <c r="F949" i="7"/>
  <c r="F950" i="7"/>
  <c r="F951" i="7"/>
  <c r="F952" i="7"/>
  <c r="F953" i="7"/>
  <c r="F954" i="7"/>
  <c r="F2" i="7"/>
  <c r="E3" i="7"/>
  <c r="E4" i="7"/>
  <c r="E5" i="7"/>
  <c r="E6" i="7"/>
  <c r="E11" i="7"/>
  <c r="E12" i="7"/>
  <c r="E14" i="7"/>
  <c r="E15" i="7"/>
  <c r="E16" i="7"/>
  <c r="E17" i="7"/>
  <c r="E18" i="7"/>
  <c r="E19" i="7"/>
  <c r="E20" i="7"/>
  <c r="E21" i="7"/>
  <c r="E24" i="7"/>
  <c r="E25" i="7"/>
  <c r="E26" i="7"/>
  <c r="E27" i="7"/>
  <c r="E29" i="7"/>
  <c r="E30" i="7"/>
  <c r="E31" i="7"/>
  <c r="E33" i="7"/>
  <c r="E34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31" i="7"/>
  <c r="E132" i="7"/>
  <c r="E133" i="7"/>
  <c r="E134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2" i="7"/>
  <c r="E153" i="7"/>
  <c r="E154" i="7"/>
  <c r="E155" i="7"/>
  <c r="E156" i="7"/>
  <c r="E157" i="7"/>
  <c r="E158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9" i="7"/>
  <c r="E270" i="7"/>
  <c r="E271" i="7"/>
  <c r="E272" i="7"/>
  <c r="E273" i="7"/>
  <c r="E274" i="7"/>
  <c r="E275" i="7"/>
  <c r="E276" i="7"/>
  <c r="E277" i="7"/>
  <c r="E278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400" i="7"/>
  <c r="E401" i="7"/>
  <c r="E402" i="7"/>
  <c r="E403" i="7"/>
  <c r="E404" i="7"/>
  <c r="E406" i="7"/>
  <c r="E407" i="7"/>
  <c r="E408" i="7"/>
  <c r="E409" i="7"/>
  <c r="E410" i="7"/>
  <c r="E412" i="7"/>
  <c r="E413" i="7"/>
  <c r="E414" i="7"/>
  <c r="E415" i="7"/>
  <c r="E416" i="7"/>
  <c r="E419" i="7"/>
  <c r="E420" i="7"/>
  <c r="E421" i="7"/>
  <c r="E422" i="7"/>
  <c r="E423" i="7"/>
  <c r="E424" i="7"/>
  <c r="E425" i="7"/>
  <c r="E427" i="7"/>
  <c r="E428" i="7"/>
  <c r="E429" i="7"/>
  <c r="E431" i="7"/>
  <c r="E432" i="7"/>
  <c r="E433" i="7"/>
  <c r="E435" i="7"/>
  <c r="E436" i="7"/>
  <c r="E437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3" i="7"/>
  <c r="E464" i="7"/>
  <c r="E467" i="7"/>
  <c r="E468" i="7"/>
  <c r="E469" i="7"/>
  <c r="E471" i="7"/>
  <c r="E472" i="7"/>
  <c r="E475" i="7"/>
  <c r="E476" i="7"/>
  <c r="E479" i="7"/>
  <c r="E480" i="7"/>
  <c r="E483" i="7"/>
  <c r="E484" i="7"/>
  <c r="E487" i="7"/>
  <c r="E489" i="7"/>
  <c r="E490" i="7"/>
  <c r="E492" i="7"/>
  <c r="E494" i="7"/>
  <c r="E495" i="7"/>
  <c r="E500" i="7"/>
  <c r="E501" i="7"/>
  <c r="E505" i="7"/>
  <c r="E506" i="7"/>
  <c r="E507" i="7"/>
  <c r="E508" i="7"/>
  <c r="E509" i="7"/>
  <c r="E510" i="7"/>
  <c r="E511" i="7"/>
  <c r="E513" i="7"/>
  <c r="E514" i="7"/>
  <c r="E521" i="7"/>
  <c r="E524" i="7"/>
  <c r="E526" i="7"/>
  <c r="E527" i="7"/>
  <c r="E528" i="7"/>
  <c r="E529" i="7"/>
  <c r="E531" i="7"/>
  <c r="E532" i="7"/>
  <c r="E537" i="7"/>
  <c r="E538" i="7"/>
  <c r="E541" i="7"/>
  <c r="E542" i="7"/>
  <c r="E543" i="7"/>
  <c r="E544" i="7"/>
  <c r="E545" i="7"/>
  <c r="E546" i="7"/>
  <c r="E547" i="7"/>
  <c r="E549" i="7"/>
  <c r="E550" i="7"/>
  <c r="E551" i="7"/>
  <c r="E552" i="7"/>
  <c r="E554" i="7"/>
  <c r="E556" i="7"/>
  <c r="E558" i="7"/>
  <c r="E559" i="7"/>
  <c r="E562" i="7"/>
  <c r="E563" i="7"/>
  <c r="E565" i="7"/>
  <c r="E568" i="7"/>
  <c r="E570" i="7"/>
  <c r="E571" i="7"/>
  <c r="E572" i="7"/>
  <c r="E573" i="7"/>
  <c r="E574" i="7"/>
  <c r="E575" i="7"/>
  <c r="E576" i="7"/>
  <c r="E578" i="7"/>
  <c r="E579" i="7"/>
  <c r="E583" i="7"/>
  <c r="E585" i="7"/>
  <c r="E586" i="7"/>
  <c r="E591" i="7"/>
  <c r="E592" i="7"/>
  <c r="E593" i="7"/>
  <c r="E594" i="7"/>
  <c r="E595" i="7"/>
  <c r="E598" i="7"/>
  <c r="E599" i="7"/>
  <c r="E600" i="7"/>
  <c r="E601" i="7"/>
  <c r="E602" i="7"/>
  <c r="E603" i="7"/>
  <c r="E604" i="7"/>
  <c r="E608" i="7"/>
  <c r="E613" i="7"/>
  <c r="E616" i="7"/>
  <c r="E618" i="7"/>
  <c r="E619" i="7"/>
  <c r="E620" i="7"/>
  <c r="E623" i="7"/>
  <c r="E624" i="7"/>
  <c r="E626" i="7"/>
  <c r="E627" i="7"/>
  <c r="E628" i="7"/>
  <c r="E633" i="7"/>
  <c r="E634" i="7"/>
  <c r="E637" i="7"/>
  <c r="E638" i="7"/>
  <c r="E639" i="7"/>
  <c r="E642" i="7"/>
  <c r="E646" i="7"/>
  <c r="E648" i="7"/>
  <c r="E650" i="7"/>
  <c r="E651" i="7"/>
  <c r="E656" i="7"/>
  <c r="E657" i="7"/>
  <c r="E658" i="7"/>
  <c r="E659" i="7"/>
  <c r="E660" i="7"/>
  <c r="E663" i="7"/>
  <c r="E664" i="7"/>
  <c r="E665" i="7"/>
  <c r="E666" i="7"/>
  <c r="E667" i="7"/>
  <c r="E669" i="7"/>
  <c r="E670" i="7"/>
  <c r="E671" i="7"/>
  <c r="E672" i="7"/>
  <c r="E673" i="7"/>
  <c r="E675" i="7"/>
  <c r="E677" i="7"/>
  <c r="E678" i="7"/>
  <c r="E680" i="7"/>
  <c r="E681" i="7"/>
  <c r="E682" i="7"/>
  <c r="E683" i="7"/>
  <c r="E684" i="7"/>
  <c r="E691" i="7"/>
  <c r="E692" i="7"/>
  <c r="E696" i="7"/>
  <c r="E697" i="7"/>
  <c r="E698" i="7"/>
  <c r="E699" i="7"/>
  <c r="E700" i="7"/>
  <c r="E701" i="7"/>
  <c r="E702" i="7"/>
  <c r="E703" i="7"/>
  <c r="E704" i="7"/>
  <c r="E706" i="7"/>
  <c r="E707" i="7"/>
  <c r="E709" i="7"/>
  <c r="E710" i="7"/>
  <c r="E711" i="7"/>
  <c r="E712" i="7"/>
  <c r="E713" i="7"/>
  <c r="E715" i="7"/>
  <c r="E717" i="7"/>
  <c r="E718" i="7"/>
  <c r="E719" i="7"/>
  <c r="E720" i="7"/>
  <c r="E721" i="7"/>
  <c r="E722" i="7"/>
  <c r="E724" i="7"/>
  <c r="E725" i="7"/>
  <c r="E727" i="7"/>
  <c r="E728" i="7"/>
  <c r="E729" i="7"/>
  <c r="E730" i="7"/>
  <c r="E731" i="7"/>
  <c r="E733" i="7"/>
  <c r="E734" i="7"/>
  <c r="E735" i="7"/>
  <c r="E739" i="7"/>
  <c r="E742" i="7"/>
  <c r="E743" i="7"/>
  <c r="E744" i="7"/>
  <c r="E746" i="7"/>
  <c r="E747" i="7"/>
  <c r="E748" i="7"/>
  <c r="E750" i="7"/>
  <c r="E752" i="7"/>
  <c r="E753" i="7"/>
  <c r="E754" i="7"/>
  <c r="E755" i="7"/>
  <c r="E757" i="7"/>
  <c r="E758" i="7"/>
  <c r="E759" i="7"/>
  <c r="E760" i="7"/>
  <c r="E762" i="7"/>
  <c r="E763" i="7"/>
  <c r="E769" i="7"/>
  <c r="E770" i="7"/>
  <c r="E771" i="7"/>
  <c r="E772" i="7"/>
  <c r="E773" i="7"/>
  <c r="E775" i="7"/>
  <c r="E776" i="7"/>
  <c r="E777" i="7"/>
  <c r="E779" i="7"/>
  <c r="E780" i="7"/>
  <c r="E782" i="7"/>
  <c r="E783" i="7"/>
  <c r="E784" i="7"/>
  <c r="E785" i="7"/>
  <c r="E786" i="7"/>
  <c r="E787" i="7"/>
  <c r="E788" i="7"/>
  <c r="E789" i="7"/>
  <c r="E792" i="7"/>
  <c r="E793" i="7"/>
  <c r="E794" i="7"/>
  <c r="E795" i="7"/>
  <c r="E797" i="7"/>
  <c r="E798" i="7"/>
  <c r="E804" i="7"/>
  <c r="E805" i="7"/>
  <c r="E806" i="7"/>
  <c r="E808" i="7"/>
  <c r="E809" i="7"/>
  <c r="E810" i="7"/>
  <c r="E811" i="7"/>
  <c r="E814" i="7"/>
  <c r="E815" i="7"/>
  <c r="E817" i="7"/>
  <c r="E818" i="7"/>
  <c r="E819" i="7"/>
  <c r="E821" i="7"/>
  <c r="E822" i="7"/>
  <c r="E823" i="7"/>
  <c r="E824" i="7"/>
  <c r="E825" i="7"/>
  <c r="E828" i="7"/>
  <c r="E829" i="7"/>
  <c r="E830" i="7"/>
  <c r="E831" i="7"/>
  <c r="E832" i="7"/>
  <c r="E833" i="7"/>
  <c r="E834" i="7"/>
  <c r="E835" i="7"/>
  <c r="E836" i="7"/>
  <c r="E840" i="7"/>
  <c r="E842" i="7"/>
  <c r="E843" i="7"/>
  <c r="E844" i="7"/>
  <c r="E845" i="7"/>
  <c r="E846" i="7"/>
  <c r="E848" i="7"/>
  <c r="E851" i="7"/>
  <c r="E852" i="7"/>
  <c r="E853" i="7"/>
  <c r="E854" i="7"/>
  <c r="E855" i="7"/>
  <c r="E856" i="7"/>
  <c r="E857" i="7"/>
  <c r="E858" i="7"/>
  <c r="E859" i="7"/>
  <c r="E860" i="7"/>
  <c r="E863" i="7"/>
  <c r="E864" i="7"/>
  <c r="E866" i="7"/>
  <c r="E867" i="7"/>
  <c r="E868" i="7"/>
  <c r="E869" i="7"/>
  <c r="E871" i="7"/>
  <c r="E874" i="7"/>
  <c r="E876" i="7"/>
  <c r="E880" i="7"/>
  <c r="E881" i="7"/>
  <c r="E882" i="7"/>
  <c r="E883" i="7"/>
  <c r="E886" i="7"/>
  <c r="E888" i="7"/>
  <c r="E889" i="7"/>
  <c r="E890" i="7"/>
  <c r="E891" i="7"/>
  <c r="E892" i="7"/>
  <c r="E893" i="7"/>
  <c r="E894" i="7"/>
  <c r="E896" i="7"/>
  <c r="E898" i="7"/>
  <c r="E900" i="7"/>
  <c r="E901" i="7"/>
  <c r="E902" i="7"/>
  <c r="E906" i="7"/>
  <c r="E907" i="7"/>
  <c r="E908" i="7"/>
  <c r="E909" i="7"/>
  <c r="E910" i="7"/>
  <c r="E911" i="7"/>
  <c r="E912" i="7"/>
  <c r="E913" i="7"/>
  <c r="E914" i="7"/>
  <c r="E915" i="7"/>
  <c r="E916" i="7"/>
  <c r="E917" i="7"/>
  <c r="E918" i="7"/>
  <c r="E919" i="7"/>
  <c r="E920" i="7"/>
  <c r="E921" i="7"/>
  <c r="E922" i="7"/>
  <c r="E923" i="7"/>
  <c r="E924" i="7"/>
  <c r="E925" i="7"/>
  <c r="E926" i="7"/>
  <c r="E927" i="7"/>
  <c r="E928" i="7"/>
  <c r="E929" i="7"/>
  <c r="E930" i="7"/>
  <c r="E931" i="7"/>
  <c r="E932" i="7"/>
  <c r="E933" i="7"/>
  <c r="E934" i="7"/>
  <c r="E935" i="7"/>
  <c r="E936" i="7"/>
  <c r="E937" i="7"/>
  <c r="E938" i="7"/>
  <c r="E939" i="7"/>
  <c r="E940" i="7"/>
  <c r="E941" i="7"/>
  <c r="E942" i="7"/>
  <c r="E943" i="7"/>
  <c r="E944" i="7"/>
  <c r="E945" i="7"/>
  <c r="E946" i="7"/>
  <c r="E947" i="7"/>
  <c r="E948" i="7"/>
  <c r="E949" i="7"/>
  <c r="E950" i="7"/>
  <c r="E951" i="7"/>
  <c r="E952" i="7"/>
  <c r="E953" i="7"/>
  <c r="E954" i="7"/>
  <c r="E2" i="7"/>
  <c r="H954" i="7" l="1"/>
  <c r="H464" i="7" l="1"/>
  <c r="H463" i="7"/>
  <c r="H3" i="7" l="1"/>
  <c r="H4" i="7"/>
  <c r="H5" i="7"/>
  <c r="H6" i="7"/>
  <c r="H11" i="7"/>
  <c r="H12" i="7"/>
  <c r="H14" i="7"/>
  <c r="H15" i="7"/>
  <c r="H16" i="7"/>
  <c r="H17" i="7"/>
  <c r="H18" i="7"/>
  <c r="H19" i="7"/>
  <c r="H20" i="7"/>
  <c r="H21" i="7"/>
  <c r="H24" i="7"/>
  <c r="H25" i="7"/>
  <c r="H26" i="7"/>
  <c r="H27" i="7"/>
  <c r="H29" i="7"/>
  <c r="H30" i="7"/>
  <c r="H31" i="7"/>
  <c r="H33" i="7"/>
  <c r="H34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31" i="7"/>
  <c r="H132" i="7"/>
  <c r="H133" i="7"/>
  <c r="H134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2" i="7"/>
  <c r="H153" i="7"/>
  <c r="H154" i="7"/>
  <c r="H155" i="7"/>
  <c r="H156" i="7"/>
  <c r="H157" i="7"/>
  <c r="H158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9" i="7"/>
  <c r="H270" i="7"/>
  <c r="H271" i="7"/>
  <c r="H272" i="7"/>
  <c r="H273" i="7"/>
  <c r="H274" i="7"/>
  <c r="H275" i="7"/>
  <c r="H276" i="7"/>
  <c r="H277" i="7"/>
  <c r="H278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400" i="7"/>
  <c r="H401" i="7"/>
  <c r="H402" i="7"/>
  <c r="H403" i="7"/>
  <c r="H404" i="7"/>
  <c r="H406" i="7"/>
  <c r="H407" i="7"/>
  <c r="H408" i="7"/>
  <c r="H409" i="7"/>
  <c r="H410" i="7"/>
  <c r="H412" i="7"/>
  <c r="H413" i="7"/>
  <c r="H414" i="7"/>
  <c r="H415" i="7"/>
  <c r="H416" i="7"/>
  <c r="H419" i="7"/>
  <c r="H420" i="7"/>
  <c r="H421" i="7"/>
  <c r="H422" i="7"/>
  <c r="H423" i="7"/>
  <c r="H424" i="7"/>
  <c r="H425" i="7"/>
  <c r="H427" i="7"/>
  <c r="H428" i="7"/>
  <c r="H429" i="7"/>
  <c r="H431" i="7"/>
  <c r="H432" i="7"/>
  <c r="H433" i="7"/>
  <c r="H435" i="7"/>
  <c r="H436" i="7"/>
  <c r="H437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7" i="7"/>
  <c r="H468" i="7"/>
  <c r="H469" i="7"/>
  <c r="H471" i="7"/>
  <c r="H472" i="7"/>
  <c r="H475" i="7"/>
  <c r="H476" i="7"/>
  <c r="H479" i="7"/>
  <c r="H480" i="7"/>
  <c r="H483" i="7"/>
  <c r="H484" i="7"/>
  <c r="H487" i="7"/>
  <c r="H489" i="7"/>
  <c r="H490" i="7"/>
  <c r="H492" i="7"/>
  <c r="H494" i="7"/>
  <c r="H495" i="7"/>
  <c r="H500" i="7"/>
  <c r="H501" i="7"/>
  <c r="H505" i="7"/>
  <c r="H506" i="7"/>
  <c r="H507" i="7"/>
  <c r="H508" i="7"/>
  <c r="H509" i="7"/>
  <c r="H510" i="7"/>
  <c r="H511" i="7"/>
  <c r="H513" i="7"/>
  <c r="H514" i="7"/>
  <c r="H521" i="7"/>
  <c r="H524" i="7"/>
  <c r="H526" i="7"/>
  <c r="H527" i="7"/>
  <c r="H528" i="7"/>
  <c r="H529" i="7"/>
  <c r="H531" i="7"/>
  <c r="H532" i="7"/>
  <c r="H537" i="7"/>
  <c r="H538" i="7"/>
  <c r="H541" i="7"/>
  <c r="H542" i="7"/>
  <c r="H543" i="7"/>
  <c r="H544" i="7"/>
  <c r="H545" i="7"/>
  <c r="H546" i="7"/>
  <c r="H547" i="7"/>
  <c r="H549" i="7"/>
  <c r="H550" i="7"/>
  <c r="H551" i="7"/>
  <c r="H552" i="7"/>
  <c r="H554" i="7"/>
  <c r="H556" i="7"/>
  <c r="H558" i="7"/>
  <c r="H559" i="7"/>
  <c r="H562" i="7"/>
  <c r="H563" i="7"/>
  <c r="H565" i="7"/>
  <c r="H568" i="7"/>
  <c r="H570" i="7"/>
  <c r="H571" i="7"/>
  <c r="H572" i="7"/>
  <c r="H573" i="7"/>
  <c r="H574" i="7"/>
  <c r="H575" i="7"/>
  <c r="H576" i="7"/>
  <c r="H578" i="7"/>
  <c r="H579" i="7"/>
  <c r="H583" i="7"/>
  <c r="H585" i="7"/>
  <c r="H586" i="7"/>
  <c r="H591" i="7"/>
  <c r="H592" i="7"/>
  <c r="H593" i="7"/>
  <c r="H594" i="7"/>
  <c r="H595" i="7"/>
  <c r="H598" i="7"/>
  <c r="H599" i="7"/>
  <c r="H600" i="7"/>
  <c r="H601" i="7"/>
  <c r="H602" i="7"/>
  <c r="H603" i="7"/>
  <c r="H604" i="7"/>
  <c r="H608" i="7"/>
  <c r="H613" i="7"/>
  <c r="H616" i="7"/>
  <c r="H618" i="7"/>
  <c r="H619" i="7"/>
  <c r="H620" i="7"/>
  <c r="H623" i="7"/>
  <c r="H624" i="7"/>
  <c r="H626" i="7"/>
  <c r="H627" i="7"/>
  <c r="H628" i="7"/>
  <c r="H633" i="7"/>
  <c r="H634" i="7"/>
  <c r="H637" i="7"/>
  <c r="H638" i="7"/>
  <c r="H639" i="7"/>
  <c r="H642" i="7"/>
  <c r="H646" i="7"/>
  <c r="H648" i="7"/>
  <c r="H650" i="7"/>
  <c r="H651" i="7"/>
  <c r="H656" i="7"/>
  <c r="H657" i="7"/>
  <c r="H658" i="7"/>
  <c r="H659" i="7"/>
  <c r="H660" i="7"/>
  <c r="H663" i="7"/>
  <c r="H664" i="7"/>
  <c r="H665" i="7"/>
  <c r="H666" i="7"/>
  <c r="H667" i="7"/>
  <c r="H669" i="7"/>
  <c r="H670" i="7"/>
  <c r="H671" i="7"/>
  <c r="H672" i="7"/>
  <c r="H673" i="7"/>
  <c r="H675" i="7"/>
  <c r="H677" i="7"/>
  <c r="H678" i="7"/>
  <c r="H680" i="7"/>
  <c r="H681" i="7"/>
  <c r="H682" i="7"/>
  <c r="H683" i="7"/>
  <c r="H684" i="7"/>
  <c r="H691" i="7"/>
  <c r="H692" i="7"/>
  <c r="H696" i="7"/>
  <c r="H697" i="7"/>
  <c r="H698" i="7"/>
  <c r="H699" i="7"/>
  <c r="H700" i="7"/>
  <c r="H701" i="7"/>
  <c r="H702" i="7"/>
  <c r="H703" i="7"/>
  <c r="H704" i="7"/>
  <c r="H706" i="7"/>
  <c r="H707" i="7"/>
  <c r="H709" i="7"/>
  <c r="H710" i="7"/>
  <c r="H711" i="7"/>
  <c r="H712" i="7"/>
  <c r="H713" i="7"/>
  <c r="H715" i="7"/>
  <c r="H717" i="7"/>
  <c r="H718" i="7"/>
  <c r="H719" i="7"/>
  <c r="H720" i="7"/>
  <c r="H721" i="7"/>
  <c r="H722" i="7"/>
  <c r="H724" i="7"/>
  <c r="H725" i="7"/>
  <c r="H727" i="7"/>
  <c r="H728" i="7"/>
  <c r="H729" i="7"/>
  <c r="H730" i="7"/>
  <c r="H731" i="7"/>
  <c r="H733" i="7"/>
  <c r="H734" i="7"/>
  <c r="H735" i="7"/>
  <c r="H739" i="7"/>
  <c r="H742" i="7"/>
  <c r="H743" i="7"/>
  <c r="H744" i="7"/>
  <c r="H746" i="7"/>
  <c r="H747" i="7"/>
  <c r="H748" i="7"/>
  <c r="H750" i="7"/>
  <c r="H752" i="7"/>
  <c r="H753" i="7"/>
  <c r="H754" i="7"/>
  <c r="H755" i="7"/>
  <c r="H757" i="7"/>
  <c r="H758" i="7"/>
  <c r="H759" i="7"/>
  <c r="H760" i="7"/>
  <c r="H762" i="7"/>
  <c r="H763" i="7"/>
  <c r="H769" i="7"/>
  <c r="H770" i="7"/>
  <c r="H771" i="7"/>
  <c r="H772" i="7"/>
  <c r="H773" i="7"/>
  <c r="H775" i="7"/>
  <c r="H776" i="7"/>
  <c r="H777" i="7"/>
  <c r="H779" i="7"/>
  <c r="H780" i="7"/>
  <c r="H782" i="7"/>
  <c r="H783" i="7"/>
  <c r="H784" i="7"/>
  <c r="H785" i="7"/>
  <c r="H786" i="7"/>
  <c r="H787" i="7"/>
  <c r="H788" i="7"/>
  <c r="H789" i="7"/>
  <c r="H792" i="7"/>
  <c r="H793" i="7"/>
  <c r="H794" i="7"/>
  <c r="H795" i="7"/>
  <c r="H797" i="7"/>
  <c r="H798" i="7"/>
  <c r="H804" i="7"/>
  <c r="H805" i="7"/>
  <c r="H806" i="7"/>
  <c r="H808" i="7"/>
  <c r="H809" i="7"/>
  <c r="H810" i="7"/>
  <c r="H811" i="7"/>
  <c r="H814" i="7"/>
  <c r="H815" i="7"/>
  <c r="H817" i="7"/>
  <c r="H818" i="7"/>
  <c r="H819" i="7"/>
  <c r="H821" i="7"/>
  <c r="H822" i="7"/>
  <c r="H823" i="7"/>
  <c r="H824" i="7"/>
  <c r="H825" i="7"/>
  <c r="H828" i="7"/>
  <c r="H829" i="7"/>
  <c r="H830" i="7"/>
  <c r="H831" i="7"/>
  <c r="H832" i="7"/>
  <c r="H833" i="7"/>
  <c r="H834" i="7"/>
  <c r="H835" i="7"/>
  <c r="H836" i="7"/>
  <c r="H840" i="7"/>
  <c r="H842" i="7"/>
  <c r="H843" i="7"/>
  <c r="H844" i="7"/>
  <c r="H845" i="7"/>
  <c r="H846" i="7"/>
  <c r="H848" i="7"/>
  <c r="H851" i="7"/>
  <c r="H852" i="7"/>
  <c r="H853" i="7"/>
  <c r="H854" i="7"/>
  <c r="H855" i="7"/>
  <c r="H856" i="7"/>
  <c r="H857" i="7"/>
  <c r="H858" i="7"/>
  <c r="H859" i="7"/>
  <c r="H860" i="7"/>
  <c r="H863" i="7"/>
  <c r="H864" i="7"/>
  <c r="H866" i="7"/>
  <c r="H867" i="7"/>
  <c r="H868" i="7"/>
  <c r="H869" i="7"/>
  <c r="H871" i="7"/>
  <c r="H874" i="7"/>
  <c r="H876" i="7"/>
  <c r="H880" i="7"/>
  <c r="H881" i="7"/>
  <c r="H882" i="7"/>
  <c r="H883" i="7"/>
  <c r="H886" i="7"/>
  <c r="H888" i="7"/>
  <c r="H889" i="7"/>
  <c r="H890" i="7"/>
  <c r="H891" i="7"/>
  <c r="H892" i="7"/>
  <c r="H893" i="7"/>
  <c r="H894" i="7"/>
  <c r="H896" i="7"/>
  <c r="H898" i="7"/>
  <c r="H900" i="7"/>
  <c r="H901" i="7"/>
  <c r="H902" i="7"/>
  <c r="H906" i="7"/>
  <c r="H907" i="7"/>
  <c r="H908" i="7"/>
  <c r="H909" i="7"/>
  <c r="H910" i="7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H928" i="7"/>
  <c r="H929" i="7"/>
  <c r="H930" i="7"/>
  <c r="H931" i="7"/>
  <c r="H932" i="7"/>
  <c r="H933" i="7"/>
  <c r="H934" i="7"/>
  <c r="H935" i="7"/>
  <c r="H936" i="7"/>
  <c r="H937" i="7"/>
  <c r="H938" i="7"/>
  <c r="H939" i="7"/>
  <c r="H940" i="7"/>
  <c r="H941" i="7"/>
  <c r="H942" i="7"/>
  <c r="H943" i="7"/>
  <c r="H944" i="7"/>
  <c r="H945" i="7"/>
  <c r="H946" i="7"/>
  <c r="H947" i="7"/>
  <c r="H948" i="7"/>
  <c r="H949" i="7"/>
  <c r="H950" i="7"/>
  <c r="H951" i="7"/>
  <c r="H952" i="7"/>
  <c r="H953" i="7"/>
  <c r="H2" i="7"/>
  <c r="D136" i="7" l="1"/>
  <c r="D135" i="7"/>
  <c r="D130" i="7"/>
  <c r="D129" i="7"/>
  <c r="D905" i="7"/>
  <c r="D904" i="7"/>
  <c r="D903" i="7"/>
  <c r="D899" i="7"/>
  <c r="D897" i="7"/>
  <c r="D895" i="7"/>
  <c r="D885" i="7"/>
  <c r="D884" i="7"/>
  <c r="D879" i="7"/>
  <c r="D878" i="7"/>
  <c r="D877" i="7"/>
  <c r="D875" i="7"/>
  <c r="D873" i="7"/>
  <c r="D872" i="7"/>
  <c r="D870" i="7"/>
  <c r="D862" i="7"/>
  <c r="D861" i="7"/>
  <c r="D850" i="7"/>
  <c r="E850" i="7" s="1"/>
  <c r="D847" i="7"/>
  <c r="D841" i="7"/>
  <c r="D839" i="7"/>
  <c r="D838" i="7"/>
  <c r="D837" i="7"/>
  <c r="D826" i="7"/>
  <c r="D813" i="7"/>
  <c r="D812" i="7"/>
  <c r="D803" i="7"/>
  <c r="D802" i="7"/>
  <c r="D800" i="7"/>
  <c r="D799" i="7"/>
  <c r="D791" i="7"/>
  <c r="D790" i="7"/>
  <c r="D781" i="7"/>
  <c r="D767" i="7"/>
  <c r="D766" i="7"/>
  <c r="D765" i="7"/>
  <c r="D751" i="7"/>
  <c r="D749" i="7"/>
  <c r="D741" i="7"/>
  <c r="D740" i="7"/>
  <c r="D738" i="7"/>
  <c r="D737" i="7"/>
  <c r="D736" i="7"/>
  <c r="D716" i="7"/>
  <c r="D714" i="7"/>
  <c r="D695" i="7"/>
  <c r="D694" i="7"/>
  <c r="D693" i="7"/>
  <c r="D690" i="7"/>
  <c r="D689" i="7"/>
  <c r="D688" i="7"/>
  <c r="D687" i="7"/>
  <c r="D686" i="7"/>
  <c r="D685" i="7"/>
  <c r="D676" i="7"/>
  <c r="D674" i="7"/>
  <c r="D668" i="7"/>
  <c r="D662" i="7"/>
  <c r="D661" i="7"/>
  <c r="D655" i="7"/>
  <c r="D654" i="7"/>
  <c r="D653" i="7"/>
  <c r="D652" i="7"/>
  <c r="D649" i="7"/>
  <c r="D647" i="7"/>
  <c r="D645" i="7"/>
  <c r="D644" i="7"/>
  <c r="D643" i="7"/>
  <c r="D641" i="7"/>
  <c r="D640" i="7"/>
  <c r="D636" i="7"/>
  <c r="D632" i="7"/>
  <c r="D631" i="7"/>
  <c r="D630" i="7"/>
  <c r="D629" i="7"/>
  <c r="D622" i="7"/>
  <c r="D621" i="7"/>
  <c r="D617" i="7"/>
  <c r="D615" i="7"/>
  <c r="D614" i="7"/>
  <c r="D612" i="7"/>
  <c r="D611" i="7"/>
  <c r="D610" i="7"/>
  <c r="D609" i="7"/>
  <c r="D607" i="7"/>
  <c r="D606" i="7"/>
  <c r="D605" i="7"/>
  <c r="D597" i="7"/>
  <c r="D596" i="7"/>
  <c r="D590" i="7"/>
  <c r="D589" i="7"/>
  <c r="D588" i="7"/>
  <c r="D587" i="7"/>
  <c r="D584" i="7"/>
  <c r="D582" i="7"/>
  <c r="D581" i="7"/>
  <c r="D580" i="7"/>
  <c r="D569" i="7"/>
  <c r="D567" i="7"/>
  <c r="D566" i="7"/>
  <c r="D564" i="7"/>
  <c r="D561" i="7"/>
  <c r="D560" i="7"/>
  <c r="D557" i="7"/>
  <c r="D555" i="7"/>
  <c r="D553" i="7"/>
  <c r="D540" i="7"/>
  <c r="D539" i="7"/>
  <c r="D536" i="7"/>
  <c r="D535" i="7"/>
  <c r="D534" i="7"/>
  <c r="D533" i="7"/>
  <c r="D525" i="7"/>
  <c r="D523" i="7"/>
  <c r="D522" i="7"/>
  <c r="D520" i="7"/>
  <c r="D519" i="7"/>
  <c r="D518" i="7"/>
  <c r="D517" i="7"/>
  <c r="D516" i="7"/>
  <c r="D515" i="7"/>
  <c r="D504" i="7"/>
  <c r="D503" i="7"/>
  <c r="D502" i="7"/>
  <c r="D499" i="7"/>
  <c r="D498" i="7"/>
  <c r="D497" i="7"/>
  <c r="D496" i="7"/>
  <c r="D493" i="7"/>
  <c r="D491" i="7"/>
  <c r="D488" i="7"/>
  <c r="D486" i="7"/>
  <c r="D485" i="7"/>
  <c r="D482" i="7"/>
  <c r="D481" i="7"/>
  <c r="D478" i="7"/>
  <c r="D477" i="7"/>
  <c r="D474" i="7"/>
  <c r="D473" i="7"/>
  <c r="D470" i="7"/>
  <c r="D438" i="7"/>
  <c r="D434" i="7"/>
  <c r="D426" i="7"/>
  <c r="D418" i="7"/>
  <c r="D417" i="7"/>
  <c r="D405" i="7"/>
  <c r="D399" i="7"/>
  <c r="D324" i="7"/>
  <c r="D310" i="7"/>
  <c r="D279" i="7"/>
  <c r="D268" i="7"/>
  <c r="D159" i="7"/>
  <c r="D151" i="7"/>
  <c r="D115" i="7"/>
  <c r="D51" i="7"/>
  <c r="D37" i="7"/>
  <c r="D36" i="7"/>
  <c r="D35" i="7"/>
  <c r="D23" i="7"/>
  <c r="D22" i="7"/>
  <c r="D10" i="7"/>
  <c r="D9" i="7"/>
  <c r="D8" i="7"/>
  <c r="D7" i="7"/>
  <c r="H151" i="7" l="1"/>
  <c r="F151" i="7"/>
  <c r="E151" i="7"/>
  <c r="H504" i="7"/>
  <c r="E504" i="7"/>
  <c r="F504" i="7"/>
  <c r="E35" i="7"/>
  <c r="F35" i="7"/>
  <c r="H279" i="7"/>
  <c r="F279" i="7"/>
  <c r="E279" i="7"/>
  <c r="H426" i="7"/>
  <c r="F426" i="7"/>
  <c r="E426" i="7"/>
  <c r="H481" i="7"/>
  <c r="E481" i="7"/>
  <c r="F481" i="7"/>
  <c r="H497" i="7"/>
  <c r="E497" i="7"/>
  <c r="F497" i="7"/>
  <c r="H517" i="7"/>
  <c r="F517" i="7"/>
  <c r="E517" i="7"/>
  <c r="H534" i="7"/>
  <c r="F534" i="7"/>
  <c r="E534" i="7"/>
  <c r="H560" i="7"/>
  <c r="E560" i="7"/>
  <c r="F560" i="7"/>
  <c r="H582" i="7"/>
  <c r="F582" i="7"/>
  <c r="E582" i="7"/>
  <c r="H605" i="7"/>
  <c r="F605" i="7"/>
  <c r="E605" i="7"/>
  <c r="H615" i="7"/>
  <c r="E615" i="7"/>
  <c r="F615" i="7"/>
  <c r="H636" i="7"/>
  <c r="F636" i="7"/>
  <c r="E636" i="7"/>
  <c r="H652" i="7"/>
  <c r="F652" i="7"/>
  <c r="E652" i="7"/>
  <c r="H676" i="7"/>
  <c r="F676" i="7"/>
  <c r="E676" i="7"/>
  <c r="H694" i="7"/>
  <c r="F694" i="7"/>
  <c r="E694" i="7"/>
  <c r="H741" i="7"/>
  <c r="F741" i="7"/>
  <c r="E741" i="7"/>
  <c r="F781" i="7"/>
  <c r="E781" i="7"/>
  <c r="F812" i="7"/>
  <c r="E812" i="7"/>
  <c r="H847" i="7"/>
  <c r="F847" i="7"/>
  <c r="E847" i="7"/>
  <c r="H875" i="7"/>
  <c r="E875" i="7"/>
  <c r="F875" i="7"/>
  <c r="H899" i="7"/>
  <c r="E899" i="7"/>
  <c r="F899" i="7"/>
  <c r="H561" i="7"/>
  <c r="E561" i="7"/>
  <c r="F561" i="7"/>
  <c r="H695" i="7"/>
  <c r="F695" i="7"/>
  <c r="E695" i="7"/>
  <c r="H813" i="7"/>
  <c r="F813" i="7"/>
  <c r="E813" i="7"/>
  <c r="H903" i="7"/>
  <c r="F903" i="7"/>
  <c r="E903" i="7"/>
  <c r="H310" i="7"/>
  <c r="E310" i="7"/>
  <c r="F310" i="7"/>
  <c r="H498" i="7"/>
  <c r="E498" i="7"/>
  <c r="F498" i="7"/>
  <c r="H606" i="7"/>
  <c r="F606" i="7"/>
  <c r="E606" i="7"/>
  <c r="F685" i="7"/>
  <c r="E685" i="7"/>
  <c r="H877" i="7"/>
  <c r="F877" i="7"/>
  <c r="E877" i="7"/>
  <c r="H7" i="7"/>
  <c r="F7" i="7"/>
  <c r="E7" i="7"/>
  <c r="H324" i="7"/>
  <c r="E324" i="7"/>
  <c r="F324" i="7"/>
  <c r="H485" i="7"/>
  <c r="F485" i="7"/>
  <c r="E485" i="7"/>
  <c r="H519" i="7"/>
  <c r="E519" i="7"/>
  <c r="F519" i="7"/>
  <c r="H536" i="7"/>
  <c r="E536" i="7"/>
  <c r="F536" i="7"/>
  <c r="H564" i="7"/>
  <c r="F564" i="7"/>
  <c r="E564" i="7"/>
  <c r="H587" i="7"/>
  <c r="F587" i="7"/>
  <c r="E587" i="7"/>
  <c r="H607" i="7"/>
  <c r="E607" i="7"/>
  <c r="F607" i="7"/>
  <c r="H621" i="7"/>
  <c r="F621" i="7"/>
  <c r="E621" i="7"/>
  <c r="H641" i="7"/>
  <c r="E641" i="7"/>
  <c r="F641" i="7"/>
  <c r="H654" i="7"/>
  <c r="F654" i="7"/>
  <c r="E654" i="7"/>
  <c r="H686" i="7"/>
  <c r="F686" i="7"/>
  <c r="E686" i="7"/>
  <c r="E714" i="7"/>
  <c r="F714" i="7"/>
  <c r="H751" i="7"/>
  <c r="F751" i="7"/>
  <c r="E751" i="7"/>
  <c r="H791" i="7"/>
  <c r="F791" i="7"/>
  <c r="E791" i="7"/>
  <c r="E826" i="7"/>
  <c r="F826" i="7"/>
  <c r="H850" i="7"/>
  <c r="F850" i="7"/>
  <c r="H878" i="7"/>
  <c r="F878" i="7"/>
  <c r="E878" i="7"/>
  <c r="H904" i="7"/>
  <c r="E904" i="7"/>
  <c r="F904" i="7"/>
  <c r="H434" i="7"/>
  <c r="F434" i="7"/>
  <c r="E434" i="7"/>
  <c r="H518" i="7"/>
  <c r="F518" i="7"/>
  <c r="E518" i="7"/>
  <c r="H584" i="7"/>
  <c r="E584" i="7"/>
  <c r="F584" i="7"/>
  <c r="H640" i="7"/>
  <c r="E640" i="7"/>
  <c r="F640" i="7"/>
  <c r="F749" i="7"/>
  <c r="E749" i="7"/>
  <c r="H849" i="7"/>
  <c r="E849" i="7"/>
  <c r="F849" i="7"/>
  <c r="H37" i="7"/>
  <c r="E37" i="7"/>
  <c r="F37" i="7"/>
  <c r="H438" i="7"/>
  <c r="E438" i="7"/>
  <c r="F438" i="7"/>
  <c r="H499" i="7"/>
  <c r="F499" i="7"/>
  <c r="E499" i="7"/>
  <c r="H8" i="7"/>
  <c r="F8" i="7"/>
  <c r="E8" i="7"/>
  <c r="H51" i="7"/>
  <c r="E51" i="7"/>
  <c r="F51" i="7"/>
  <c r="H399" i="7"/>
  <c r="F399" i="7"/>
  <c r="E399" i="7"/>
  <c r="H470" i="7"/>
  <c r="F470" i="7"/>
  <c r="E470" i="7"/>
  <c r="H486" i="7"/>
  <c r="F486" i="7"/>
  <c r="E486" i="7"/>
  <c r="H502" i="7"/>
  <c r="F502" i="7"/>
  <c r="E502" i="7"/>
  <c r="H520" i="7"/>
  <c r="E520" i="7"/>
  <c r="F520" i="7"/>
  <c r="H539" i="7"/>
  <c r="F539" i="7"/>
  <c r="E539" i="7"/>
  <c r="H566" i="7"/>
  <c r="F566" i="7"/>
  <c r="E566" i="7"/>
  <c r="H588" i="7"/>
  <c r="F588" i="7"/>
  <c r="E588" i="7"/>
  <c r="H609" i="7"/>
  <c r="E609" i="7"/>
  <c r="F609" i="7"/>
  <c r="H622" i="7"/>
  <c r="F622" i="7"/>
  <c r="E622" i="7"/>
  <c r="H643" i="7"/>
  <c r="E643" i="7"/>
  <c r="F643" i="7"/>
  <c r="H655" i="7"/>
  <c r="F655" i="7"/>
  <c r="E655" i="7"/>
  <c r="H687" i="7"/>
  <c r="F687" i="7"/>
  <c r="E687" i="7"/>
  <c r="H716" i="7"/>
  <c r="F716" i="7"/>
  <c r="E716" i="7"/>
  <c r="F764" i="7"/>
  <c r="E764" i="7"/>
  <c r="F799" i="7"/>
  <c r="E799" i="7"/>
  <c r="H827" i="7"/>
  <c r="E827" i="7"/>
  <c r="F827" i="7"/>
  <c r="H861" i="7"/>
  <c r="F861" i="7"/>
  <c r="E861" i="7"/>
  <c r="H879" i="7"/>
  <c r="F879" i="7"/>
  <c r="E879" i="7"/>
  <c r="H905" i="7"/>
  <c r="E905" i="7"/>
  <c r="F905" i="7"/>
  <c r="H36" i="7"/>
  <c r="E36" i="7"/>
  <c r="F36" i="7"/>
  <c r="H482" i="7"/>
  <c r="E482" i="7"/>
  <c r="F482" i="7"/>
  <c r="H535" i="7"/>
  <c r="E535" i="7"/>
  <c r="F535" i="7"/>
  <c r="H617" i="7"/>
  <c r="E617" i="7"/>
  <c r="F617" i="7"/>
  <c r="H653" i="7"/>
  <c r="F653" i="7"/>
  <c r="E653" i="7"/>
  <c r="H790" i="7"/>
  <c r="F790" i="7"/>
  <c r="E790" i="7"/>
  <c r="H9" i="7"/>
  <c r="F9" i="7"/>
  <c r="E9" i="7"/>
  <c r="H115" i="7"/>
  <c r="E115" i="7"/>
  <c r="F115" i="7"/>
  <c r="H405" i="7"/>
  <c r="E405" i="7"/>
  <c r="F405" i="7"/>
  <c r="H473" i="7"/>
  <c r="E473" i="7"/>
  <c r="F473" i="7"/>
  <c r="H488" i="7"/>
  <c r="E488" i="7"/>
  <c r="F488" i="7"/>
  <c r="H503" i="7"/>
  <c r="E503" i="7"/>
  <c r="F503" i="7"/>
  <c r="H522" i="7"/>
  <c r="E522" i="7"/>
  <c r="F522" i="7"/>
  <c r="H540" i="7"/>
  <c r="F540" i="7"/>
  <c r="E540" i="7"/>
  <c r="H567" i="7"/>
  <c r="E567" i="7"/>
  <c r="F567" i="7"/>
  <c r="H589" i="7"/>
  <c r="F589" i="7"/>
  <c r="E589" i="7"/>
  <c r="H610" i="7"/>
  <c r="E610" i="7"/>
  <c r="F610" i="7"/>
  <c r="F629" i="7"/>
  <c r="E629" i="7"/>
  <c r="H644" i="7"/>
  <c r="F644" i="7"/>
  <c r="E644" i="7"/>
  <c r="H661" i="7"/>
  <c r="F661" i="7"/>
  <c r="E661" i="7"/>
  <c r="H688" i="7"/>
  <c r="E688" i="7"/>
  <c r="F688" i="7"/>
  <c r="E736" i="7"/>
  <c r="F736" i="7"/>
  <c r="H765" i="7"/>
  <c r="F765" i="7"/>
  <c r="E765" i="7"/>
  <c r="H800" i="7"/>
  <c r="E800" i="7"/>
  <c r="F800" i="7"/>
  <c r="H837" i="7"/>
  <c r="F837" i="7"/>
  <c r="E837" i="7"/>
  <c r="H862" i="7"/>
  <c r="F862" i="7"/>
  <c r="E862" i="7"/>
  <c r="H884" i="7"/>
  <c r="F884" i="7"/>
  <c r="E884" i="7"/>
  <c r="H129" i="7"/>
  <c r="F129" i="7"/>
  <c r="E129" i="7"/>
  <c r="H491" i="7"/>
  <c r="F491" i="7"/>
  <c r="E491" i="7"/>
  <c r="H590" i="7"/>
  <c r="F590" i="7"/>
  <c r="E590" i="7"/>
  <c r="H662" i="7"/>
  <c r="F662" i="7"/>
  <c r="E662" i="7"/>
  <c r="H766" i="7"/>
  <c r="F766" i="7"/>
  <c r="E766" i="7"/>
  <c r="H838" i="7"/>
  <c r="F838" i="7"/>
  <c r="E838" i="7"/>
  <c r="H130" i="7"/>
  <c r="F130" i="7"/>
  <c r="E130" i="7"/>
  <c r="H10" i="7"/>
  <c r="F10" i="7"/>
  <c r="E10" i="7"/>
  <c r="H474" i="7"/>
  <c r="E474" i="7"/>
  <c r="F474" i="7"/>
  <c r="E553" i="7"/>
  <c r="F553" i="7"/>
  <c r="H611" i="7"/>
  <c r="F611" i="7"/>
  <c r="E611" i="7"/>
  <c r="H645" i="7"/>
  <c r="F645" i="7"/>
  <c r="E645" i="7"/>
  <c r="H737" i="7"/>
  <c r="E737" i="7"/>
  <c r="F737" i="7"/>
  <c r="F870" i="7"/>
  <c r="E870" i="7"/>
  <c r="H159" i="7"/>
  <c r="F159" i="7"/>
  <c r="E159" i="7"/>
  <c r="H493" i="7"/>
  <c r="F493" i="7"/>
  <c r="E493" i="7"/>
  <c r="H525" i="7"/>
  <c r="F525" i="7"/>
  <c r="E525" i="7"/>
  <c r="F580" i="7"/>
  <c r="E580" i="7"/>
  <c r="H596" i="7"/>
  <c r="F596" i="7"/>
  <c r="E596" i="7"/>
  <c r="H612" i="7"/>
  <c r="F612" i="7"/>
  <c r="E612" i="7"/>
  <c r="H631" i="7"/>
  <c r="E631" i="7"/>
  <c r="F631" i="7"/>
  <c r="H647" i="7"/>
  <c r="F647" i="7"/>
  <c r="E647" i="7"/>
  <c r="H668" i="7"/>
  <c r="F668" i="7"/>
  <c r="E668" i="7"/>
  <c r="H690" i="7"/>
  <c r="E690" i="7"/>
  <c r="F690" i="7"/>
  <c r="H738" i="7"/>
  <c r="E738" i="7"/>
  <c r="F738" i="7"/>
  <c r="H767" i="7"/>
  <c r="F767" i="7"/>
  <c r="E767" i="7"/>
  <c r="H802" i="7"/>
  <c r="E802" i="7"/>
  <c r="F802" i="7"/>
  <c r="H839" i="7"/>
  <c r="F839" i="7"/>
  <c r="E839" i="7"/>
  <c r="H872" i="7"/>
  <c r="E872" i="7"/>
  <c r="F872" i="7"/>
  <c r="H895" i="7"/>
  <c r="F895" i="7"/>
  <c r="E895" i="7"/>
  <c r="H135" i="7"/>
  <c r="F135" i="7"/>
  <c r="E135" i="7"/>
  <c r="H411" i="7"/>
  <c r="E411" i="7"/>
  <c r="F411" i="7"/>
  <c r="H523" i="7"/>
  <c r="F523" i="7"/>
  <c r="E523" i="7"/>
  <c r="H569" i="7"/>
  <c r="E569" i="7"/>
  <c r="F569" i="7"/>
  <c r="H630" i="7"/>
  <c r="F630" i="7"/>
  <c r="E630" i="7"/>
  <c r="H689" i="7"/>
  <c r="E689" i="7"/>
  <c r="F689" i="7"/>
  <c r="H801" i="7"/>
  <c r="E801" i="7"/>
  <c r="F801" i="7"/>
  <c r="H885" i="7"/>
  <c r="F885" i="7"/>
  <c r="E885" i="7"/>
  <c r="E22" i="7"/>
  <c r="F22" i="7"/>
  <c r="H417" i="7"/>
  <c r="F417" i="7"/>
  <c r="E417" i="7"/>
  <c r="H477" i="7"/>
  <c r="F477" i="7"/>
  <c r="E477" i="7"/>
  <c r="F515" i="7"/>
  <c r="E515" i="7"/>
  <c r="H555" i="7"/>
  <c r="F555" i="7"/>
  <c r="E555" i="7"/>
  <c r="H23" i="7"/>
  <c r="F23" i="7"/>
  <c r="E23" i="7"/>
  <c r="H268" i="7"/>
  <c r="E268" i="7"/>
  <c r="F268" i="7"/>
  <c r="H418" i="7"/>
  <c r="F418" i="7"/>
  <c r="E418" i="7"/>
  <c r="H478" i="7"/>
  <c r="F478" i="7"/>
  <c r="E478" i="7"/>
  <c r="H496" i="7"/>
  <c r="E496" i="7"/>
  <c r="F496" i="7"/>
  <c r="H516" i="7"/>
  <c r="F516" i="7"/>
  <c r="E516" i="7"/>
  <c r="F533" i="7"/>
  <c r="E533" i="7"/>
  <c r="H557" i="7"/>
  <c r="F557" i="7"/>
  <c r="E557" i="7"/>
  <c r="H581" i="7"/>
  <c r="F581" i="7"/>
  <c r="E581" i="7"/>
  <c r="H597" i="7"/>
  <c r="F597" i="7"/>
  <c r="E597" i="7"/>
  <c r="H614" i="7"/>
  <c r="F614" i="7"/>
  <c r="E614" i="7"/>
  <c r="H632" i="7"/>
  <c r="E632" i="7"/>
  <c r="F632" i="7"/>
  <c r="H649" i="7"/>
  <c r="E649" i="7"/>
  <c r="F649" i="7"/>
  <c r="H674" i="7"/>
  <c r="E674" i="7"/>
  <c r="F674" i="7"/>
  <c r="H693" i="7"/>
  <c r="F693" i="7"/>
  <c r="E693" i="7"/>
  <c r="H740" i="7"/>
  <c r="F740" i="7"/>
  <c r="E740" i="7"/>
  <c r="H768" i="7"/>
  <c r="E768" i="7"/>
  <c r="F768" i="7"/>
  <c r="H803" i="7"/>
  <c r="E803" i="7"/>
  <c r="F803" i="7"/>
  <c r="H841" i="7"/>
  <c r="E841" i="7"/>
  <c r="F841" i="7"/>
  <c r="H873" i="7"/>
  <c r="E873" i="7"/>
  <c r="F873" i="7"/>
  <c r="H897" i="7"/>
  <c r="E897" i="7"/>
  <c r="F897" i="7"/>
  <c r="H136" i="7"/>
  <c r="F136" i="7"/>
  <c r="E136" i="7"/>
  <c r="H714" i="7"/>
  <c r="H736" i="7"/>
  <c r="H533" i="7"/>
  <c r="H749" i="7"/>
  <c r="H826" i="7"/>
  <c r="H812" i="7"/>
  <c r="H764" i="7"/>
  <c r="H799" i="7"/>
  <c r="H35" i="7"/>
  <c r="H685" i="7"/>
  <c r="H629" i="7"/>
  <c r="H553" i="7"/>
  <c r="H870" i="7"/>
  <c r="H781" i="7"/>
  <c r="H22" i="7"/>
  <c r="H515" i="7"/>
  <c r="H580" i="7"/>
  <c r="D625" i="7"/>
  <c r="D732" i="7"/>
  <c r="D548" i="7"/>
  <c r="D865" i="7"/>
  <c r="D577" i="7"/>
  <c r="D530" i="7"/>
  <c r="D512" i="7"/>
  <c r="D32" i="7"/>
  <c r="D778" i="7"/>
  <c r="D807" i="7"/>
  <c r="D679" i="7"/>
  <c r="D745" i="7"/>
  <c r="D13" i="7"/>
  <c r="D708" i="7"/>
  <c r="D820" i="7"/>
  <c r="D796" i="7"/>
  <c r="H625" i="7" l="1"/>
  <c r="E625" i="7"/>
  <c r="F625" i="7"/>
  <c r="H512" i="7"/>
  <c r="E512" i="7"/>
  <c r="F512" i="7"/>
  <c r="F708" i="7"/>
  <c r="E708" i="7"/>
  <c r="H530" i="7"/>
  <c r="E530" i="7"/>
  <c r="F530" i="7"/>
  <c r="H796" i="7"/>
  <c r="F796" i="7"/>
  <c r="E796" i="7"/>
  <c r="H577" i="7"/>
  <c r="E577" i="7"/>
  <c r="F577" i="7"/>
  <c r="H745" i="7"/>
  <c r="E745" i="7"/>
  <c r="F745" i="7"/>
  <c r="H865" i="7"/>
  <c r="E865" i="7"/>
  <c r="F865" i="7"/>
  <c r="E778" i="7"/>
  <c r="F778" i="7"/>
  <c r="F32" i="7"/>
  <c r="E32" i="7"/>
  <c r="H13" i="7"/>
  <c r="E13" i="7"/>
  <c r="F13" i="7"/>
  <c r="H679" i="7"/>
  <c r="F679" i="7"/>
  <c r="E679" i="7"/>
  <c r="H548" i="7"/>
  <c r="F548" i="7"/>
  <c r="E548" i="7"/>
  <c r="H807" i="7"/>
  <c r="F807" i="7"/>
  <c r="E807" i="7"/>
  <c r="F732" i="7"/>
  <c r="E732" i="7"/>
  <c r="E761" i="7"/>
  <c r="F761" i="7"/>
  <c r="F820" i="7"/>
  <c r="E820" i="7"/>
  <c r="H732" i="7"/>
  <c r="H708" i="7"/>
  <c r="H778" i="7"/>
  <c r="H761" i="7"/>
  <c r="H32" i="7"/>
  <c r="H820" i="7"/>
  <c r="D726" i="7"/>
  <c r="D774" i="7"/>
  <c r="D705" i="7"/>
  <c r="D756" i="7"/>
  <c r="D28" i="7"/>
  <c r="D816" i="7"/>
  <c r="H28" i="7" l="1"/>
  <c r="E28" i="7"/>
  <c r="F28" i="7"/>
  <c r="H756" i="7"/>
  <c r="F756" i="7"/>
  <c r="E756" i="7"/>
  <c r="H705" i="7"/>
  <c r="E705" i="7"/>
  <c r="F705" i="7"/>
  <c r="H774" i="7"/>
  <c r="F774" i="7"/>
  <c r="E774" i="7"/>
  <c r="F726" i="7"/>
  <c r="E726" i="7"/>
  <c r="H816" i="7"/>
  <c r="E816" i="7"/>
  <c r="F816" i="7"/>
  <c r="H726" i="7"/>
  <c r="D723" i="7"/>
  <c r="H723" i="7" l="1"/>
  <c r="E723" i="7"/>
  <c r="F723" i="7"/>
</calcChain>
</file>

<file path=xl/sharedStrings.xml><?xml version="1.0" encoding="utf-8"?>
<sst xmlns="http://schemas.openxmlformats.org/spreadsheetml/2006/main" count="9392" uniqueCount="8888">
  <si>
    <t>รหัสสินค้า</t>
  </si>
  <si>
    <t>ชื่อสินค้า</t>
  </si>
  <si>
    <t>-</t>
  </si>
  <si>
    <t>NISSAN</t>
  </si>
  <si>
    <t>SUZUKI</t>
  </si>
  <si>
    <t>CHEVROLET CAPTIVA</t>
  </si>
  <si>
    <t>NISSAN SENTRA</t>
  </si>
  <si>
    <t>TOYOTA PRADO</t>
  </si>
  <si>
    <t>HYUNDAI HL 730</t>
  </si>
  <si>
    <t>SUZUKI CARRY VAN</t>
  </si>
  <si>
    <t>SHACMAN TRUCK</t>
  </si>
  <si>
    <t>ขายปัจจุบัน FIC</t>
  </si>
  <si>
    <t>ยกเลิก</t>
  </si>
  <si>
    <t>9300-0001-00</t>
  </si>
  <si>
    <t>LM-001</t>
  </si>
  <si>
    <t>M/B W-210 (E-CLASS)</t>
  </si>
  <si>
    <t>9300-0002-00</t>
  </si>
  <si>
    <t>LM-002</t>
  </si>
  <si>
    <t>BENZ NEW VITO (NCV2)</t>
  </si>
  <si>
    <t>9300-0003-00</t>
  </si>
  <si>
    <t>LM-003</t>
  </si>
  <si>
    <t>M/B W-220 (NEW S-CLASS)</t>
  </si>
  <si>
    <t>9300-0004-00</t>
  </si>
  <si>
    <t>LM-004</t>
  </si>
  <si>
    <t>9300-0005-00</t>
  </si>
  <si>
    <t>LM-005</t>
  </si>
  <si>
    <t>M/B W-220  S-CLASS</t>
  </si>
  <si>
    <t>9300-0006-00</t>
  </si>
  <si>
    <t>LM-006</t>
  </si>
  <si>
    <t>BMW E-46 '98</t>
  </si>
  <si>
    <t>9300-0007-00</t>
  </si>
  <si>
    <t>LM-007</t>
  </si>
  <si>
    <t>CHEVROLET ZAFIRA</t>
  </si>
  <si>
    <t>9300-0008-00</t>
  </si>
  <si>
    <t>LM-008</t>
  </si>
  <si>
    <t>PEUGEOT 306 '98</t>
  </si>
  <si>
    <t>9300-0009-00</t>
  </si>
  <si>
    <t>LM-009</t>
  </si>
  <si>
    <t>VOLVO TRUCK FM 12 '97</t>
  </si>
  <si>
    <t>9300-0010-00</t>
  </si>
  <si>
    <t>LM-010</t>
  </si>
  <si>
    <t>M/B W-203 C-CLASS '03</t>
  </si>
  <si>
    <t>9300-0011-00</t>
  </si>
  <si>
    <t>LM-011</t>
  </si>
  <si>
    <t>M/B W-203 C-CLASS '2000</t>
  </si>
  <si>
    <t>9300-0012-00</t>
  </si>
  <si>
    <t>LM-012</t>
  </si>
  <si>
    <t>PEUGEOT 206 (LHD&amp;RHD)</t>
  </si>
  <si>
    <t>9300-0013-00</t>
  </si>
  <si>
    <t>LM-013</t>
  </si>
  <si>
    <t>Volkswagen Passat '99</t>
  </si>
  <si>
    <t>9300-0014-00</t>
  </si>
  <si>
    <t>LM-014</t>
  </si>
  <si>
    <t>BENZ TRUCK ACSOR (LHD)</t>
  </si>
  <si>
    <t>9300-0015-00</t>
  </si>
  <si>
    <t>LM-015</t>
  </si>
  <si>
    <t>M/B W203 C-CLASS '2000(RHD)</t>
  </si>
  <si>
    <t>9300-0016-00</t>
  </si>
  <si>
    <t>LM-016</t>
  </si>
  <si>
    <t>M/B  W-209 C-CLASS</t>
  </si>
  <si>
    <t>9300-0017-00</t>
  </si>
  <si>
    <t>LM-017</t>
  </si>
  <si>
    <t>BMW E-39 (LHD. &amp; RHD.)</t>
  </si>
  <si>
    <t>9300-0018-00</t>
  </si>
  <si>
    <t>LM-018</t>
  </si>
  <si>
    <t>TS8619</t>
  </si>
  <si>
    <t>9300-0019-00</t>
  </si>
  <si>
    <t>LM-019</t>
  </si>
  <si>
    <t>MIT. FREECA '97-'02 LHD.</t>
  </si>
  <si>
    <t>9300-0020-00</t>
  </si>
  <si>
    <t>LM-020</t>
  </si>
  <si>
    <t>MIT. VIRAGE '97</t>
  </si>
  <si>
    <t>9300-0021-00</t>
  </si>
  <si>
    <t>LM-021</t>
  </si>
  <si>
    <t>MIT. FREECA '03 LHD.</t>
  </si>
  <si>
    <t>9300-0022-00</t>
  </si>
  <si>
    <t>LM-022</t>
  </si>
  <si>
    <t>M/B W-220 NEW S-CLASS (REAR)</t>
  </si>
  <si>
    <t>9300-0023-00</t>
  </si>
  <si>
    <t>LM-023</t>
  </si>
  <si>
    <t>M/B NEW VITO (REAR)</t>
  </si>
  <si>
    <t>9300-0024-00</t>
  </si>
  <si>
    <t>LM-024</t>
  </si>
  <si>
    <t>MAZDA 323 '99' RHD.</t>
  </si>
  <si>
    <t>9300-0025-00</t>
  </si>
  <si>
    <t>LM-025</t>
  </si>
  <si>
    <t>MAZDA 323 '01' RHD.</t>
  </si>
  <si>
    <t>9300-0026-00</t>
  </si>
  <si>
    <t>LM-026</t>
  </si>
  <si>
    <t>FORD TIERRA  '99</t>
  </si>
  <si>
    <t>9300-0027-00</t>
  </si>
  <si>
    <t>LM-027</t>
  </si>
  <si>
    <t>BMW. E-65 (NEW SERIE)LHD.</t>
  </si>
  <si>
    <t>9300-0028-00</t>
  </si>
  <si>
    <t>LM-028</t>
  </si>
  <si>
    <t>BMW E-39 '01 (SERIES-5)</t>
  </si>
  <si>
    <t>9200-0001-00</t>
  </si>
  <si>
    <t>LM-029</t>
  </si>
  <si>
    <t>SUBARU CEGACY LHD (FIN 10mm.)</t>
  </si>
  <si>
    <t>9200-0002-00</t>
  </si>
  <si>
    <t>LM-030</t>
  </si>
  <si>
    <t>MIT. CANTER '99 LHD (FIN10mm.)</t>
  </si>
  <si>
    <t>9200-0003-00</t>
  </si>
  <si>
    <t>LM-031</t>
  </si>
  <si>
    <t>HONDA ACCORD '99</t>
  </si>
  <si>
    <t>9300-0029-00</t>
  </si>
  <si>
    <t>LM-032</t>
  </si>
  <si>
    <t>OPEL ASTRA '93/SAAB 900  '94 LHD</t>
  </si>
  <si>
    <t>9300-0030-00</t>
  </si>
  <si>
    <t>LM-033</t>
  </si>
  <si>
    <t>OPEL CORSA 1.4 LHD</t>
  </si>
  <si>
    <t>9200-0004-00</t>
  </si>
  <si>
    <t>LM-034</t>
  </si>
  <si>
    <t>HONDA ACCORD '98-'99</t>
  </si>
  <si>
    <t>9200-0005-00</t>
  </si>
  <si>
    <t>LM-035</t>
  </si>
  <si>
    <t>Honda CRV '97 , Civic '99</t>
  </si>
  <si>
    <t>9200-0006-00</t>
  </si>
  <si>
    <t>LM-036</t>
  </si>
  <si>
    <t>HONDA HVR LHD</t>
  </si>
  <si>
    <t>9200-0007-00</t>
  </si>
  <si>
    <t>LM-037</t>
  </si>
  <si>
    <t>SUZUKI KARIMUN WAGON '1997 RHD</t>
  </si>
  <si>
    <t>9300-0031-00</t>
  </si>
  <si>
    <t>LM-038</t>
  </si>
  <si>
    <t>MAZDA 626 '98' (RHD.)</t>
  </si>
  <si>
    <t>9300-0032-00</t>
  </si>
  <si>
    <t>LM-039</t>
  </si>
  <si>
    <t>MIT. CARISMA '00 LHD.</t>
  </si>
  <si>
    <t>9300-0033-00</t>
  </si>
  <si>
    <t>LM-040</t>
  </si>
  <si>
    <t>MIT. GALANT '98-'99 LHD.</t>
  </si>
  <si>
    <t>9200-0008-00</t>
  </si>
  <si>
    <t>LM-041</t>
  </si>
  <si>
    <t>HONDA CIVIC '92 R-12 RHD.</t>
  </si>
  <si>
    <t>9300-0034-00</t>
  </si>
  <si>
    <t>LM-042</t>
  </si>
  <si>
    <t>MODEL 427632  ลูกค้า WOLFLE</t>
  </si>
  <si>
    <t>9300-0035-00</t>
  </si>
  <si>
    <t>LM-043</t>
  </si>
  <si>
    <t>ISUZU D-MAX</t>
  </si>
  <si>
    <t>9300-0036-00</t>
  </si>
  <si>
    <t>LM-044</t>
  </si>
  <si>
    <t>BMC TRUCK WITH BLOCK VALVE</t>
  </si>
  <si>
    <t>9200-0009-00</t>
  </si>
  <si>
    <t>LM-045</t>
  </si>
  <si>
    <t>ISUZU D-Max '03 (RHD)</t>
  </si>
  <si>
    <t>9300-0037-00</t>
  </si>
  <si>
    <t>LM-046</t>
  </si>
  <si>
    <t>MIT. CBI 9200H RHD.</t>
  </si>
  <si>
    <t>9200-0010-00</t>
  </si>
  <si>
    <t>LM-047</t>
  </si>
  <si>
    <t>KIA PREGIO RHD.</t>
  </si>
  <si>
    <t>9300-0038-00</t>
  </si>
  <si>
    <t>LM-048</t>
  </si>
  <si>
    <t>M/B W-211 NEW E-CLASS(RHD)</t>
  </si>
  <si>
    <t>9300-0040-00</t>
  </si>
  <si>
    <t>LM-050</t>
  </si>
  <si>
    <t>MIT.FUSO RHD.</t>
  </si>
  <si>
    <t>9200-0011-00</t>
  </si>
  <si>
    <t>LM-051</t>
  </si>
  <si>
    <t>HINO R-12(E27-01-004) LHD.</t>
  </si>
  <si>
    <t>9200-0012-00</t>
  </si>
  <si>
    <t>LM-052</t>
  </si>
  <si>
    <t>FUSO R-12(E22-07-001) LHD.</t>
  </si>
  <si>
    <t>9300-0042-00</t>
  </si>
  <si>
    <t>LM-053</t>
  </si>
  <si>
    <t>WILLIAM</t>
  </si>
  <si>
    <t>9300-0043-00</t>
  </si>
  <si>
    <t>LM-054</t>
  </si>
  <si>
    <t>OPEL ASTRA RHD.</t>
  </si>
  <si>
    <t>9300-0041-00</t>
  </si>
  <si>
    <t>LM-055</t>
  </si>
  <si>
    <t>MIT.FUSO RHD</t>
  </si>
  <si>
    <t>9200-0013-00</t>
  </si>
  <si>
    <t>LM-056</t>
  </si>
  <si>
    <t>Isuzu Calsonic</t>
  </si>
  <si>
    <t>9200-0014-00</t>
  </si>
  <si>
    <t>LM-057</t>
  </si>
  <si>
    <t>9300-0044-00</t>
  </si>
  <si>
    <t>LM-058</t>
  </si>
  <si>
    <t>SANDOZ RHD.</t>
  </si>
  <si>
    <t>9300-0118-00</t>
  </si>
  <si>
    <t>LM-058/A</t>
  </si>
  <si>
    <t>MITSUBISHI FUSO RHD.</t>
  </si>
  <si>
    <t>9200-0015-00</t>
  </si>
  <si>
    <t>LM-059</t>
  </si>
  <si>
    <t>FUSO 134a LHD.</t>
  </si>
  <si>
    <t>9200-0016-00</t>
  </si>
  <si>
    <t>LM-060</t>
  </si>
  <si>
    <t>HINO R-12 W/VALVE,PIPE LHD.</t>
  </si>
  <si>
    <t>9200-0017-00</t>
  </si>
  <si>
    <t>LM-061</t>
  </si>
  <si>
    <t>FUSO R-12 W/VALVE,PIPE LHD.</t>
  </si>
  <si>
    <t>9200-0018-00</t>
  </si>
  <si>
    <t>LM-062</t>
  </si>
  <si>
    <t>FUSO 134a W/VALVE, PIPE LHD.</t>
  </si>
  <si>
    <t>9300-0045-00</t>
  </si>
  <si>
    <t>LM-063</t>
  </si>
  <si>
    <t>VOLVO S60/S80 R&amp;L</t>
  </si>
  <si>
    <t>9300-0046-00</t>
  </si>
  <si>
    <t>LM-064</t>
  </si>
  <si>
    <t>M/B W-220 NEW S-CLASS LHD 2000 YR</t>
  </si>
  <si>
    <t>9300-0047-00</t>
  </si>
  <si>
    <t>LM-065</t>
  </si>
  <si>
    <t>M/B W-220 NEW S-CLASS RHD 2000 YR</t>
  </si>
  <si>
    <t>9200-0019-00</t>
  </si>
  <si>
    <t>LM-066</t>
  </si>
  <si>
    <t>MAZDA 323 PROTEGE 00-01 RHD.</t>
  </si>
  <si>
    <t>9200-0020-00</t>
  </si>
  <si>
    <t>LM-067</t>
  </si>
  <si>
    <t>KIA JUMBO (OLD) RHD.</t>
  </si>
  <si>
    <t>9200-0021-00</t>
  </si>
  <si>
    <t>LM-068</t>
  </si>
  <si>
    <t>KIA CARNIVAL RHD.</t>
  </si>
  <si>
    <t>9200-0022-00</t>
  </si>
  <si>
    <t>LM-069</t>
  </si>
  <si>
    <t>ISUZU RODEO '97' LHD.</t>
  </si>
  <si>
    <t>9200-0023-00</t>
  </si>
  <si>
    <t>LM-070</t>
  </si>
  <si>
    <t>MIT.CANTER '99-'02 LHD.</t>
  </si>
  <si>
    <t>9200-0024-00</t>
  </si>
  <si>
    <t>LM-071</t>
  </si>
  <si>
    <t>KIA SPORT AGE LHD.</t>
  </si>
  <si>
    <t>9200-0025-00</t>
  </si>
  <si>
    <t>LM-072</t>
  </si>
  <si>
    <t>HYUNDAI STAREX DOOWON LHD.</t>
  </si>
  <si>
    <t>9200-0266-00</t>
  </si>
  <si>
    <t>LM-072/A</t>
  </si>
  <si>
    <t>KIA CARNIVAL RHD. (REAR)</t>
  </si>
  <si>
    <t>9200-0026-00</t>
  </si>
  <si>
    <t>LM-074</t>
  </si>
  <si>
    <t>NISSAN LORRY RG.(RHD)</t>
  </si>
  <si>
    <t>9200-0027-00</t>
  </si>
  <si>
    <t>LM-075</t>
  </si>
  <si>
    <t>HYUNDAI ELANTRA '97 RHD.</t>
  </si>
  <si>
    <t>9300-0049-00</t>
  </si>
  <si>
    <t>LM-076</t>
  </si>
  <si>
    <t>ALFA 156 (LHD.)</t>
  </si>
  <si>
    <t>9200-0028-00</t>
  </si>
  <si>
    <t>LM-077</t>
  </si>
  <si>
    <t>Hyundai Elantra '97</t>
  </si>
  <si>
    <t>9200-0029-00</t>
  </si>
  <si>
    <t>LM-078</t>
  </si>
  <si>
    <t>NISSAN PRIMERA 98-99 (LHD.)</t>
  </si>
  <si>
    <t>9200-0030-00</t>
  </si>
  <si>
    <t>LM-079</t>
  </si>
  <si>
    <t>MIT. CBI 9200 RHD.</t>
  </si>
  <si>
    <t>9200-0031-00</t>
  </si>
  <si>
    <t>LM-080</t>
  </si>
  <si>
    <t>MIT.GALANT ULITMA '94 134a RHD</t>
  </si>
  <si>
    <t>9200-0032-00</t>
  </si>
  <si>
    <t>LM-081</t>
  </si>
  <si>
    <t>MIT.SPACE GEAR  '98  LHD.</t>
  </si>
  <si>
    <t>9300-0050-00</t>
  </si>
  <si>
    <t>LM-082</t>
  </si>
  <si>
    <t>SAAB 900 TURBO (LHD.)</t>
  </si>
  <si>
    <t>9200-0033-00</t>
  </si>
  <si>
    <t>LM-083</t>
  </si>
  <si>
    <t>HONDA CIVIC K-800 (RHD.)</t>
  </si>
  <si>
    <t>9200-0034-00</t>
  </si>
  <si>
    <t>LM-084</t>
  </si>
  <si>
    <t>HONDA CIVIC K-800 (LHD.)</t>
  </si>
  <si>
    <t>9200-0035-00</t>
  </si>
  <si>
    <t>LM-085</t>
  </si>
  <si>
    <t>9300-0051-00</t>
  </si>
  <si>
    <t>LM-086</t>
  </si>
  <si>
    <t>TS 8827  ลูกค้า WOLFLE</t>
  </si>
  <si>
    <t>9200-0036-00</t>
  </si>
  <si>
    <t>LM-087</t>
  </si>
  <si>
    <t>MIT. CANTER 99 LHD.</t>
  </si>
  <si>
    <t>9300-0052-00</t>
  </si>
  <si>
    <t>LM-088</t>
  </si>
  <si>
    <t>BMW E-63 (R.H.D&amp;L.H.D)</t>
  </si>
  <si>
    <t>9200-0037-00</t>
  </si>
  <si>
    <t>LM-089</t>
  </si>
  <si>
    <t>9058-0047-00</t>
  </si>
  <si>
    <t>LM-090</t>
  </si>
  <si>
    <t>PORSCHE 996,AUDI A3 (LHD)</t>
  </si>
  <si>
    <t>9300-0053-00</t>
  </si>
  <si>
    <t>LM-091</t>
  </si>
  <si>
    <t>SAAB 900 TURBO RHD.</t>
  </si>
  <si>
    <t>9400-0051-00</t>
  </si>
  <si>
    <t>LM-092</t>
  </si>
  <si>
    <t xml:space="preserve">CHRYSLER NEON (LHD.) </t>
  </si>
  <si>
    <t>9400-0052-00</t>
  </si>
  <si>
    <t>LM-093</t>
  </si>
  <si>
    <t>CHRYSLER NEON '97 (RHD)</t>
  </si>
  <si>
    <t>9300-0054-00</t>
  </si>
  <si>
    <t>LM-094</t>
  </si>
  <si>
    <t>KIA JUMBO NEW RHD.ยกเลิก</t>
  </si>
  <si>
    <t>9400-0001-00</t>
  </si>
  <si>
    <t>LM-095</t>
  </si>
  <si>
    <t>9400-0002-00</t>
  </si>
  <si>
    <t>LM-096</t>
  </si>
  <si>
    <t>9400-0003-00</t>
  </si>
  <si>
    <t>LM-097</t>
  </si>
  <si>
    <t>9400-0004-00</t>
  </si>
  <si>
    <t>LM-098</t>
  </si>
  <si>
    <t>9200-0041-00</t>
  </si>
  <si>
    <t>LM-099</t>
  </si>
  <si>
    <t>SANTACRUZ</t>
  </si>
  <si>
    <t>9200-0042-00</t>
  </si>
  <si>
    <t>LM-100</t>
  </si>
  <si>
    <t>ISUZU ELF 15/35T '97-'03 LHD.</t>
  </si>
  <si>
    <t>9200-0043-00</t>
  </si>
  <si>
    <t>LM-101</t>
  </si>
  <si>
    <t>ISUZU ELF 3.5/6.5T '97-99 LHD.</t>
  </si>
  <si>
    <t>9200-0044-00</t>
  </si>
  <si>
    <t>LM-102</t>
  </si>
  <si>
    <t>KIA CARENS '98-00 LHD.</t>
  </si>
  <si>
    <t>9200-0045-00</t>
  </si>
  <si>
    <t>LM-103</t>
  </si>
  <si>
    <t>KIA CARNIVAL2.0 99' (F)LHD.</t>
  </si>
  <si>
    <t>9200-0055-00</t>
  </si>
  <si>
    <t>LM-104</t>
  </si>
  <si>
    <t>FORD ESCAPE (RHD.)</t>
  </si>
  <si>
    <t>9200-0047-00</t>
  </si>
  <si>
    <t>LM-105</t>
  </si>
  <si>
    <t>MIT. CANTER '03 LHD.</t>
  </si>
  <si>
    <t>9200-0048-00</t>
  </si>
  <si>
    <t>LM-106</t>
  </si>
  <si>
    <t>HYUNDAI ATOZ 1.0 LHD.</t>
  </si>
  <si>
    <t>9200-0049-00</t>
  </si>
  <si>
    <t>LM-107</t>
  </si>
  <si>
    <t>KIA CLARUS 2.0 97 LHD.</t>
  </si>
  <si>
    <t>9200-0050-00</t>
  </si>
  <si>
    <t>LM-108</t>
  </si>
  <si>
    <t>FUSO 15T '99 LHD.</t>
  </si>
  <si>
    <t>9200-0051-00</t>
  </si>
  <si>
    <t>LM-109</t>
  </si>
  <si>
    <t>Ford Escape '04</t>
  </si>
  <si>
    <t>9200-0052-00</t>
  </si>
  <si>
    <t>LM-110</t>
  </si>
  <si>
    <t>Ford Escape '03 (LHD)</t>
  </si>
  <si>
    <t>9200-0053-00</t>
  </si>
  <si>
    <t>LM-111</t>
  </si>
  <si>
    <t>CUSTOM 17 (LHD.)</t>
  </si>
  <si>
    <t>9200-0054-00</t>
  </si>
  <si>
    <t>LM-112</t>
  </si>
  <si>
    <t>CHRYSLER CONCORD (LHD.)</t>
  </si>
  <si>
    <t>9300-0055-00</t>
  </si>
  <si>
    <t>LM-113</t>
  </si>
  <si>
    <t>TS-9088</t>
  </si>
  <si>
    <t>9065-0011-00</t>
  </si>
  <si>
    <t>LM-114</t>
  </si>
  <si>
    <t>JAGUAR 95 134a LHD.</t>
  </si>
  <si>
    <t>9300-0057-00</t>
  </si>
  <si>
    <t>LM-115</t>
  </si>
  <si>
    <t>TS-9089</t>
  </si>
  <si>
    <t>9300-0058-00</t>
  </si>
  <si>
    <t>LM-116</t>
  </si>
  <si>
    <t>M/B  W-211  '03(LHD)</t>
  </si>
  <si>
    <t>9200-0056-00</t>
  </si>
  <si>
    <t>LM-117</t>
  </si>
  <si>
    <t>KIA CARNIVAL (RHD.)</t>
  </si>
  <si>
    <t>9200-0057-00</t>
  </si>
  <si>
    <t>LM-118</t>
  </si>
  <si>
    <t>NISSAN CABSTAR 3.5T97 LHD.</t>
  </si>
  <si>
    <t>9200-0058-00</t>
  </si>
  <si>
    <t>LM-119</t>
  </si>
  <si>
    <t>ISUZU TRUCK EURO2 (ZEXEL)</t>
  </si>
  <si>
    <t>9200-0059-00</t>
  </si>
  <si>
    <t>LM-120</t>
  </si>
  <si>
    <t>KIA SPECTRA (RHD.)</t>
  </si>
  <si>
    <t>9200-0060-00</t>
  </si>
  <si>
    <t>LM-121</t>
  </si>
  <si>
    <t>HYUNDAI  ACCENT '99 LHD.</t>
  </si>
  <si>
    <t>9400-0005-00</t>
  </si>
  <si>
    <t>LM-122</t>
  </si>
  <si>
    <t>HONDA CRV '03</t>
  </si>
  <si>
    <t>9400-0006-00</t>
  </si>
  <si>
    <t>LM-123</t>
  </si>
  <si>
    <t>HONDA ACCORD '03 (RHD.)</t>
  </si>
  <si>
    <t>9200-0061-00</t>
  </si>
  <si>
    <t>LM-124</t>
  </si>
  <si>
    <t>FUSO 20-35T '97 (LHD.)</t>
  </si>
  <si>
    <t>9200-0062-00</t>
  </si>
  <si>
    <t>LM-125</t>
  </si>
  <si>
    <t>ISUZU TRUCK LHD.</t>
  </si>
  <si>
    <t>ISUZU TRUCK LHD. ประกอบตู้</t>
  </si>
  <si>
    <t>9200-0063-00</t>
  </si>
  <si>
    <t>LM-126</t>
  </si>
  <si>
    <t>ISUZU TRUCK L.H.D. W/VALVE,PIPE (ประกอบตู้)</t>
  </si>
  <si>
    <t>9200-0064-00</t>
  </si>
  <si>
    <t>LM-127</t>
  </si>
  <si>
    <t>ISUZU TRUCK RHD.</t>
  </si>
  <si>
    <t>9200-0065-00</t>
  </si>
  <si>
    <t>LM-128</t>
  </si>
  <si>
    <t>ISUZU FORWARD (RHD)</t>
  </si>
  <si>
    <t>9200-0066-00</t>
  </si>
  <si>
    <t>LM-129</t>
  </si>
  <si>
    <t>MIT. LANCER 94-96 LHD.</t>
  </si>
  <si>
    <t>9400-0007-00</t>
  </si>
  <si>
    <t>LM-130</t>
  </si>
  <si>
    <t>HONDA ACCORD '04  (LHD.)</t>
  </si>
  <si>
    <t>9200-0067-00</t>
  </si>
  <si>
    <t>LM-131</t>
  </si>
  <si>
    <t>DAEWOO LANOS 1.6 '97  LHD.</t>
  </si>
  <si>
    <t>9300-0059-00</t>
  </si>
  <si>
    <t>LM-132</t>
  </si>
  <si>
    <t>DAEWOO TRUCK 21T LHD.</t>
  </si>
  <si>
    <t>9300-0060-00</t>
  </si>
  <si>
    <t>LM-133</t>
  </si>
  <si>
    <t>427648-203  ลูกค้า WOLFLE</t>
  </si>
  <si>
    <t>9300-0061-00</t>
  </si>
  <si>
    <t>LM-134</t>
  </si>
  <si>
    <t>TS 9087-200</t>
  </si>
  <si>
    <t>9058-0048-00</t>
  </si>
  <si>
    <t>LM-135</t>
  </si>
  <si>
    <t>PORSCHE AUDI A3/VW LUPO (RHD)</t>
  </si>
  <si>
    <t>9400-0008-00</t>
  </si>
  <si>
    <t>LM-137</t>
  </si>
  <si>
    <t>HONDA CIVIC '01 (RHD.)</t>
  </si>
  <si>
    <t>9200-0068-00</t>
  </si>
  <si>
    <t>LM-138</t>
  </si>
  <si>
    <t>MITSU.LANCER GLX  R134a</t>
  </si>
  <si>
    <t>9300-0064-00</t>
  </si>
  <si>
    <t>LM-139</t>
  </si>
  <si>
    <t>A-10E (RHD) O-RING</t>
  </si>
  <si>
    <t>9300-0063-00</t>
  </si>
  <si>
    <t>LM-140</t>
  </si>
  <si>
    <t>A-10E (LHD) O-RING</t>
  </si>
  <si>
    <t>9200-0069-00</t>
  </si>
  <si>
    <t>LM-141</t>
  </si>
  <si>
    <t>MIT. CANTER RHD. W/VALVE</t>
  </si>
  <si>
    <t>9400-0009-00</t>
  </si>
  <si>
    <t>LM-142</t>
  </si>
  <si>
    <t>TOYOTA ALTIS 03''-06'' (LHD)</t>
  </si>
  <si>
    <t>9200-0070-00</t>
  </si>
  <si>
    <t>LM-143</t>
  </si>
  <si>
    <t>HYUNDAI TUCSON 2.0L '05 LHD.</t>
  </si>
  <si>
    <t>9200-0071-00</t>
  </si>
  <si>
    <t>LM-144</t>
  </si>
  <si>
    <t>03-187896-00</t>
  </si>
  <si>
    <t>9400-0010-00</t>
  </si>
  <si>
    <t>LM-145</t>
  </si>
  <si>
    <t>TOYOTA  LIMO RHD(TAXI)</t>
  </si>
  <si>
    <t>9200-0072-00</t>
  </si>
  <si>
    <t>LM-146</t>
  </si>
  <si>
    <t>03-700230-00</t>
  </si>
  <si>
    <t>9200-0073-00</t>
  </si>
  <si>
    <t>LM-147</t>
  </si>
  <si>
    <t>ISUZU D-MAX (EGE)</t>
  </si>
  <si>
    <t>9200-0074-00</t>
  </si>
  <si>
    <t>LM-148</t>
  </si>
  <si>
    <t>HONDA CRV '2000 (RHD)</t>
  </si>
  <si>
    <t>9300-0066-00</t>
  </si>
  <si>
    <t>LM-149</t>
  </si>
  <si>
    <t>A4E (RHD) O-RING</t>
  </si>
  <si>
    <t>9300-0067-00</t>
  </si>
  <si>
    <t>LM-150</t>
  </si>
  <si>
    <t>A4E (LHD.) O-RING</t>
  </si>
  <si>
    <t>9058-0018-00</t>
  </si>
  <si>
    <t>LM-151</t>
  </si>
  <si>
    <t>A6 E (RHD) O-RING</t>
  </si>
  <si>
    <t>9058-0019-00</t>
  </si>
  <si>
    <t>LM-152</t>
  </si>
  <si>
    <t>A6 E (LHD) O-RING</t>
  </si>
  <si>
    <t>9300-0070-00</t>
  </si>
  <si>
    <t>LM-153</t>
  </si>
  <si>
    <t>A8E (RHD.) O-RING</t>
  </si>
  <si>
    <t>9053-0014-00</t>
  </si>
  <si>
    <t>LM-154</t>
  </si>
  <si>
    <t>A8E (LHD.) O-RING</t>
  </si>
  <si>
    <t>9300-0072-00</t>
  </si>
  <si>
    <t>LM-155</t>
  </si>
  <si>
    <t>A4E NEW (RHD.) FLARE</t>
  </si>
  <si>
    <t>9200-0075-00</t>
  </si>
  <si>
    <t>LM-156</t>
  </si>
  <si>
    <t>MITSU.LANCER GLX  R12</t>
  </si>
  <si>
    <t>9200-0076-00</t>
  </si>
  <si>
    <t>LM-157</t>
  </si>
  <si>
    <t>MITSU.LANCER 1.5 R134a</t>
  </si>
  <si>
    <t>9200-0077-00</t>
  </si>
  <si>
    <t>LM-158</t>
  </si>
  <si>
    <t>VOLVO 850 R134a (RHD)</t>
  </si>
  <si>
    <t>9200-0078-00</t>
  </si>
  <si>
    <t>LM-159</t>
  </si>
  <si>
    <t>JEEP CHEROKEE (RHD)</t>
  </si>
  <si>
    <t>9200-0079-00</t>
  </si>
  <si>
    <t>LM-160</t>
  </si>
  <si>
    <t>HYUNDAI EXCEL 92" (RHD)</t>
  </si>
  <si>
    <t>9200-0080-00</t>
  </si>
  <si>
    <t>LM-161</t>
  </si>
  <si>
    <t>HYUNDAI EXCEL 93" (RHD)</t>
  </si>
  <si>
    <t>9200-0081-00</t>
  </si>
  <si>
    <t>LM-162</t>
  </si>
  <si>
    <t>HYUNDAI ACCENT (RHD)</t>
  </si>
  <si>
    <t>9200-0203-00</t>
  </si>
  <si>
    <t>LM-163</t>
  </si>
  <si>
    <t>SUZUKI VITARA R-12 RHD.</t>
  </si>
  <si>
    <t>9300-0073-00</t>
  </si>
  <si>
    <t>LM-164</t>
  </si>
  <si>
    <t>A4E (RHD.) FLARE</t>
  </si>
  <si>
    <t>9300-0074-00</t>
  </si>
  <si>
    <t>LM-165</t>
  </si>
  <si>
    <t>A4E (LHD.) FLARE</t>
  </si>
  <si>
    <t>9058-0020-00</t>
  </si>
  <si>
    <t>LM-166</t>
  </si>
  <si>
    <t>A6 E (RHD) FLARE</t>
  </si>
  <si>
    <t>9058-0021-00</t>
  </si>
  <si>
    <t>LM-167</t>
  </si>
  <si>
    <t>A6 E (LHD) FLARE</t>
  </si>
  <si>
    <t>9300-0077-00</t>
  </si>
  <si>
    <t>LM-168</t>
  </si>
  <si>
    <t>A8E (RHD.) FLARE</t>
  </si>
  <si>
    <t>9300-0078-00</t>
  </si>
  <si>
    <t>LM-169</t>
  </si>
  <si>
    <t>A8E (LHD.) FLARE</t>
  </si>
  <si>
    <t>9300-0079-00</t>
  </si>
  <si>
    <t>LM-170</t>
  </si>
  <si>
    <t>A10E (RHD.) FLARE</t>
  </si>
  <si>
    <t>9300-0080-00</t>
  </si>
  <si>
    <t>LM-171</t>
  </si>
  <si>
    <t>A10E (LHD.) FLARE</t>
  </si>
  <si>
    <t>9200-0083-00</t>
  </si>
  <si>
    <t>LM-172</t>
  </si>
  <si>
    <t>JEEP CHEROKEE '99 (RHD)</t>
  </si>
  <si>
    <t>9200-0084-00</t>
  </si>
  <si>
    <t>LM-173</t>
  </si>
  <si>
    <t>JEEP CHEROKEE '99 (LHD)</t>
  </si>
  <si>
    <t>9200-0205-00</t>
  </si>
  <si>
    <t>LM-174</t>
  </si>
  <si>
    <t>SUZUKI ESCUDO R134a RHD.</t>
  </si>
  <si>
    <t>9200-0086-00</t>
  </si>
  <si>
    <t>LM-175</t>
  </si>
  <si>
    <t>JEEP CHEROKEE (LHD)</t>
  </si>
  <si>
    <t>9300-0081-00</t>
  </si>
  <si>
    <t>LM-176</t>
  </si>
  <si>
    <t>TS 9087-250</t>
  </si>
  <si>
    <t>9200-0089-00</t>
  </si>
  <si>
    <t>LM-178</t>
  </si>
  <si>
    <t>FORD MONDEO/METROSTAR RHD&amp;LHD</t>
  </si>
  <si>
    <t>9200-0204-00</t>
  </si>
  <si>
    <t>LM-179</t>
  </si>
  <si>
    <t>SUZUKI VITARA R-12 LHD.</t>
  </si>
  <si>
    <t>9300-0082-00</t>
  </si>
  <si>
    <t>LM-180</t>
  </si>
  <si>
    <t>ISUZU NQR,NPR LHD.</t>
  </si>
  <si>
    <t>9300-0104-00</t>
  </si>
  <si>
    <t>LM-180/A</t>
  </si>
  <si>
    <t>ISU. NQR NPR(LHD.) VALVE ,PIPE</t>
  </si>
  <si>
    <t>9200-0091-00</t>
  </si>
  <si>
    <t>LM-181</t>
  </si>
  <si>
    <t>NISSAN LORRY RHD.</t>
  </si>
  <si>
    <t>9300-0083-00</t>
  </si>
  <si>
    <t>LM-183</t>
  </si>
  <si>
    <t>A4 L RHD.</t>
  </si>
  <si>
    <t>9200-0092-00</t>
  </si>
  <si>
    <t>LM-184</t>
  </si>
  <si>
    <t>FUSO R-12  LHD.</t>
  </si>
  <si>
    <t>9200-0093-00</t>
  </si>
  <si>
    <t>LM-185</t>
  </si>
  <si>
    <t>9200-0094-00</t>
  </si>
  <si>
    <t>LM-186</t>
  </si>
  <si>
    <t>FUSO R-12 LHD.</t>
  </si>
  <si>
    <t>9200-0095-00</t>
  </si>
  <si>
    <t>LM-187</t>
  </si>
  <si>
    <t>FUSO R134a LHD.</t>
  </si>
  <si>
    <t>9200-0096-00</t>
  </si>
  <si>
    <t>LM-188</t>
  </si>
  <si>
    <t xml:space="preserve">NISSAN CABSTAR 3.5 T'2000 </t>
  </si>
  <si>
    <t>9600-0001-00</t>
  </si>
  <si>
    <t>LM-189</t>
  </si>
  <si>
    <t>TOYOTA CAMRY '02 LHD.</t>
  </si>
  <si>
    <t>9600-0002-00</t>
  </si>
  <si>
    <t>LM-190</t>
  </si>
  <si>
    <t>TOYOTA PREVIA'01(REAR)LHD.</t>
  </si>
  <si>
    <t>9200-0098-00</t>
  </si>
  <si>
    <t>LM-191</t>
  </si>
  <si>
    <t>VOLVO S40 R134a RHD.</t>
  </si>
  <si>
    <t>9200-0099-00</t>
  </si>
  <si>
    <t>LM-192</t>
  </si>
  <si>
    <t>ISUZU ELF 15-35T '97-'03</t>
  </si>
  <si>
    <t>9600-0003-00</t>
  </si>
  <si>
    <t>LM-193</t>
  </si>
  <si>
    <t>TOYOTA CAMRY  '03 (RHD)</t>
  </si>
  <si>
    <t>9400-0011-00</t>
  </si>
  <si>
    <t>LM-194</t>
  </si>
  <si>
    <t>HONDA ACCORD'04(RHD.)</t>
  </si>
  <si>
    <t>9200-0100-00</t>
  </si>
  <si>
    <t>LM-195</t>
  </si>
  <si>
    <t>HYUNDAI TUCSON 2.0  '05</t>
  </si>
  <si>
    <t>9300-0084-00</t>
  </si>
  <si>
    <t>LM-196</t>
  </si>
  <si>
    <t>BENZ SPRINTER NEW (LHD)</t>
  </si>
  <si>
    <t>9300-0085-00</t>
  </si>
  <si>
    <t>LM-197</t>
  </si>
  <si>
    <t>TS8845-460</t>
  </si>
  <si>
    <t>9200-0101-00</t>
  </si>
  <si>
    <t>LM-198</t>
  </si>
  <si>
    <t>NISSAN UD10.5T LHD</t>
  </si>
  <si>
    <t>9200-0102-00</t>
  </si>
  <si>
    <t>LM-199</t>
  </si>
  <si>
    <t>DAEW00 MATIZ '98 LHD.</t>
  </si>
  <si>
    <t>9200-0103-00</t>
  </si>
  <si>
    <t>LM-200</t>
  </si>
  <si>
    <t>FORD FOCUS '01 LHD&amp;RHD</t>
  </si>
  <si>
    <t>9065-0010-00</t>
  </si>
  <si>
    <t>LM-201</t>
  </si>
  <si>
    <t>LAND ROVER 820 (LHD)</t>
  </si>
  <si>
    <t>9900-0001-00</t>
  </si>
  <si>
    <t>LM-202</t>
  </si>
  <si>
    <t>TOYOTA PREVIA '2001 (LHD)</t>
  </si>
  <si>
    <t>9900-0002-00</t>
  </si>
  <si>
    <t>LM-203</t>
  </si>
  <si>
    <t>MIT. SAVRIN '2001 (LHD)</t>
  </si>
  <si>
    <t>9900-0003-00</t>
  </si>
  <si>
    <t>LM-204</t>
  </si>
  <si>
    <t>AUDI A6 2.4  (RHD)</t>
  </si>
  <si>
    <t>9200-0104-00</t>
  </si>
  <si>
    <t>LM-205</t>
  </si>
  <si>
    <t>NISSAN SERENA '92 R-12(RHD)</t>
  </si>
  <si>
    <t>9200-0105-00</t>
  </si>
  <si>
    <t>LM-206</t>
  </si>
  <si>
    <t>NISSAN SERENA '96-'97 134a</t>
  </si>
  <si>
    <t>9065-0009-00</t>
  </si>
  <si>
    <t>LM-207</t>
  </si>
  <si>
    <t>LAND ROVER 820 (RHD)</t>
  </si>
  <si>
    <t>9200-0106-00</t>
  </si>
  <si>
    <t>LM-208</t>
  </si>
  <si>
    <t>LAND ROVER DISCOVERY</t>
  </si>
  <si>
    <t>9200-0207-00</t>
  </si>
  <si>
    <t>LM-209</t>
  </si>
  <si>
    <t>SUZUKI ESCUDO LHD.</t>
  </si>
  <si>
    <t>9200-0108-00</t>
  </si>
  <si>
    <t>LM-210</t>
  </si>
  <si>
    <t>HYUNDAI STAREX  (LHD)</t>
  </si>
  <si>
    <t>9200-0109-00</t>
  </si>
  <si>
    <t>LM-211</t>
  </si>
  <si>
    <t>HYUNDAI ELANTRA  '92(RHD)</t>
  </si>
  <si>
    <t>9200-0110-00</t>
  </si>
  <si>
    <t>LM-212</t>
  </si>
  <si>
    <t>HYUNDAI ELANTRA '93(RHD)</t>
  </si>
  <si>
    <t>9200-0111-00</t>
  </si>
  <si>
    <t>LM-213</t>
  </si>
  <si>
    <t>HYUNDAI ELANTRA '94 (RHD)</t>
  </si>
  <si>
    <t>9200-0112-00</t>
  </si>
  <si>
    <t>LM-214</t>
  </si>
  <si>
    <t>NISSAN SB-13 134a (RHD)</t>
  </si>
  <si>
    <t>9200-0113-00</t>
  </si>
  <si>
    <t>LM-215</t>
  </si>
  <si>
    <t>NISSAN QX4 01" (LHD)</t>
  </si>
  <si>
    <t>9200-0115-00</t>
  </si>
  <si>
    <t>LM-216</t>
  </si>
  <si>
    <t>MAZDA 323 '96 LANTIS (RHD)</t>
  </si>
  <si>
    <t>9200-0114-00</t>
  </si>
  <si>
    <t>LM-217</t>
  </si>
  <si>
    <t>ISUZU D-MAX '06 RHD.</t>
  </si>
  <si>
    <t>9900-0004-00</t>
  </si>
  <si>
    <t>LM-218</t>
  </si>
  <si>
    <t>TOYOTA ESTIMA R12 '2003 (RHD)</t>
  </si>
  <si>
    <t>9200-0116-00</t>
  </si>
  <si>
    <t>LM-219</t>
  </si>
  <si>
    <t>KIA. CARENS II  (RHD)</t>
  </si>
  <si>
    <t>9200-0117-00</t>
  </si>
  <si>
    <t>LM-220</t>
  </si>
  <si>
    <t>NISSAN SB-13 R-12  (RHD)</t>
  </si>
  <si>
    <t>9200-0118-00</t>
  </si>
  <si>
    <t>LM-221</t>
  </si>
  <si>
    <t>NISSAN CEFIRO 00"  (LHD)</t>
  </si>
  <si>
    <t>9300-0088-00</t>
  </si>
  <si>
    <t>LM-222</t>
  </si>
  <si>
    <t>427650-200</t>
  </si>
  <si>
    <t>9200-0119-00</t>
  </si>
  <si>
    <t>LM-223</t>
  </si>
  <si>
    <t>MAZDA MILLENIUM'97-'02 LHD</t>
  </si>
  <si>
    <t>9200-0120-00</t>
  </si>
  <si>
    <t>LM-224</t>
  </si>
  <si>
    <t>Honda Accord '94</t>
  </si>
  <si>
    <t>9300-0089-00</t>
  </si>
  <si>
    <t>LM-225</t>
  </si>
  <si>
    <t>BMW E-65 (RHD)</t>
  </si>
  <si>
    <t>9200-0124-00</t>
  </si>
  <si>
    <t>LM-226</t>
  </si>
  <si>
    <t>HYUNDAI SONATA (RHD)</t>
  </si>
  <si>
    <t>9200-0121-00</t>
  </si>
  <si>
    <t>LM-227</t>
  </si>
  <si>
    <t>Honda Accord '94-'97</t>
  </si>
  <si>
    <t>9200-0123-00</t>
  </si>
  <si>
    <t>LM-228</t>
  </si>
  <si>
    <t>BENZ ML320 W-163 (LHD)</t>
  </si>
  <si>
    <t>9200-0127-00</t>
  </si>
  <si>
    <t>LM-230</t>
  </si>
  <si>
    <t>UTS-118CO</t>
  </si>
  <si>
    <t>9200-0128-00</t>
  </si>
  <si>
    <t>LM-231</t>
  </si>
  <si>
    <t>FORD ESCAPE2.5 06'(L.H.D)</t>
  </si>
  <si>
    <t>9200-0126-00</t>
  </si>
  <si>
    <t>LM-232</t>
  </si>
  <si>
    <t>TS 9385-01</t>
  </si>
  <si>
    <t>9300-0099-00</t>
  </si>
  <si>
    <t>LM-233</t>
  </si>
  <si>
    <t>TS 9087-1500</t>
  </si>
  <si>
    <t>9400-0012-00</t>
  </si>
  <si>
    <t>LM-234</t>
  </si>
  <si>
    <t>MIT.GRUNDER LHD.</t>
  </si>
  <si>
    <t>9200-0130-00</t>
  </si>
  <si>
    <t>LM-235</t>
  </si>
  <si>
    <t>DAWOO TRUCK 21 T (LHD)</t>
  </si>
  <si>
    <t>9400-0013-00</t>
  </si>
  <si>
    <t>LM-236</t>
  </si>
  <si>
    <t>SUZUKI LIANA '04 (LHD)</t>
  </si>
  <si>
    <t>9600-0004-00</t>
  </si>
  <si>
    <t>LM-237</t>
  </si>
  <si>
    <t>MAZDA MPV 97-02 2.5L LHD.</t>
  </si>
  <si>
    <t>9400-0015-00</t>
  </si>
  <si>
    <t>LM-238</t>
  </si>
  <si>
    <t>HONDA CITY '06-07 (RHD)</t>
  </si>
  <si>
    <t>9200-0129-00</t>
  </si>
  <si>
    <t>LM-239</t>
  </si>
  <si>
    <t>KIA SPORTAGE (RHD)</t>
  </si>
  <si>
    <t>9900-0005-00</t>
  </si>
  <si>
    <t>LM-240</t>
  </si>
  <si>
    <t>MIT. PAJERO (LHD)</t>
  </si>
  <si>
    <t>9400-0016-00</t>
  </si>
  <si>
    <t>LM-241</t>
  </si>
  <si>
    <t>TOYOTA COROLLA ALTIS '03-06 RHD</t>
  </si>
  <si>
    <t>9200-0131-00</t>
  </si>
  <si>
    <t>LM-242</t>
  </si>
  <si>
    <t>HONDA HVR R134a (RHD)</t>
  </si>
  <si>
    <t>9300-0100-00</t>
  </si>
  <si>
    <t>LM-243</t>
  </si>
  <si>
    <t>BUICK EXCELLE1.6/1.8(LHD)</t>
  </si>
  <si>
    <t>9200-0132-00</t>
  </si>
  <si>
    <t>LM-244</t>
  </si>
  <si>
    <t>NAZA CITRA (RHD)</t>
  </si>
  <si>
    <t>9066-0022-00</t>
  </si>
  <si>
    <t>LM-245</t>
  </si>
  <si>
    <t>FRONT (SEAT ALHABRA) LHD.</t>
  </si>
  <si>
    <t>9200-0134-00</t>
  </si>
  <si>
    <t>LM-246</t>
  </si>
  <si>
    <t>VOLVO S40 (LHD)</t>
  </si>
  <si>
    <t>9300-0101-00</t>
  </si>
  <si>
    <t>LM-247</t>
  </si>
  <si>
    <t>BENZ NEW ACSOR TRUCK(LHD)</t>
  </si>
  <si>
    <t>9200-0135-00</t>
  </si>
  <si>
    <t>LM-248</t>
  </si>
  <si>
    <t>NISSAN SUNNY B-14 '92 R12(RHD)</t>
  </si>
  <si>
    <t>9200-0139-00</t>
  </si>
  <si>
    <t>LM-249</t>
  </si>
  <si>
    <t>MAZDA 626 CRONOS R134a RHD</t>
  </si>
  <si>
    <t>9200-0136-00</t>
  </si>
  <si>
    <t>LM-250</t>
  </si>
  <si>
    <t>NISSAN SUNNY B-14 '92 R12(LHD)</t>
  </si>
  <si>
    <t>9200-0140-00</t>
  </si>
  <si>
    <t>LM-251</t>
  </si>
  <si>
    <t>MAZDA 626 CRONOS R12 RHD.</t>
  </si>
  <si>
    <t>9200-0137-00</t>
  </si>
  <si>
    <t>LM-252</t>
  </si>
  <si>
    <t>NISSAN SUNNY B-14 '96-00 R134a RHD.</t>
  </si>
  <si>
    <t>9400-0017-00</t>
  </si>
  <si>
    <t>LM-253</t>
  </si>
  <si>
    <t>TOYOTA HARRIER /LEXUS RX-300 '2001 LHD&amp;RHD</t>
  </si>
  <si>
    <t>9200-0138-00</t>
  </si>
  <si>
    <t>LM-254</t>
  </si>
  <si>
    <t>NISSAN SUNNY B-14 '92-00 R134a LHD.</t>
  </si>
  <si>
    <t>9200-0122-00</t>
  </si>
  <si>
    <t>LM-255</t>
  </si>
  <si>
    <t>KIA CAREN I</t>
  </si>
  <si>
    <t>9200-0141-00</t>
  </si>
  <si>
    <t>LM-256</t>
  </si>
  <si>
    <t>NISSANTERRANO"II R134a RHD.</t>
  </si>
  <si>
    <t>9200-0142-00</t>
  </si>
  <si>
    <t>LM-257</t>
  </si>
  <si>
    <t>VOLVO 850 SPRING LOCK LHD.</t>
  </si>
  <si>
    <t>9200-0143-00</t>
  </si>
  <si>
    <t>LM-258</t>
  </si>
  <si>
    <t>VOLVO 850 TURBO RHD.</t>
  </si>
  <si>
    <t>9200-0144-00</t>
  </si>
  <si>
    <t>LM-259</t>
  </si>
  <si>
    <t>SSANYONG MUSSO RHD. R134a</t>
  </si>
  <si>
    <t>9300-0102-00</t>
  </si>
  <si>
    <t>LM-260</t>
  </si>
  <si>
    <t>427652 - 201  ลูกค้า WOLFLE</t>
  </si>
  <si>
    <t>9200-0147-00</t>
  </si>
  <si>
    <t>LM-261</t>
  </si>
  <si>
    <t>MAZ.929 YR 92 R-12 RHD.V6</t>
  </si>
  <si>
    <t>9200-0148-00</t>
  </si>
  <si>
    <t>LM-262</t>
  </si>
  <si>
    <t>MAZ.929 " 93 YR R134a LHD.</t>
  </si>
  <si>
    <t>9200-0149-00</t>
  </si>
  <si>
    <t>LM-263</t>
  </si>
  <si>
    <t>MAZ.929 " 93 YR R134a RHD.</t>
  </si>
  <si>
    <t>9200-0150-00</t>
  </si>
  <si>
    <t>LM-264</t>
  </si>
  <si>
    <t>MAZ.929 YR 92(LHD) V6 3000</t>
  </si>
  <si>
    <t>9300-0103-00</t>
  </si>
  <si>
    <t>LM-265</t>
  </si>
  <si>
    <t>OPEL CORSA 1.4 94-96 LHD.</t>
  </si>
  <si>
    <t>9200-0145-00</t>
  </si>
  <si>
    <t>LM-266</t>
  </si>
  <si>
    <t>TOYOTA LANDCRUISER VX-100</t>
  </si>
  <si>
    <t>9200-0146-00</t>
  </si>
  <si>
    <t>LM-267</t>
  </si>
  <si>
    <t>HYUNDAI STAREX LHD. R12</t>
  </si>
  <si>
    <t>9200-0208-00</t>
  </si>
  <si>
    <t>LM-268</t>
  </si>
  <si>
    <t>ALRAAD ONE (A)</t>
  </si>
  <si>
    <t>9400-0018-00</t>
  </si>
  <si>
    <t>LM-269</t>
  </si>
  <si>
    <t>HONDA STREAM  RHD.</t>
  </si>
  <si>
    <t>9200-0152-00</t>
  </si>
  <si>
    <t>LM-270</t>
  </si>
  <si>
    <t>DAEWOO MATIZ  '02 (LHD)</t>
  </si>
  <si>
    <t>9200-0153-00</t>
  </si>
  <si>
    <t>LM-271</t>
  </si>
  <si>
    <t>DAEWOO MAGNUS  '00 (LHD)</t>
  </si>
  <si>
    <t>9200-0154-00</t>
  </si>
  <si>
    <t>LM-272</t>
  </si>
  <si>
    <t>HITACHI EXCAVATOR (LHD)</t>
  </si>
  <si>
    <t>9058-0001-00</t>
  </si>
  <si>
    <t>LM-273</t>
  </si>
  <si>
    <t>MAZDA  BT-50  (RHD)</t>
  </si>
  <si>
    <t>9058-0002-00</t>
  </si>
  <si>
    <t>LM-274</t>
  </si>
  <si>
    <t>MAZDA PICKUP</t>
  </si>
  <si>
    <t>9058-0003-00</t>
  </si>
  <si>
    <t>LM-275</t>
  </si>
  <si>
    <t>ISUZU PICKUP (LHD)</t>
  </si>
  <si>
    <t>9200-0155-00</t>
  </si>
  <si>
    <t>LM-276</t>
  </si>
  <si>
    <t>NISSAN PICKUP (ALRAS)</t>
  </si>
  <si>
    <t>9200-0156-00</t>
  </si>
  <si>
    <t>LM-277</t>
  </si>
  <si>
    <t>ALRAS UNIVERSAL</t>
  </si>
  <si>
    <t>9200-0157-00</t>
  </si>
  <si>
    <t>LM-278</t>
  </si>
  <si>
    <t>NISSAN UP W/PIPE (RHD.)</t>
  </si>
  <si>
    <t>9058-0004-00</t>
  </si>
  <si>
    <t>LM-279</t>
  </si>
  <si>
    <t>HINO DUTRO (RHD.)</t>
  </si>
  <si>
    <t>9058-0005-00</t>
  </si>
  <si>
    <t>LM-280</t>
  </si>
  <si>
    <t>NISSAN FRONTIER (RHD.)</t>
  </si>
  <si>
    <t>9058-0006-00</t>
  </si>
  <si>
    <t>LM-281</t>
  </si>
  <si>
    <t>ISUZU D-MAX GOLD (RHD.)</t>
  </si>
  <si>
    <t>9058-0007-00</t>
  </si>
  <si>
    <t>LM-282</t>
  </si>
  <si>
    <t>NISSAN URVAN (LHD.)</t>
  </si>
  <si>
    <t>9058-0008-00</t>
  </si>
  <si>
    <t>LM-283</t>
  </si>
  <si>
    <t>HYUNDAI MATRIX</t>
  </si>
  <si>
    <t>9058-0010-00</t>
  </si>
  <si>
    <t>LM-284</t>
  </si>
  <si>
    <t>HYUNDAI GETZ 1.3/1.6 LHD.</t>
  </si>
  <si>
    <t>9058-0011-00</t>
  </si>
  <si>
    <t>LM-285</t>
  </si>
  <si>
    <t>KIA EUROSTAR 04 1.1L LHD.</t>
  </si>
  <si>
    <t>9058-0012-00</t>
  </si>
  <si>
    <t>LM-286</t>
  </si>
  <si>
    <t>HYUNDAI ELANTRA 02  LHD.</t>
  </si>
  <si>
    <t>9058-0013-00</t>
  </si>
  <si>
    <t>LM-287</t>
  </si>
  <si>
    <t>PROTO  WAJA R134a (RHD)</t>
  </si>
  <si>
    <t>9400-0039-00</t>
  </si>
  <si>
    <t>LM-288</t>
  </si>
  <si>
    <t>9200-0158-00</t>
  </si>
  <si>
    <t>LM-289</t>
  </si>
  <si>
    <t>TOYOTA PRADO  (RHD.)</t>
  </si>
  <si>
    <t>9058-0006-xx</t>
  </si>
  <si>
    <t>LM-28x</t>
  </si>
  <si>
    <t>9058-0009-00</t>
  </si>
  <si>
    <t>LM-290</t>
  </si>
  <si>
    <t>ISUZU D-MAX  (LHD.)</t>
  </si>
  <si>
    <t>9200-0159-00</t>
  </si>
  <si>
    <t>LM-291</t>
  </si>
  <si>
    <t>CHEVROLET AVEO (RHD.)</t>
  </si>
  <si>
    <t>9200-0160-00</t>
  </si>
  <si>
    <t>LM-292</t>
  </si>
  <si>
    <t>ISUZU TRUCK 321 (RHD)</t>
  </si>
  <si>
    <t>9200-0161-00</t>
  </si>
  <si>
    <t>LM-293</t>
  </si>
  <si>
    <t>NISSAN BLUEBIRD  '94</t>
  </si>
  <si>
    <t>9066-0001-00</t>
  </si>
  <si>
    <t>LM-294</t>
  </si>
  <si>
    <t>TOY.CORONA 2,000cc.ST 171 '87(RHD)</t>
  </si>
  <si>
    <t>9200-0163-00</t>
  </si>
  <si>
    <t>LM-295</t>
  </si>
  <si>
    <t>ISU.TRUCK 321 W.VALVE,PIPE RHD.</t>
  </si>
  <si>
    <t>9200-0164-00</t>
  </si>
  <si>
    <t>LM-296</t>
  </si>
  <si>
    <t>ISUZU TRUCK 393 CXZ (RHD)</t>
  </si>
  <si>
    <t>9200-0165-00</t>
  </si>
  <si>
    <t>LM-297</t>
  </si>
  <si>
    <t>ISU.TRUCK 393 W.VALVE RHD</t>
  </si>
  <si>
    <t>9300-0105-00</t>
  </si>
  <si>
    <t>LM-298</t>
  </si>
  <si>
    <t>MAZDA 323  '01 (LHD.)</t>
  </si>
  <si>
    <t>9300-0106-00</t>
  </si>
  <si>
    <t>LM-299</t>
  </si>
  <si>
    <t>MAZDA 626 '98 (LHD.)</t>
  </si>
  <si>
    <t>9200-0166-00</t>
  </si>
  <si>
    <t>LM-300</t>
  </si>
  <si>
    <t>NISSAN CEFIRO '97-00 RHD.</t>
  </si>
  <si>
    <t>9200-0167-00</t>
  </si>
  <si>
    <t>LM-301</t>
  </si>
  <si>
    <t>NISSAN CEFIRO 97-00 (LHD)</t>
  </si>
  <si>
    <t>9200-0209-00</t>
  </si>
  <si>
    <t>LM-302</t>
  </si>
  <si>
    <t>ALRAAD ONE (B)</t>
  </si>
  <si>
    <t>9200-0169-00</t>
  </si>
  <si>
    <t>LM-303</t>
  </si>
  <si>
    <t>NISSAN PARTFINDER (LHD.)</t>
  </si>
  <si>
    <t>9058-0014-00</t>
  </si>
  <si>
    <t>LM-304</t>
  </si>
  <si>
    <t>NISSAN URVAN ORG. (LHD.)</t>
  </si>
  <si>
    <t>9200-0170-00</t>
  </si>
  <si>
    <t>LM-305</t>
  </si>
  <si>
    <t>BENZ  ML320 (W-163) RHD.</t>
  </si>
  <si>
    <t>9058-0015-00</t>
  </si>
  <si>
    <t>LM-306</t>
  </si>
  <si>
    <t>HYUNDAI MATRIX '03 LHD.</t>
  </si>
  <si>
    <t>9200-0271-00</t>
  </si>
  <si>
    <t>LM-307</t>
  </si>
  <si>
    <t>MIT.PAJERO R134a RHD&amp;LHD</t>
  </si>
  <si>
    <t>9200-0171-00</t>
  </si>
  <si>
    <t>LM-308</t>
  </si>
  <si>
    <t>SUBARU LEGACY 88-89 R-12 (RHD)</t>
  </si>
  <si>
    <t>9200-0173-00</t>
  </si>
  <si>
    <t>LM-309</t>
  </si>
  <si>
    <t>NAZA RIA (REAR)</t>
  </si>
  <si>
    <t>9200-0174-00</t>
  </si>
  <si>
    <t>LM-310</t>
  </si>
  <si>
    <t>LAND ROVER R134a RHD.</t>
  </si>
  <si>
    <t>9200-0175-00</t>
  </si>
  <si>
    <t>LM-311</t>
  </si>
  <si>
    <t>TOYOTA PRADO R134a LHD.</t>
  </si>
  <si>
    <t>9200-0176-00</t>
  </si>
  <si>
    <t>LM-312</t>
  </si>
  <si>
    <t>SUZUKI JEEP VITARA '94 R12 RHD.</t>
  </si>
  <si>
    <t>9200-0177-00</t>
  </si>
  <si>
    <t>LM-313</t>
  </si>
  <si>
    <t>SUZUKI JEEP VITARA '94 R134a RHD.</t>
  </si>
  <si>
    <t>9200-0178-00</t>
  </si>
  <si>
    <t>LM-314</t>
  </si>
  <si>
    <t>SUZUKI JEEP VITARA  '94 R134a LHD.</t>
  </si>
  <si>
    <t>9200-0283-00</t>
  </si>
  <si>
    <t>LM-315</t>
  </si>
  <si>
    <t>MIT.KUDA  R134a (RHD)</t>
  </si>
  <si>
    <t>9200-0179-00</t>
  </si>
  <si>
    <t>LM-316</t>
  </si>
  <si>
    <t>DAIHATSU APPLAUSE R134a RHD</t>
  </si>
  <si>
    <t>9200-0272-00</t>
  </si>
  <si>
    <t>LM-317</t>
  </si>
  <si>
    <t xml:space="preserve">MIT. PAJERO R12 (LHD) </t>
  </si>
  <si>
    <t>9058-0026-00</t>
  </si>
  <si>
    <t>LM-318</t>
  </si>
  <si>
    <t>9058-0027-00</t>
  </si>
  <si>
    <t>LM-319</t>
  </si>
  <si>
    <t>HONDA ACCORD'90-92 R12 RHD</t>
  </si>
  <si>
    <t>9058-0028-00</t>
  </si>
  <si>
    <t>LM-320</t>
  </si>
  <si>
    <t>9066-0002-00</t>
  </si>
  <si>
    <t>LM-321</t>
  </si>
  <si>
    <t>TOYOTA COROLLA  '92  R134a</t>
  </si>
  <si>
    <t>9200-0180-00</t>
  </si>
  <si>
    <t>LM-322</t>
  </si>
  <si>
    <t>DAIHATSU APPLAUSE R-12 RHD</t>
  </si>
  <si>
    <t>9058-0029-00</t>
  </si>
  <si>
    <t>LM-323</t>
  </si>
  <si>
    <t>TOYOTA MR2 R12 (RHD.)</t>
  </si>
  <si>
    <t>9058-0030-00</t>
  </si>
  <si>
    <t>LM-324</t>
  </si>
  <si>
    <t>ISUZU INVADER 134a (RHD.)</t>
  </si>
  <si>
    <t>9058-0031-00</t>
  </si>
  <si>
    <t>LM-325</t>
  </si>
  <si>
    <t>9058-0032-00</t>
  </si>
  <si>
    <t>LM-326</t>
  </si>
  <si>
    <t>TOYOTA ESTIMA R-12 (RHD.)</t>
  </si>
  <si>
    <t>9058-0033-00</t>
  </si>
  <si>
    <t>LM-327</t>
  </si>
  <si>
    <t>TOYOTA CRESSIDA R-12 RHD.</t>
  </si>
  <si>
    <t>9058-0034-00</t>
  </si>
  <si>
    <t>LM-328</t>
  </si>
  <si>
    <t>ISUZU TROOPER (RHD.)</t>
  </si>
  <si>
    <t>9066-0003-00</t>
  </si>
  <si>
    <t>LM-329</t>
  </si>
  <si>
    <t>TOYOTA STARLET EP-80 R134a RHD ยกเลิก</t>
  </si>
  <si>
    <t>9600-0005-00</t>
  </si>
  <si>
    <t>LM-330</t>
  </si>
  <si>
    <t>TOY.CORONA ST-190 R134a RHD&amp;LHD</t>
  </si>
  <si>
    <t>9600-0006-00</t>
  </si>
  <si>
    <t>LM-331</t>
  </si>
  <si>
    <t>9200-0181-00</t>
  </si>
  <si>
    <t>LM-332</t>
  </si>
  <si>
    <t>TOYOTA CROWN MS 132 R134a RHD.</t>
  </si>
  <si>
    <t>9600-0007-00</t>
  </si>
  <si>
    <t>LM-333</t>
  </si>
  <si>
    <t>TOYOTA GRAYIA'97 R134a RHD.</t>
  </si>
  <si>
    <t>9200-0182-00</t>
  </si>
  <si>
    <t>LM-334</t>
  </si>
  <si>
    <t>TOYOTA CROWN MS 132 R-12 RHD.</t>
  </si>
  <si>
    <t>9200-0183-00</t>
  </si>
  <si>
    <t>LM-335</t>
  </si>
  <si>
    <t>TOYOTA CROWN MS 132 R134a LHD.</t>
  </si>
  <si>
    <t>9200-0184-00</t>
  </si>
  <si>
    <t>LM-336</t>
  </si>
  <si>
    <t>TOYOTA CROWN MS 132 R-12 LHD.</t>
  </si>
  <si>
    <t>9066-0004-00</t>
  </si>
  <si>
    <t>LM-337</t>
  </si>
  <si>
    <t>TOYOTA COROLLA  '92  R12</t>
  </si>
  <si>
    <t>9066-0005-00</t>
  </si>
  <si>
    <t>LM-338</t>
  </si>
  <si>
    <t>TOY. COROLLA'92 R134a LHD.</t>
  </si>
  <si>
    <t>9066-0006-00</t>
  </si>
  <si>
    <t>LM-339</t>
  </si>
  <si>
    <t>TOYOTA COROLLA '92 R-12</t>
  </si>
  <si>
    <t>9058-0035-00</t>
  </si>
  <si>
    <t>LM-340</t>
  </si>
  <si>
    <t>NISSAN FRONTIER LHD.</t>
  </si>
  <si>
    <t>9058-0036-00</t>
  </si>
  <si>
    <t>LM-341</t>
  </si>
  <si>
    <t>PERODUA KENARI RHD.</t>
  </si>
  <si>
    <t>9200-0185-00</t>
  </si>
  <si>
    <t>LM-342</t>
  </si>
  <si>
    <t>HYUNDAI ATOZ 1.0 '98 RHD.</t>
  </si>
  <si>
    <t>9200-0186-00</t>
  </si>
  <si>
    <t>LM-343</t>
  </si>
  <si>
    <t>UNIVERSAL ONE</t>
  </si>
  <si>
    <t>9600-0008-00</t>
  </si>
  <si>
    <t>LM-344</t>
  </si>
  <si>
    <t>TOYOTA CAMRY R12 RHD&amp;LHD.</t>
  </si>
  <si>
    <t>9200-0187-00</t>
  </si>
  <si>
    <t>LM-345</t>
  </si>
  <si>
    <t>ISUZU TROOPER M/F LHD.</t>
  </si>
  <si>
    <t>9066-0007-00</t>
  </si>
  <si>
    <t>LM-346</t>
  </si>
  <si>
    <t>TOYOTA CORONA 1.6 LHD.R12</t>
  </si>
  <si>
    <t>9066-0008-00</t>
  </si>
  <si>
    <t>LM-347</t>
  </si>
  <si>
    <t>TOYOTA CORONA R134a LHD.</t>
  </si>
  <si>
    <t>9058-0038-00</t>
  </si>
  <si>
    <t>LM-348</t>
  </si>
  <si>
    <t>ISUZU  ELF  RHD.</t>
  </si>
  <si>
    <t>9900-0006-00</t>
  </si>
  <si>
    <t>LM-349</t>
  </si>
  <si>
    <t>Nissan Navara R134a</t>
  </si>
  <si>
    <t>9058-0037-00</t>
  </si>
  <si>
    <t>LM-350</t>
  </si>
  <si>
    <t>ISUZU D-MAX SLIM 2003 RHD.</t>
  </si>
  <si>
    <t>9300-0107-00</t>
  </si>
  <si>
    <t>LM-351</t>
  </si>
  <si>
    <t>ROVER MGF '96-'01 LHD.</t>
  </si>
  <si>
    <t>9300-0108-00</t>
  </si>
  <si>
    <t>LM-352</t>
  </si>
  <si>
    <t>OPEL VECTRA '96-'98 RHD.</t>
  </si>
  <si>
    <t>9300-0109-00</t>
  </si>
  <si>
    <t>LM-353</t>
  </si>
  <si>
    <t>PEUGEOT405 '99-'00 LHD.</t>
  </si>
  <si>
    <t>9300-0110-00</t>
  </si>
  <si>
    <t>LM-354</t>
  </si>
  <si>
    <t>OPEL VECTRA '96-'98 LHD.</t>
  </si>
  <si>
    <t>9300-0111-00</t>
  </si>
  <si>
    <t>LM-355</t>
  </si>
  <si>
    <t>RENAULT MEGANE  LHD.</t>
  </si>
  <si>
    <t>9300-0112-00</t>
  </si>
  <si>
    <t>LM-356</t>
  </si>
  <si>
    <t>RENAULT CLIO '97-99 (LHD)</t>
  </si>
  <si>
    <t>9058-0039-00</t>
  </si>
  <si>
    <t>LM-357</t>
  </si>
  <si>
    <t>OPEL CORSA '2000</t>
  </si>
  <si>
    <t>9200-0190-00</t>
  </si>
  <si>
    <t>LM-358</t>
  </si>
  <si>
    <t>MIT.CANTER LHDW.VALVE,PIPE</t>
  </si>
  <si>
    <t xml:space="preserve">9200-0191-00 </t>
  </si>
  <si>
    <t>LM-359</t>
  </si>
  <si>
    <t>FUSO GREAT RHD.</t>
  </si>
  <si>
    <t>9058-0040-00</t>
  </si>
  <si>
    <t>LM-360</t>
  </si>
  <si>
    <t>REXTON REAR RHD.</t>
  </si>
  <si>
    <t>9200-0192-00</t>
  </si>
  <si>
    <t>LM-361</t>
  </si>
  <si>
    <t>ISUZU TRUCK 393 EURO(M22) RHD.</t>
  </si>
  <si>
    <t>9200-0193-00</t>
  </si>
  <si>
    <t>LM-362</t>
  </si>
  <si>
    <t>SSANYONG REXTON (FRONT) (RHD)</t>
  </si>
  <si>
    <t>9200-0194-00</t>
  </si>
  <si>
    <t>LM-363</t>
  </si>
  <si>
    <t>SUZUKI SWIFT R-12 '1990 RHD</t>
  </si>
  <si>
    <t>9200-0195-00</t>
  </si>
  <si>
    <t>LM-364</t>
  </si>
  <si>
    <t>SUZUKI SWIFT'94 134a RHD.</t>
  </si>
  <si>
    <t>9200-0196-00</t>
  </si>
  <si>
    <t>LM-365</t>
  </si>
  <si>
    <t>SUZUKI SWIFT'90 R-12 LHD.</t>
  </si>
  <si>
    <t>9200-0197-00</t>
  </si>
  <si>
    <t>LM-366</t>
  </si>
  <si>
    <t>SUZUKI SWIFT'94 134a LHD</t>
  </si>
  <si>
    <t>9058-0041-00</t>
  </si>
  <si>
    <t>LM-367</t>
  </si>
  <si>
    <t>NISSAN PRIMERA '02 LHD.</t>
  </si>
  <si>
    <t xml:space="preserve">9200-0198-00 </t>
  </si>
  <si>
    <t>LM-368</t>
  </si>
  <si>
    <t>Hyundai Elantra '92</t>
  </si>
  <si>
    <t>9600-0009-00</t>
  </si>
  <si>
    <t>LM-369</t>
  </si>
  <si>
    <t>TOY.LANDCRUISER'99 FRONT RHD.</t>
  </si>
  <si>
    <t>9200-0199-00</t>
  </si>
  <si>
    <t>LM-370</t>
  </si>
  <si>
    <t>DAIHASU APPLAUSE R12 LHD.</t>
  </si>
  <si>
    <t>9200-0200-00</t>
  </si>
  <si>
    <t>LM-371</t>
  </si>
  <si>
    <t>DAIHASU APPLAUSE 134a RHD</t>
  </si>
  <si>
    <t>9058-0042-00</t>
  </si>
  <si>
    <t>LM-372</t>
  </si>
  <si>
    <t>TOYOTA AVANZA '2004 RHD.</t>
  </si>
  <si>
    <t>9300-0113-00</t>
  </si>
  <si>
    <t>LM-373</t>
  </si>
  <si>
    <t>RENAULT MEGANE'95-99(LHD)</t>
  </si>
  <si>
    <t>9600-0010-00</t>
  </si>
  <si>
    <t>LM-374</t>
  </si>
  <si>
    <t>TOY.LANDCRUISER'99 FRONT LHD.</t>
  </si>
  <si>
    <t>9200-0201-00</t>
  </si>
  <si>
    <t>LM-375</t>
  </si>
  <si>
    <t>NISSAN CEFIRO '94 RHD.</t>
  </si>
  <si>
    <t>9200-0202-00</t>
  </si>
  <si>
    <t>LM-376</t>
  </si>
  <si>
    <t>NISSAN CEFIRO '94 LHD</t>
  </si>
  <si>
    <t>9058-0043-00</t>
  </si>
  <si>
    <t>LM-377</t>
  </si>
  <si>
    <t>ISUZU TROOPER '2000 LHD.</t>
  </si>
  <si>
    <t>9300-0114-00</t>
  </si>
  <si>
    <t>LM-378</t>
  </si>
  <si>
    <t>ISUZU MTB TRUCK RHD.</t>
  </si>
  <si>
    <t>9058-0044-00</t>
  </si>
  <si>
    <t>LM-379</t>
  </si>
  <si>
    <t>ALRAAD ONE (C)</t>
  </si>
  <si>
    <t>9058-0045-00</t>
  </si>
  <si>
    <t>LM-380</t>
  </si>
  <si>
    <t>ALRAAD ONE (D)</t>
  </si>
  <si>
    <t>9300-0115-00</t>
  </si>
  <si>
    <t>LM-382</t>
  </si>
  <si>
    <t>BENZ SPRINTER BELIAL LHD.</t>
  </si>
  <si>
    <t>9058-0046-00</t>
  </si>
  <si>
    <t>LM-383</t>
  </si>
  <si>
    <t>NISSAN URVAN 3.0 RHD.</t>
  </si>
  <si>
    <t>9200-0211-00</t>
  </si>
  <si>
    <t>LM-384</t>
  </si>
  <si>
    <t>NISSAN UD  LHD.</t>
  </si>
  <si>
    <t>LM-385</t>
  </si>
  <si>
    <t>9200-0206-00</t>
  </si>
  <si>
    <t>LM-386</t>
  </si>
  <si>
    <t>SUZUKI VITARA 134a LHD.</t>
  </si>
  <si>
    <t>9200-0212-00</t>
  </si>
  <si>
    <t>LM-387</t>
  </si>
  <si>
    <t>ALRAAD ONE (E)</t>
  </si>
  <si>
    <t>9200-0213-00</t>
  </si>
  <si>
    <t>LM-388</t>
  </si>
  <si>
    <t>NISSAN BLUE BIRD'94 LHD.</t>
  </si>
  <si>
    <t>9200-0214-00</t>
  </si>
  <si>
    <t>LM-389</t>
  </si>
  <si>
    <t>KIA SEPHIA RHD.</t>
  </si>
  <si>
    <t>9300-0116-00</t>
  </si>
  <si>
    <t>LM-390</t>
  </si>
  <si>
    <t>ALFA ROMEO 156 RHD.</t>
  </si>
  <si>
    <t>9200-0215-00</t>
  </si>
  <si>
    <t>LM-391</t>
  </si>
  <si>
    <t>KIA PREGIO LHD.</t>
  </si>
  <si>
    <t>9058-0050-00</t>
  </si>
  <si>
    <t>LM-392</t>
  </si>
  <si>
    <t>SMART '98 LHD.</t>
  </si>
  <si>
    <t>9058-0049-00</t>
  </si>
  <si>
    <t>LM-393</t>
  </si>
  <si>
    <t>ISUZU TROOPER '98-99 LHD.</t>
  </si>
  <si>
    <t>9200-0216-00</t>
  </si>
  <si>
    <t>LM-394</t>
  </si>
  <si>
    <t>HYUNDAI EXCEL'92 LHD.</t>
  </si>
  <si>
    <t>9200-0217-00</t>
  </si>
  <si>
    <t>LM-395</t>
  </si>
  <si>
    <t>HYUNDAI EXCEL'93 LHD.</t>
  </si>
  <si>
    <t>9200-0218-00</t>
  </si>
  <si>
    <t>LM-396</t>
  </si>
  <si>
    <t>KIA KAON '04 (LHD.)</t>
  </si>
  <si>
    <t>9400-0024-00</t>
  </si>
  <si>
    <t>LM-397</t>
  </si>
  <si>
    <t>PEUGEOT 807 '03-'07  LHD.</t>
  </si>
  <si>
    <t>9400-0025-00</t>
  </si>
  <si>
    <t>LM-398</t>
  </si>
  <si>
    <t>HONDA ODYSSEY  RHD.</t>
  </si>
  <si>
    <t>9058-0051-00</t>
  </si>
  <si>
    <t>LM-399</t>
  </si>
  <si>
    <t>Volkswagen Golf '05</t>
  </si>
  <si>
    <t>9200-0219-00</t>
  </si>
  <si>
    <t>LM-400</t>
  </si>
  <si>
    <t>UNIVERSEL  O-RING</t>
  </si>
  <si>
    <t>9300-0134-00</t>
  </si>
  <si>
    <t>LM-401</t>
  </si>
  <si>
    <t>DODGE CHRYSLER CL 300  '08 (LHD.)</t>
  </si>
  <si>
    <t>9058-0085-00</t>
  </si>
  <si>
    <t>LM-402</t>
  </si>
  <si>
    <t>JEEP COMMANDER 06-10 (LHD)</t>
  </si>
  <si>
    <t>9058-0052-00</t>
  </si>
  <si>
    <t>LM-403</t>
  </si>
  <si>
    <t>ISUZU ELF R134a  RHD.</t>
  </si>
  <si>
    <t>9058-0053-00</t>
  </si>
  <si>
    <t>LM-404</t>
  </si>
  <si>
    <t>TOYOTA ESTIMA R-12 LHD.</t>
  </si>
  <si>
    <t>9200-0220-00</t>
  </si>
  <si>
    <t>LM-405</t>
  </si>
  <si>
    <t>DAIHATSU APPLAUSE 134a RHD</t>
  </si>
  <si>
    <t>9066-0009-00</t>
  </si>
  <si>
    <t>LM-406</t>
  </si>
  <si>
    <t>TOY. STARLET EP80 R-12 RHD</t>
  </si>
  <si>
    <t>9066-0010-00</t>
  </si>
  <si>
    <t>LM-407</t>
  </si>
  <si>
    <t>DAIHATSU MIRA R-12  RHD.</t>
  </si>
  <si>
    <t>LM-408</t>
  </si>
  <si>
    <t>9200-0221-00</t>
  </si>
  <si>
    <t>LM-409</t>
  </si>
  <si>
    <t>HYUNDAI  ACCENT R-12 RHD.</t>
  </si>
  <si>
    <t>9200-0222-00</t>
  </si>
  <si>
    <t>LM-410</t>
  </si>
  <si>
    <t>HYUNDAI  ACCENT R-12 LHD.</t>
  </si>
  <si>
    <t>9200-0223-00</t>
  </si>
  <si>
    <t>LM-411</t>
  </si>
  <si>
    <t>FORD TX5"94 134a LHD</t>
  </si>
  <si>
    <t>9600-0011-00</t>
  </si>
  <si>
    <t>LM-413</t>
  </si>
  <si>
    <t>TOY.LANDCRUISER FJ80 R134a LHD&amp;RHD</t>
  </si>
  <si>
    <t>9600-0012-00</t>
  </si>
  <si>
    <t>LM-414</t>
  </si>
  <si>
    <t>TOY.LAND CRUISER FJ80 R12 RHD.</t>
  </si>
  <si>
    <t>9600-0013-00</t>
  </si>
  <si>
    <t>LM-415</t>
  </si>
  <si>
    <t>TOY.LANDCRUISER FJ80 R-12 LHD.</t>
  </si>
  <si>
    <t>9200-0225-00</t>
  </si>
  <si>
    <t>LM-416</t>
  </si>
  <si>
    <t>FORD LIATA  LHD.</t>
  </si>
  <si>
    <t>9200-0226-00</t>
  </si>
  <si>
    <t>LM-417</t>
  </si>
  <si>
    <t>ISUZU PICKUP 2003(D-MAX)LHD.</t>
  </si>
  <si>
    <t>9058-0054-00</t>
  </si>
  <si>
    <t>LM-418</t>
  </si>
  <si>
    <t>NISSAN  BLUEBIRD U-12  '84-'95 RHD.</t>
  </si>
  <si>
    <t>9058-0055-00</t>
  </si>
  <si>
    <t>LM-419</t>
  </si>
  <si>
    <t>NISSAN  BLUEBIRD U-12  '84-'95 LHD.</t>
  </si>
  <si>
    <t>9058-0056-00</t>
  </si>
  <si>
    <t>LM-420</t>
  </si>
  <si>
    <t>NISSAN CEFIRO RHD.</t>
  </si>
  <si>
    <t>9058-0057-00</t>
  </si>
  <si>
    <t>LM-421</t>
  </si>
  <si>
    <t>NISSAN 200SX R134a RHD.</t>
  </si>
  <si>
    <t>9058-0058-00</t>
  </si>
  <si>
    <t>LM-422</t>
  </si>
  <si>
    <t>NIS. CEDRIC Y31 134a RHD.</t>
  </si>
  <si>
    <t>9058-0059-00</t>
  </si>
  <si>
    <t>LM-423</t>
  </si>
  <si>
    <t>NIS. CEDRIC Y31 134a LHD.</t>
  </si>
  <si>
    <t>9300-0117-00</t>
  </si>
  <si>
    <t>LM-424</t>
  </si>
  <si>
    <t>BENZ A-140 A-CLASS LHD.</t>
  </si>
  <si>
    <t>9900-0007-00</t>
  </si>
  <si>
    <t>LM-425</t>
  </si>
  <si>
    <t>NISSAN TEANA '2004 (LHD)</t>
  </si>
  <si>
    <t>9200-0227-00</t>
  </si>
  <si>
    <t>LM-426</t>
  </si>
  <si>
    <t>DAEWOO LANOS RHD.</t>
  </si>
  <si>
    <t>9058-0060-00</t>
  </si>
  <si>
    <t>LM-427</t>
  </si>
  <si>
    <t>DAI SIRION '98-00 LHD.</t>
  </si>
  <si>
    <t>9058-0061-00</t>
  </si>
  <si>
    <t>LM-428</t>
  </si>
  <si>
    <t>DONGFUNG '375 LHD.</t>
  </si>
  <si>
    <t>9200-0228-00</t>
  </si>
  <si>
    <t>LM-429</t>
  </si>
  <si>
    <t>MIT. LANCER'94 4LXI R-12 LHD.</t>
  </si>
  <si>
    <t>9200-0229-00</t>
  </si>
  <si>
    <t>LM-430</t>
  </si>
  <si>
    <t>MIT. CALANT ULTIMA 93-94 R-12 LHD.</t>
  </si>
  <si>
    <t>9200-0230-00</t>
  </si>
  <si>
    <t>LM-431</t>
  </si>
  <si>
    <t>MAZDA PROTEGE 96-98 LHD.</t>
  </si>
  <si>
    <t>9300-0119-00</t>
  </si>
  <si>
    <t>LM-432</t>
  </si>
  <si>
    <t>TOY.HILUX SPORTRIDER(REAR)</t>
  </si>
  <si>
    <t>9200-0231-00</t>
  </si>
  <si>
    <t>LM-433</t>
  </si>
  <si>
    <t>MAZDA DEMIO '96 RHD.</t>
  </si>
  <si>
    <t>9200-0232-00</t>
  </si>
  <si>
    <t>LM-434</t>
  </si>
  <si>
    <t>MAZDA 626 '88-'91 RHD.</t>
  </si>
  <si>
    <t>9200-0235-00</t>
  </si>
  <si>
    <t>LM-435</t>
  </si>
  <si>
    <t>DOGE VEN LHD.</t>
  </si>
  <si>
    <t>9200-0234-00</t>
  </si>
  <si>
    <t>LM-436</t>
  </si>
  <si>
    <t>FORD TOPAZ LHD.</t>
  </si>
  <si>
    <t>9066-0012-00</t>
  </si>
  <si>
    <t>LM-437</t>
  </si>
  <si>
    <t>HONDA ODYSSEY 134a RHD.</t>
  </si>
  <si>
    <t>9200-0233-00</t>
  </si>
  <si>
    <t>LM-438</t>
  </si>
  <si>
    <t>TOYOTA LUCIDA 134a RHD.</t>
  </si>
  <si>
    <t>9066-0013-00</t>
  </si>
  <si>
    <t>LM-439</t>
  </si>
  <si>
    <t>TOYOTA CELICA'97 134a RHD.</t>
  </si>
  <si>
    <t>9066-0014-00</t>
  </si>
  <si>
    <t>LM-440</t>
  </si>
  <si>
    <t>HONDA ODYSSEY 134a LHD.</t>
  </si>
  <si>
    <t>9600-0014-00</t>
  </si>
  <si>
    <t>LM-441</t>
  </si>
  <si>
    <t>MIT.SPACE WAGON R-12 RHD.</t>
  </si>
  <si>
    <t>9600-0015-00</t>
  </si>
  <si>
    <t>LM-442</t>
  </si>
  <si>
    <t>MIT.SPACE WAGON 134a R&amp;L</t>
  </si>
  <si>
    <t>9600-0016-00</t>
  </si>
  <si>
    <t>LM-443</t>
  </si>
  <si>
    <t>MIT.SPACE WAGON R-12 LHD.</t>
  </si>
  <si>
    <t>9200-0236-00</t>
  </si>
  <si>
    <t>LM-444</t>
  </si>
  <si>
    <t>AR MUNNA R-12 LHD.</t>
  </si>
  <si>
    <t>9200-0237-00</t>
  </si>
  <si>
    <t>LM-445</t>
  </si>
  <si>
    <t>HONDA LEGENT R-12 RHD.</t>
  </si>
  <si>
    <t>9200-0238-00</t>
  </si>
  <si>
    <t>LM-446</t>
  </si>
  <si>
    <t>SUZ.BALENO YBI 1300cc.LHD</t>
  </si>
  <si>
    <t>9200-0239-00</t>
  </si>
  <si>
    <t>LM-447</t>
  </si>
  <si>
    <t>AR MUNNA R-12 RHD.</t>
  </si>
  <si>
    <t>9900-0008-00</t>
  </si>
  <si>
    <t>LM-448</t>
  </si>
  <si>
    <t>TOYOTA RAV-4 (LHD)</t>
  </si>
  <si>
    <t>9200-0240-00</t>
  </si>
  <si>
    <t>LM-449</t>
  </si>
  <si>
    <t>MITSUBISHI CANTER RHD.</t>
  </si>
  <si>
    <t>9053-0001-00</t>
  </si>
  <si>
    <t>LM-450</t>
  </si>
  <si>
    <t>PROTON WAJA DENSO RHD.</t>
  </si>
  <si>
    <t>9053-0002-00</t>
  </si>
  <si>
    <t>LM-451</t>
  </si>
  <si>
    <t>OPEL CROSA '01 LHD.</t>
  </si>
  <si>
    <t>9053-0003-00</t>
  </si>
  <si>
    <t>LM-452</t>
  </si>
  <si>
    <t>PEUGEOT PARTNER'01 LHD.</t>
  </si>
  <si>
    <t>9300-0120-00</t>
  </si>
  <si>
    <t>LM-453</t>
  </si>
  <si>
    <t>RENAULT TWINGO LHD.</t>
  </si>
  <si>
    <t>9300-0122-00</t>
  </si>
  <si>
    <t>LM-454</t>
  </si>
  <si>
    <t>MAZDA 323 134a RHD.W,VALVE,PIPE</t>
  </si>
  <si>
    <t>9300-0123-00</t>
  </si>
  <si>
    <t>LM-455</t>
  </si>
  <si>
    <t>MAZDA 323 R-12 RHD.W,VALVE,PIPE</t>
  </si>
  <si>
    <t>9200-0241-00</t>
  </si>
  <si>
    <t>LM-456</t>
  </si>
  <si>
    <t>NISSAN TERRANO'99-'01 LHD.</t>
  </si>
  <si>
    <t>9200-0244-00</t>
  </si>
  <si>
    <t>LM-457</t>
  </si>
  <si>
    <t>FORD TX '5 '88 LHD.</t>
  </si>
  <si>
    <t>9300-0121-00</t>
  </si>
  <si>
    <t>LM-458</t>
  </si>
  <si>
    <t>MITSUBISHI DAIMANTE RHD.</t>
  </si>
  <si>
    <t>9200-0245-00</t>
  </si>
  <si>
    <t>LM-459</t>
  </si>
  <si>
    <t>MIT.EXCEED L400 RHD.FRONT</t>
  </si>
  <si>
    <t>9200-0243-00</t>
  </si>
  <si>
    <t>LM-460</t>
  </si>
  <si>
    <t>SUZUKI STEEM RHD.</t>
  </si>
  <si>
    <t>9200-0242-00</t>
  </si>
  <si>
    <t>LM-461</t>
  </si>
  <si>
    <t>Honda Civic '92</t>
  </si>
  <si>
    <t>9066-0015-00</t>
  </si>
  <si>
    <t>LM-462</t>
  </si>
  <si>
    <t>CHEVROLET LUMINA 134a LHD.</t>
  </si>
  <si>
    <t>9600-0017-00</t>
  </si>
  <si>
    <t>LM-463</t>
  </si>
  <si>
    <t>TOYOTA CAMRY '2001 LHD.</t>
  </si>
  <si>
    <t>9066-0016-00</t>
  </si>
  <si>
    <t>LM-464</t>
  </si>
  <si>
    <t>DAIHATSU HIJET 134a RHD.</t>
  </si>
  <si>
    <t>9200-0246-00</t>
  </si>
  <si>
    <t>LM-465</t>
  </si>
  <si>
    <t>CUSTOM 17 RHD.</t>
  </si>
  <si>
    <t>9053-0004-00</t>
  </si>
  <si>
    <t>LM-466</t>
  </si>
  <si>
    <t>ISUZU HI-LANDER (LHD)</t>
  </si>
  <si>
    <t>9200-0247-00</t>
  </si>
  <si>
    <t>LM-467</t>
  </si>
  <si>
    <t>HYUNDAI ACCENT LHD.</t>
  </si>
  <si>
    <t>9200-0248-00</t>
  </si>
  <si>
    <t>LM-468</t>
  </si>
  <si>
    <t>9200-0249-00</t>
  </si>
  <si>
    <t>LM-469</t>
  </si>
  <si>
    <t>9053-0005-00</t>
  </si>
  <si>
    <t>LM-470</t>
  </si>
  <si>
    <t>RENAULT LUGAN LHD.</t>
  </si>
  <si>
    <t>9200-0250-00</t>
  </si>
  <si>
    <t>LM-471</t>
  </si>
  <si>
    <t>TOY. COROLLA 1.6 (ETOLA 1.6) LHD.</t>
  </si>
  <si>
    <t>9200-0251-00</t>
  </si>
  <si>
    <t>LM-472</t>
  </si>
  <si>
    <t>MAZDA FAMILIA 323 '93 134a RHD.</t>
  </si>
  <si>
    <t>9200-0252-00</t>
  </si>
  <si>
    <t>LM-473</t>
  </si>
  <si>
    <t>MITSUBISHI GALANT '95 LHD.</t>
  </si>
  <si>
    <t>9200-0253-00</t>
  </si>
  <si>
    <t>LM-474</t>
  </si>
  <si>
    <t>NISSAN CEDRIC Y32 134a RHD.</t>
  </si>
  <si>
    <t>9200-0254-00</t>
  </si>
  <si>
    <t>LM-475</t>
  </si>
  <si>
    <t>NISSAN CEDRIC Y32 R-12 RHD.</t>
  </si>
  <si>
    <t>9200-0255-00</t>
  </si>
  <si>
    <t>LM-476</t>
  </si>
  <si>
    <t>FORD PROBE '93 LHD.</t>
  </si>
  <si>
    <t>9200-0256-00</t>
  </si>
  <si>
    <t>LM-477</t>
  </si>
  <si>
    <t>NISSAN MARCH LHD.</t>
  </si>
  <si>
    <t>9200-0257-00</t>
  </si>
  <si>
    <t>LM-478</t>
  </si>
  <si>
    <t>SUBARU IMPREZA LHD.</t>
  </si>
  <si>
    <t>9200-0258-00</t>
  </si>
  <si>
    <t>LM-479</t>
  </si>
  <si>
    <t>NISSAN CEFIRO/A33 '01 LHD</t>
  </si>
  <si>
    <t>9200-0259-00</t>
  </si>
  <si>
    <t>LM-480</t>
  </si>
  <si>
    <t>FORD FIESTA 98.00 LHD.</t>
  </si>
  <si>
    <t>9200-0260-00</t>
  </si>
  <si>
    <t>LM-481</t>
  </si>
  <si>
    <t>CHEVROLET AVEO LHD.</t>
  </si>
  <si>
    <t>9200-0261-00</t>
  </si>
  <si>
    <t>LM-482</t>
  </si>
  <si>
    <t>FORD FESTIVA LHD.</t>
  </si>
  <si>
    <t>9200-0262-00</t>
  </si>
  <si>
    <t>LM-483</t>
  </si>
  <si>
    <t>NISSAN ALTIMA 2.4 LHD.</t>
  </si>
  <si>
    <t>9200-0263-00</t>
  </si>
  <si>
    <t>LM-484</t>
  </si>
  <si>
    <t>FORD LYNX LHD.</t>
  </si>
  <si>
    <t>9300-0124-00</t>
  </si>
  <si>
    <t>LM-485</t>
  </si>
  <si>
    <t>ES362 TSH-D</t>
  </si>
  <si>
    <t>9058-0062-00</t>
  </si>
  <si>
    <t>LM-486</t>
  </si>
  <si>
    <t>MAZDA 121 RHD.</t>
  </si>
  <si>
    <t>9058-0063-00</t>
  </si>
  <si>
    <t>LM-487</t>
  </si>
  <si>
    <t>HYUNDAI SONATA '94 RHD.</t>
  </si>
  <si>
    <t>9053-0006-00</t>
  </si>
  <si>
    <t>LM-488</t>
  </si>
  <si>
    <t>HONDA VIGOR/ACURA RHD.</t>
  </si>
  <si>
    <t>9600-0018-00</t>
  </si>
  <si>
    <t>LM-489</t>
  </si>
  <si>
    <t>TOYOTA SIENNA (REAR)</t>
  </si>
  <si>
    <t>9066-0017-00</t>
  </si>
  <si>
    <t>LM-490</t>
  </si>
  <si>
    <t>KOMUTSU 325-6 134a LHD.</t>
  </si>
  <si>
    <t>9400-0035-00</t>
  </si>
  <si>
    <t>LM-491</t>
  </si>
  <si>
    <t>HONDA ACCORD '03 LHD.</t>
  </si>
  <si>
    <t>9400-0036-00</t>
  </si>
  <si>
    <t>LM-492</t>
  </si>
  <si>
    <t>NISSAN ARMADA (LHD)</t>
  </si>
  <si>
    <t>9300-0125-00</t>
  </si>
  <si>
    <t>LM-493</t>
  </si>
  <si>
    <t>RENAULT TRUCK 2010 LHD.</t>
  </si>
  <si>
    <t>9300-0126-00</t>
  </si>
  <si>
    <t>LM-494</t>
  </si>
  <si>
    <t>MODEL 17-114</t>
  </si>
  <si>
    <t>9200-0264-00</t>
  </si>
  <si>
    <t>LM-495</t>
  </si>
  <si>
    <t>NISSAN SENTRA 180 '00 LHD</t>
  </si>
  <si>
    <t>9058-0064-00</t>
  </si>
  <si>
    <t>LM-496</t>
  </si>
  <si>
    <t>GRAND VITARA '03 (RHD.)</t>
  </si>
  <si>
    <t>9900-0009-00</t>
  </si>
  <si>
    <t>LM-497</t>
  </si>
  <si>
    <t>NISSAN PICKUP (LHD)</t>
  </si>
  <si>
    <t>9058-0065-00</t>
  </si>
  <si>
    <t>LM-498</t>
  </si>
  <si>
    <t>GRAND VITARA '03 (LHD.)</t>
  </si>
  <si>
    <t>9053-0007-00</t>
  </si>
  <si>
    <t>LM-499</t>
  </si>
  <si>
    <t>CHRYSLER DODGE  '06  LHD.</t>
  </si>
  <si>
    <t>9058-0066-00</t>
  </si>
  <si>
    <t>LM-500</t>
  </si>
  <si>
    <t>ALRAS A.</t>
  </si>
  <si>
    <t>9200-0265-00</t>
  </si>
  <si>
    <t>LM-501</t>
  </si>
  <si>
    <t>ALRAS B.</t>
  </si>
  <si>
    <t>9058-0067-00</t>
  </si>
  <si>
    <t>LM-502</t>
  </si>
  <si>
    <t>9058-0068-00</t>
  </si>
  <si>
    <t>LM-503</t>
  </si>
  <si>
    <t>ALRAS ONE F.</t>
  </si>
  <si>
    <t>9058-0069-00</t>
  </si>
  <si>
    <t>LM-504</t>
  </si>
  <si>
    <t>MIT.FUSO FP/FV/FS</t>
  </si>
  <si>
    <t>9058-0070-00</t>
  </si>
  <si>
    <t>LM-505</t>
  </si>
  <si>
    <t>VW.TRANSPORTTER</t>
  </si>
  <si>
    <t>9400-0037-00</t>
  </si>
  <si>
    <t>LM-506</t>
  </si>
  <si>
    <t>TOYOTA COROLLA 140i RHD.</t>
  </si>
  <si>
    <t>9058-0071-00</t>
  </si>
  <si>
    <t>LM-507</t>
  </si>
  <si>
    <t>FORD  PRZ/MINI TRUCK/VAN (RHD&amp;LHD)</t>
  </si>
  <si>
    <t>9058-0072-00</t>
  </si>
  <si>
    <t>LM-508</t>
  </si>
  <si>
    <t>KIA KAREN</t>
  </si>
  <si>
    <t>9300-0127-00</t>
  </si>
  <si>
    <t>LM-509</t>
  </si>
  <si>
    <t>ALRAAD ONE G.</t>
  </si>
  <si>
    <t>9053-0008-00</t>
  </si>
  <si>
    <t>LM-510</t>
  </si>
  <si>
    <t>ALRAAD ONE.H</t>
  </si>
  <si>
    <t>9400-0038-00</t>
  </si>
  <si>
    <t>LM-511</t>
  </si>
  <si>
    <t>ALRAAD ONE.I</t>
  </si>
  <si>
    <t>9058-0073-00</t>
  </si>
  <si>
    <t>LM-512</t>
  </si>
  <si>
    <t>TATAPICK UP  W/VALVE,PIPE (L.H.D)</t>
  </si>
  <si>
    <t>9300-0128-00</t>
  </si>
  <si>
    <t>LM-513</t>
  </si>
  <si>
    <t>SUZUKI CARRY 2010 LHD.</t>
  </si>
  <si>
    <t>9058-0074-00</t>
  </si>
  <si>
    <t>LM-514</t>
  </si>
  <si>
    <t>NISSAN SUNNY '09 LHD.</t>
  </si>
  <si>
    <t>9058-0075-00</t>
  </si>
  <si>
    <t>LM-515</t>
  </si>
  <si>
    <t>FORD FOCUS '04 (RHD/LHD)</t>
  </si>
  <si>
    <t>9053-0009-00</t>
  </si>
  <si>
    <t>LM-516</t>
  </si>
  <si>
    <t>RANGE  ROVER FREELANDER '98</t>
  </si>
  <si>
    <t>9600-0019-00</t>
  </si>
  <si>
    <t>LM-517</t>
  </si>
  <si>
    <t>FAISAL KSA (LHD)</t>
  </si>
  <si>
    <t>9058-0076-00</t>
  </si>
  <si>
    <t>LM-518</t>
  </si>
  <si>
    <t>VW. POLO PLAYA RHD.</t>
  </si>
  <si>
    <t>9300-0129-00</t>
  </si>
  <si>
    <t>LM-519</t>
  </si>
  <si>
    <t>MGFEWQ</t>
  </si>
  <si>
    <t>9200-0267-00</t>
  </si>
  <si>
    <t>LM-520</t>
  </si>
  <si>
    <t>HINO PROFIA 134a RHD.</t>
  </si>
  <si>
    <t>9058-0077-00</t>
  </si>
  <si>
    <t>LM-521</t>
  </si>
  <si>
    <t>VOLVO S80 LHD.&amp;RHD.</t>
  </si>
  <si>
    <t>9200-0268-00</t>
  </si>
  <si>
    <t>LM-522</t>
  </si>
  <si>
    <t>ISUZU TRUCK 321W ไม่มีวาล์ว / แป็บ  OK</t>
  </si>
  <si>
    <t>9200-0269-00</t>
  </si>
  <si>
    <t>LM-523</t>
  </si>
  <si>
    <t>KIA SPECTRA LHD.</t>
  </si>
  <si>
    <t>9058-0078-00</t>
  </si>
  <si>
    <t>LM-524</t>
  </si>
  <si>
    <t>DAEWOO LACETI '07 LHD.</t>
  </si>
  <si>
    <t>9300-0130-00</t>
  </si>
  <si>
    <t>LM-525</t>
  </si>
  <si>
    <t>HYUNDAI TRUCK 2002 LHD.</t>
  </si>
  <si>
    <t>9066-0018-00</t>
  </si>
  <si>
    <t>LM-526</t>
  </si>
  <si>
    <t>VOLVO SHARAN FRONT RHD.</t>
  </si>
  <si>
    <t>9066-0019-00</t>
  </si>
  <si>
    <t>LM-527</t>
  </si>
  <si>
    <t>Ford Escape '06</t>
  </si>
  <si>
    <t>9066-0020-00</t>
  </si>
  <si>
    <t>LM-528</t>
  </si>
  <si>
    <t>VOLVO SHARAN (REAR)</t>
  </si>
  <si>
    <t>9066-0021-00</t>
  </si>
  <si>
    <t>LM-529</t>
  </si>
  <si>
    <t>JAGUAR S40 TYPE V6 LHD.</t>
  </si>
  <si>
    <t>9300-0131-00</t>
  </si>
  <si>
    <t>LM-530</t>
  </si>
  <si>
    <t>VOLVO FM 12 EX</t>
  </si>
  <si>
    <t>9200-0273-00</t>
  </si>
  <si>
    <t>LM-531</t>
  </si>
  <si>
    <t>9200-0274-00</t>
  </si>
  <si>
    <t>LM-532</t>
  </si>
  <si>
    <t>HYUNDAI OSAMA (LHD.)</t>
  </si>
  <si>
    <t>9300-0132-00</t>
  </si>
  <si>
    <t>LM-533</t>
  </si>
  <si>
    <t>KIA K2700 LDV</t>
  </si>
  <si>
    <t>9053-0010-00</t>
  </si>
  <si>
    <t>LM-534</t>
  </si>
  <si>
    <t>RENAULT SCENIC 01-02</t>
  </si>
  <si>
    <t>9053-0011-00</t>
  </si>
  <si>
    <t>LM-535</t>
  </si>
  <si>
    <t>RENAULT SCENIC 98-2000</t>
  </si>
  <si>
    <t>9200-0275-00</t>
  </si>
  <si>
    <t>LM-536</t>
  </si>
  <si>
    <t>NISSAN PARTFINDER RHD.</t>
  </si>
  <si>
    <t>9053-0012-00</t>
  </si>
  <si>
    <t>LM-537</t>
  </si>
  <si>
    <t>RANGE ROVER FREELANDER'98</t>
  </si>
  <si>
    <t>9058-0079-00</t>
  </si>
  <si>
    <t>LM-538</t>
  </si>
  <si>
    <t>HYUNDAI SONATA'94 LHD.</t>
  </si>
  <si>
    <t>9058-0080-00</t>
  </si>
  <si>
    <t>LM-539</t>
  </si>
  <si>
    <t>NISSAN VANETTA LHD.</t>
  </si>
  <si>
    <t>9200-0276-00</t>
  </si>
  <si>
    <t>LM-541</t>
  </si>
  <si>
    <t>SUZUKI CUITUS 134a (RHD)</t>
  </si>
  <si>
    <t>9200-0277-00</t>
  </si>
  <si>
    <t>LM-542</t>
  </si>
  <si>
    <t>SUZUKI CULTUS R-12 RHD.</t>
  </si>
  <si>
    <t>9200-0279-00</t>
  </si>
  <si>
    <t>LM-545</t>
  </si>
  <si>
    <t>KIA SPORTAGE R12 (LHD)</t>
  </si>
  <si>
    <t>9900-0010-00</t>
  </si>
  <si>
    <t>LM-546</t>
  </si>
  <si>
    <t>MIT.SPACEWAGON '2006 (RHD</t>
  </si>
  <si>
    <t>9065-0001-00</t>
  </si>
  <si>
    <t>LM-547</t>
  </si>
  <si>
    <t>CITROEN ZM 97-2000 ( LHD)</t>
  </si>
  <si>
    <t>9065-0002-00</t>
  </si>
  <si>
    <t>LM-548</t>
  </si>
  <si>
    <t>H/F  FIAT (LHD)</t>
  </si>
  <si>
    <t>9065-0004-00</t>
  </si>
  <si>
    <t>LM-550</t>
  </si>
  <si>
    <t>AUDI A6 (134A)  LHD</t>
  </si>
  <si>
    <t>9065-0005-00</t>
  </si>
  <si>
    <t>LM-551</t>
  </si>
  <si>
    <t>AUDI 100/A6 (RHD) R-12 '94</t>
  </si>
  <si>
    <t>9065-0007-00</t>
  </si>
  <si>
    <t>LM-553</t>
  </si>
  <si>
    <t>AUDI 100/A6 (RHD) 134a</t>
  </si>
  <si>
    <t>9065-0008-00</t>
  </si>
  <si>
    <t>LM-554</t>
  </si>
  <si>
    <t>AUDI A8 2000 (RHD) 134a</t>
  </si>
  <si>
    <t>9065-0012-00</t>
  </si>
  <si>
    <t>LM-555</t>
  </si>
  <si>
    <t>CHRYSLER SPIRIT (LHD)</t>
  </si>
  <si>
    <t>9200-0280-00</t>
  </si>
  <si>
    <t>LM-556</t>
  </si>
  <si>
    <t>TOY.CROWN IFT-115 R134a  '95-98 (LHD)</t>
  </si>
  <si>
    <t>9200-0281-00</t>
  </si>
  <si>
    <t>LM-557</t>
  </si>
  <si>
    <t>HYUNDAI ELANTRA R134a  '1994 (RHD)</t>
  </si>
  <si>
    <t>9200-0282-00</t>
  </si>
  <si>
    <t>LM-558</t>
  </si>
  <si>
    <t>HYUNDAI ELANTRA  '1994 (RHD)</t>
  </si>
  <si>
    <t>9065-0014-00</t>
  </si>
  <si>
    <t>LM-560</t>
  </si>
  <si>
    <t>FORD KATLAS 93-96</t>
  </si>
  <si>
    <t>9065-0015-00</t>
  </si>
  <si>
    <t>LM-561</t>
  </si>
  <si>
    <t>9065-0016-00</t>
  </si>
  <si>
    <t>LM-562</t>
  </si>
  <si>
    <t>IVECODAILY  '2000  W/PIPE</t>
  </si>
  <si>
    <t>9300-0133-00</t>
  </si>
  <si>
    <t>LM-563</t>
  </si>
  <si>
    <t>AL FAISAL M-125 (LHD)</t>
  </si>
  <si>
    <t>9058-0083-00</t>
  </si>
  <si>
    <t>LM-564</t>
  </si>
  <si>
    <t>NISSAN BLUEBIRD U-12 (LHD)</t>
  </si>
  <si>
    <t>9058-0084-00</t>
  </si>
  <si>
    <t>LM-565</t>
  </si>
  <si>
    <t>KIA PICANTO (RHD)</t>
  </si>
  <si>
    <t>9200-0284-00</t>
  </si>
  <si>
    <t>LM-566</t>
  </si>
  <si>
    <t>CHEVROLAT SPARK  (RHD)</t>
  </si>
  <si>
    <t>9058-0086-00</t>
  </si>
  <si>
    <t>LM-567</t>
  </si>
  <si>
    <t>HINO DUTRO (LHD)</t>
  </si>
  <si>
    <t>9058-0087-00</t>
  </si>
  <si>
    <t>LM-568</t>
  </si>
  <si>
    <t>CHEVROLAT CAPTIVA (RHD)</t>
  </si>
  <si>
    <t>9400-0040-00</t>
  </si>
  <si>
    <t>LM-569</t>
  </si>
  <si>
    <t>TONG FONG RHD</t>
  </si>
  <si>
    <t>9400-0041-00</t>
  </si>
  <si>
    <t>LM-570</t>
  </si>
  <si>
    <t>AUDI Q7/VW.T5 FRONT (LHD)</t>
  </si>
  <si>
    <t>9058-0088-00</t>
  </si>
  <si>
    <t>LM-571</t>
  </si>
  <si>
    <t>LUXGEN '2009 REAR (LHD)</t>
  </si>
  <si>
    <t>9400-0042-00</t>
  </si>
  <si>
    <t>LM-572</t>
  </si>
  <si>
    <t>AUDI Q7/VW.T5 FRONT</t>
  </si>
  <si>
    <t>9200-0285-00</t>
  </si>
  <si>
    <t>LM-573</t>
  </si>
  <si>
    <t>SAFKAR (LHD)</t>
  </si>
  <si>
    <t>9058-0089-00</t>
  </si>
  <si>
    <t>LM-574</t>
  </si>
  <si>
    <t>BMW X5 3,000cc. (LHD)</t>
  </si>
  <si>
    <t>9053-0017-00</t>
  </si>
  <si>
    <t>LM-575</t>
  </si>
  <si>
    <t>MAZDA E2000" VAN R134a RHD</t>
  </si>
  <si>
    <t>9053-0018-00</t>
  </si>
  <si>
    <t>LM-576</t>
  </si>
  <si>
    <t>MAZDA E2000" VAN R134a LHD</t>
  </si>
  <si>
    <t>9600-0020-00</t>
  </si>
  <si>
    <t>LM-577</t>
  </si>
  <si>
    <t>TOYOTA PRAD REAR</t>
  </si>
  <si>
    <t>9053-0019-00</t>
  </si>
  <si>
    <t>LM-579</t>
  </si>
  <si>
    <t>RENUALT SCENIC  '06 LHD.</t>
  </si>
  <si>
    <t>9065-0017-00</t>
  </si>
  <si>
    <t>LM-580</t>
  </si>
  <si>
    <t>SAAB 9-5  '97-'03 LHD.</t>
  </si>
  <si>
    <t>9200-0286-00</t>
  </si>
  <si>
    <t>LM-581</t>
  </si>
  <si>
    <t>FUSO R134a (LHD) W/ VALVE/PIPE</t>
  </si>
  <si>
    <t>9200-0287-00</t>
  </si>
  <si>
    <t>LM-582</t>
  </si>
  <si>
    <t>FUSO R12 (LHD) W/ VALVE/PIPE</t>
  </si>
  <si>
    <t>9200-0288-00</t>
  </si>
  <si>
    <t>LM-583</t>
  </si>
  <si>
    <t>NISSAN SENTRA '98</t>
  </si>
  <si>
    <t>9200-0289-00</t>
  </si>
  <si>
    <t>LM-584</t>
  </si>
  <si>
    <t>HYUNDAI BULLDOZER LHD.</t>
  </si>
  <si>
    <t>9300-0137-00</t>
  </si>
  <si>
    <t>LM-585</t>
  </si>
  <si>
    <t>HEAVY TRUCK FRONT</t>
  </si>
  <si>
    <t>9058-0091-00</t>
  </si>
  <si>
    <t>LM-586</t>
  </si>
  <si>
    <t>HEAVY TRUCK REAR</t>
  </si>
  <si>
    <t>9058-0092-00</t>
  </si>
  <si>
    <t>LM-587</t>
  </si>
  <si>
    <t>OPEL VECTRA'C (LHD)</t>
  </si>
  <si>
    <t>9300-0138-00</t>
  </si>
  <si>
    <t>LM-588</t>
  </si>
  <si>
    <t>SUZUKI XL-7 '03 (REAR) LHD</t>
  </si>
  <si>
    <t>9400-0043-00</t>
  </si>
  <si>
    <t>LM-589</t>
  </si>
  <si>
    <t>HONDA ODYSSEY (REAR)</t>
  </si>
  <si>
    <t>9400-0044-00</t>
  </si>
  <si>
    <t>LM-590</t>
  </si>
  <si>
    <t>FORD '2010 LHD.</t>
  </si>
  <si>
    <t>9058-0093-00</t>
  </si>
  <si>
    <t>LM-591</t>
  </si>
  <si>
    <t>HITACHI OLD MODEL RHD.</t>
  </si>
  <si>
    <t>9300-0139-00</t>
  </si>
  <si>
    <t>LM-592</t>
  </si>
  <si>
    <t>BENZ A230/R230 '03 RHD.</t>
  </si>
  <si>
    <t>9058-0094-00</t>
  </si>
  <si>
    <t>LM-593</t>
  </si>
  <si>
    <t>VOLVO S80 '05-09 RHD./LHD.</t>
  </si>
  <si>
    <t>9053-0020-00</t>
  </si>
  <si>
    <t>LM-594</t>
  </si>
  <si>
    <t>BENZ W210/200K '99-'02 LHD</t>
  </si>
  <si>
    <t>9058-0095-00</t>
  </si>
  <si>
    <t>LM-595</t>
  </si>
  <si>
    <t>9058-0096-00</t>
  </si>
  <si>
    <t>LM-596</t>
  </si>
  <si>
    <t>CHEVROLET AVEO RHD.</t>
  </si>
  <si>
    <t>9200-0290-00</t>
  </si>
  <si>
    <t>LM-597</t>
  </si>
  <si>
    <t>KIA CARENS '98-'00 RHD.</t>
  </si>
  <si>
    <t>9400-0045-00</t>
  </si>
  <si>
    <t>LM-598</t>
  </si>
  <si>
    <t>HUMMER '2 LHD</t>
  </si>
  <si>
    <t>9200-0291-00</t>
  </si>
  <si>
    <t>LM-599</t>
  </si>
  <si>
    <t>HYUNDAI STAREX LHD</t>
  </si>
  <si>
    <t>9900-0011-00</t>
  </si>
  <si>
    <t>LM-600</t>
  </si>
  <si>
    <t>GMC (F) LHD.</t>
  </si>
  <si>
    <t>9058-0097-00</t>
  </si>
  <si>
    <t>LM-601</t>
  </si>
  <si>
    <t>GMC (R) LHD.</t>
  </si>
  <si>
    <t>9300-0140-00</t>
  </si>
  <si>
    <t>LM-602</t>
  </si>
  <si>
    <t>DAF TRUCK '05 LHD.</t>
  </si>
  <si>
    <t>9300-0141-00</t>
  </si>
  <si>
    <t>LM-603</t>
  </si>
  <si>
    <t>MAN TRUCK LHD.</t>
  </si>
  <si>
    <t>9053-0021-00</t>
  </si>
  <si>
    <t>LM-604</t>
  </si>
  <si>
    <t xml:space="preserve">CHERY M-1 (LHD) </t>
  </si>
  <si>
    <t>9053-0022-00</t>
  </si>
  <si>
    <t>LM-605</t>
  </si>
  <si>
    <t>CHERY M-1 (LHD) OE</t>
  </si>
  <si>
    <t>9058-0098-00</t>
  </si>
  <si>
    <t>LM-606</t>
  </si>
  <si>
    <t>HYUNDAI PORTER II '09 (LHD)</t>
  </si>
  <si>
    <t>9053-0023-00</t>
  </si>
  <si>
    <t>LM-607</t>
  </si>
  <si>
    <t>FORD FOCUS (RHD)</t>
  </si>
  <si>
    <t>9058-0099-00</t>
  </si>
  <si>
    <t>LM-608</t>
  </si>
  <si>
    <t>ISUZU D-MAX COMMONRIAL</t>
  </si>
  <si>
    <t>9058-0100-00</t>
  </si>
  <si>
    <t>LM-609</t>
  </si>
  <si>
    <t>ISUZU D-MAX '2003 SLIM LHD</t>
  </si>
  <si>
    <t>9400-0046-00</t>
  </si>
  <si>
    <t>LM-610</t>
  </si>
  <si>
    <t>GM.ACCADIA (LHD)</t>
  </si>
  <si>
    <t>9400-0047-00</t>
  </si>
  <si>
    <t>LM-611</t>
  </si>
  <si>
    <t>BENZ W221/08 S-CLASS (LHD)</t>
  </si>
  <si>
    <t>9058-0101-00</t>
  </si>
  <si>
    <t>LM-612</t>
  </si>
  <si>
    <t>JEEP LIBERTY NEW (LHD.)</t>
  </si>
  <si>
    <t>9300-0142-00</t>
  </si>
  <si>
    <t>LM-613</t>
  </si>
  <si>
    <t>SUBARU ESTRATTO'93 (LHD)</t>
  </si>
  <si>
    <t>9400-0048-00</t>
  </si>
  <si>
    <t>LM-614</t>
  </si>
  <si>
    <t>BENZ W221/08 S-CLASS (RHD)</t>
  </si>
  <si>
    <t>9058-0102-00</t>
  </si>
  <si>
    <t>LM-615</t>
  </si>
  <si>
    <t>DAIHATSU (LHD.)</t>
  </si>
  <si>
    <t>9058-0103-00</t>
  </si>
  <si>
    <t>LM-616</t>
  </si>
  <si>
    <t>KIA.JUMBO NEW (LHD&amp;RHD)</t>
  </si>
  <si>
    <t>9053-0024-00</t>
  </si>
  <si>
    <t>LM-617</t>
  </si>
  <si>
    <t>TRACTOR KUBOTA</t>
  </si>
  <si>
    <t>9900-0012-00</t>
  </si>
  <si>
    <t>LM-618</t>
  </si>
  <si>
    <t>FOR  HONDA ODYSSEY(RER) (LHD.)</t>
  </si>
  <si>
    <t>9058-0104-00</t>
  </si>
  <si>
    <t>LM-619</t>
  </si>
  <si>
    <t>NISSAN UD (RHD)</t>
  </si>
  <si>
    <t>9300-0143-00</t>
  </si>
  <si>
    <t>LM-620</t>
  </si>
  <si>
    <t>DODGE CARAVAN REAR</t>
  </si>
  <si>
    <t>9400-0049-00</t>
  </si>
  <si>
    <t>LM-621</t>
  </si>
  <si>
    <t>FORD EXPLORER</t>
  </si>
  <si>
    <t>9300-0144-00</t>
  </si>
  <si>
    <t>LM-622</t>
  </si>
  <si>
    <t>VAN DODGE 2006 (LHD)</t>
  </si>
  <si>
    <t>9058-0105-00</t>
  </si>
  <si>
    <t>LM-623</t>
  </si>
  <si>
    <t>Hyundai Elantra '05</t>
  </si>
  <si>
    <t>9053-0025-00</t>
  </si>
  <si>
    <t>LM-624</t>
  </si>
  <si>
    <t>TOYOTA MATRIX  (LHD.)</t>
  </si>
  <si>
    <t>9200-0292-00</t>
  </si>
  <si>
    <t>LM-625</t>
  </si>
  <si>
    <t>CAT320 C (OLD)</t>
  </si>
  <si>
    <t>9400-0053-00</t>
  </si>
  <si>
    <t>LM-626</t>
  </si>
  <si>
    <t>CHEVROLET OPTRA (CNG) RHD</t>
  </si>
  <si>
    <t>9200-0293-00</t>
  </si>
  <si>
    <t>LM-627</t>
  </si>
  <si>
    <t>NISSAN PRESIGENT RHD.</t>
  </si>
  <si>
    <t>9400-0055-00</t>
  </si>
  <si>
    <t>LM-628</t>
  </si>
  <si>
    <t>MIT.LANCER 02-05 (RHD)</t>
  </si>
  <si>
    <t>9300-0145-00</t>
  </si>
  <si>
    <t>LM-629</t>
  </si>
  <si>
    <t>CNHTC SINO TRUCK</t>
  </si>
  <si>
    <t>9058-0106-00</t>
  </si>
  <si>
    <t>LM-630</t>
  </si>
  <si>
    <t>PROTON PERSONA' 2010 (RHD)</t>
  </si>
  <si>
    <t>9200-0294-00</t>
  </si>
  <si>
    <t>LM-631</t>
  </si>
  <si>
    <t>DEVA HERCULES PLUS  RHD.</t>
  </si>
  <si>
    <t>9058-0107-00</t>
  </si>
  <si>
    <t>LM-632</t>
  </si>
  <si>
    <t>OPEL VECTRA  '2008</t>
  </si>
  <si>
    <t>9053-0026-00</t>
  </si>
  <si>
    <t>LM-633</t>
  </si>
  <si>
    <t>BENZ W210/200K 99-00 (RHD)</t>
  </si>
  <si>
    <t>9065-0018-00</t>
  </si>
  <si>
    <t>LM-634</t>
  </si>
  <si>
    <t>TOYOTA TACOMA 134A LHD.</t>
  </si>
  <si>
    <t>9200-0295-00</t>
  </si>
  <si>
    <t>LM-635</t>
  </si>
  <si>
    <t>KIA EVRO CARENS '03-06</t>
  </si>
  <si>
    <t>9300-0146-00</t>
  </si>
  <si>
    <t>LM-636</t>
  </si>
  <si>
    <t>VW. SANTNA 3000 (LHD)</t>
  </si>
  <si>
    <t>9053-0027-00</t>
  </si>
  <si>
    <t>LM-638</t>
  </si>
  <si>
    <t>BENZ B-150 (LHD)</t>
  </si>
  <si>
    <t>9300-0147-00</t>
  </si>
  <si>
    <t>LM-639</t>
  </si>
  <si>
    <t>9058-0108-00</t>
  </si>
  <si>
    <t>LM-640</t>
  </si>
  <si>
    <t>CHEVROLET AVEO</t>
  </si>
  <si>
    <t>9300-0148-00</t>
  </si>
  <si>
    <t>LM-641</t>
  </si>
  <si>
    <t>BENZ SPRIW TER '08 (LHD)</t>
  </si>
  <si>
    <t>9066-0023-00</t>
  </si>
  <si>
    <t>LM-642</t>
  </si>
  <si>
    <t>FORD EXPEDITION (REAR)</t>
  </si>
  <si>
    <t>9053-0028-00</t>
  </si>
  <si>
    <t>LM-643</t>
  </si>
  <si>
    <t>DFM V27 (VAN) RHD.</t>
  </si>
  <si>
    <t>9200-0297-00</t>
  </si>
  <si>
    <t>LM-645</t>
  </si>
  <si>
    <t xml:space="preserve">NISSAN CEFIRO '96 RHD. </t>
  </si>
  <si>
    <t>9065-0019-00</t>
  </si>
  <si>
    <t>LM-646</t>
  </si>
  <si>
    <t>VOLVO BACKHOE</t>
  </si>
  <si>
    <t>9058-0109-00</t>
  </si>
  <si>
    <t>LM-647</t>
  </si>
  <si>
    <t>HYUNDAI SONATA'08 (RHD)</t>
  </si>
  <si>
    <t>9400-0056-00</t>
  </si>
  <si>
    <t>LM-648</t>
  </si>
  <si>
    <t>SUZUKI LIANA '04 (RHD)</t>
  </si>
  <si>
    <t>9400-0057-00</t>
  </si>
  <si>
    <t>LM-649</t>
  </si>
  <si>
    <t xml:space="preserve">JAGUAR XJ-6 X-TYPE </t>
  </si>
  <si>
    <t>9200-0298-00</t>
  </si>
  <si>
    <t>LM-650</t>
  </si>
  <si>
    <t>ISUZU FREWARD W, VALVE,PIPE (RHD)</t>
  </si>
  <si>
    <t>9200-0299-00</t>
  </si>
  <si>
    <t>LM-651</t>
  </si>
  <si>
    <t>FOTON (RHD)</t>
  </si>
  <si>
    <t>9400-0058-00</t>
  </si>
  <si>
    <t>LM-652</t>
  </si>
  <si>
    <t>Jeep WRANGLER (LHD)2006</t>
  </si>
  <si>
    <t>9200-0300-00</t>
  </si>
  <si>
    <t>LM-653</t>
  </si>
  <si>
    <t>9200-0301-00</t>
  </si>
  <si>
    <t>LM-654</t>
  </si>
  <si>
    <t>HINO TRUCK FC-100 (LHD)</t>
  </si>
  <si>
    <t>9200-0302-00</t>
  </si>
  <si>
    <t>LM-655</t>
  </si>
  <si>
    <t>ISU. ELF B/V(NK,NQ,NP) R134a</t>
  </si>
  <si>
    <t>9200-0303-00</t>
  </si>
  <si>
    <t>LM-656</t>
  </si>
  <si>
    <t>ISU.TRUCK 321(M) RHD.</t>
  </si>
  <si>
    <t>9065-0020-00</t>
  </si>
  <si>
    <t>LM-657</t>
  </si>
  <si>
    <t>SAAB 9-5 '97-03 (RHD/LHD)</t>
  </si>
  <si>
    <t>9058-0110-00</t>
  </si>
  <si>
    <t>LM-658</t>
  </si>
  <si>
    <t>PROTON PREVE (RHD)</t>
  </si>
  <si>
    <t>9900-0013-00</t>
  </si>
  <si>
    <t>LM-659</t>
  </si>
  <si>
    <t>BENZ SPRINTER 519</t>
  </si>
  <si>
    <t>9066-0024-00</t>
  </si>
  <si>
    <t>LM-660</t>
  </si>
  <si>
    <t>HINO HITECH R-12  (RHD)</t>
  </si>
  <si>
    <t>9066-0025-00</t>
  </si>
  <si>
    <t>LM-661</t>
  </si>
  <si>
    <t>ISUZU  ROCRY R-12 (RHD)</t>
  </si>
  <si>
    <t>9066-0026-00</t>
  </si>
  <si>
    <t>LM-662</t>
  </si>
  <si>
    <t>HINO HITECH R134a  (RHD)</t>
  </si>
  <si>
    <t>9200-0304-00</t>
  </si>
  <si>
    <t>LM-663</t>
  </si>
  <si>
    <t>FORD ESCAPE '08</t>
  </si>
  <si>
    <t>9200-0305-00</t>
  </si>
  <si>
    <t>LM-664</t>
  </si>
  <si>
    <t>TOYOTA CROWN MS-155 198 (RHD)</t>
  </si>
  <si>
    <t>9058-0111-00</t>
  </si>
  <si>
    <t>LM-666</t>
  </si>
  <si>
    <t>CHEVROLTE AVEO (RHD.)</t>
  </si>
  <si>
    <t>9200-0306-00</t>
  </si>
  <si>
    <t>LM-667</t>
  </si>
  <si>
    <t>FUSO 20-35'97 134 a  (LHD)</t>
  </si>
  <si>
    <t>9053-0029-00</t>
  </si>
  <si>
    <t>LM-668</t>
  </si>
  <si>
    <t>VW-PHAETON 04-06 (LHD.)</t>
  </si>
  <si>
    <t>9200-0307-00</t>
  </si>
  <si>
    <t>LM-670</t>
  </si>
  <si>
    <t>SUBARU IMPREZA '97 2.2L (LHD)</t>
  </si>
  <si>
    <t>9058-0113-00</t>
  </si>
  <si>
    <t>LM-671</t>
  </si>
  <si>
    <t>AUDI Q7 '07-10 (REAR)</t>
  </si>
  <si>
    <t>9053-0030-00</t>
  </si>
  <si>
    <t>LM-672</t>
  </si>
  <si>
    <t>FORD FOCUS '14 2.5L (LHD.)</t>
  </si>
  <si>
    <t>9600-0021-00</t>
  </si>
  <si>
    <t>LM-673</t>
  </si>
  <si>
    <t>TOYOTA HIGHLANDER'2001 (LHD)</t>
  </si>
  <si>
    <t>9200-0308-00</t>
  </si>
  <si>
    <t>LM-674</t>
  </si>
  <si>
    <t>HYUNDAI 5 TON (LHD)</t>
  </si>
  <si>
    <t>9058-0114-00</t>
  </si>
  <si>
    <t>LM-675</t>
  </si>
  <si>
    <t>WULING MINI VAN (RHD.)</t>
  </si>
  <si>
    <t>9400-0059-00</t>
  </si>
  <si>
    <t>LM-676</t>
  </si>
  <si>
    <t>CHEVROLET OPTRA 2010 (LHD.)</t>
  </si>
  <si>
    <t>9400-0060-00</t>
  </si>
  <si>
    <t>LM-677</t>
  </si>
  <si>
    <t>CHEVROLET CRUZE 2010 (RHD.)</t>
  </si>
  <si>
    <t>9200-0309-00</t>
  </si>
  <si>
    <t>LM-678</t>
  </si>
  <si>
    <t>9058-0115-00</t>
  </si>
  <si>
    <t>LM-679</t>
  </si>
  <si>
    <t>SUZUKI MARUTI-ALTO (RHD)</t>
  </si>
  <si>
    <t>9058-0116-00</t>
  </si>
  <si>
    <t>LM-680</t>
  </si>
  <si>
    <t>TATA INDICA VISTA (RHD) BEHR</t>
  </si>
  <si>
    <t>9200-0310-00</t>
  </si>
  <si>
    <t>LM-681</t>
  </si>
  <si>
    <t>NISSAN K-24 (LHD.) มีวาล์ว มีแป็บต่อ</t>
  </si>
  <si>
    <t>9600-0022-00</t>
  </si>
  <si>
    <t>LM-682</t>
  </si>
  <si>
    <t>FIAT LINEA-PUNTO (RHD)</t>
  </si>
  <si>
    <t>9053-0031-00</t>
  </si>
  <si>
    <t>LM-683</t>
  </si>
  <si>
    <t>TATA INDICA VISTA SUBRDS. (RHD)</t>
  </si>
  <si>
    <t>9200-0311-00</t>
  </si>
  <si>
    <t>LM-684</t>
  </si>
  <si>
    <t>ISUZU TRUCK 321 FLARE (RHD)</t>
  </si>
  <si>
    <t>9058-0117-00</t>
  </si>
  <si>
    <t>LM-685</t>
  </si>
  <si>
    <t>FORD FIESTA (RHD)</t>
  </si>
  <si>
    <t>9200-0315-00</t>
  </si>
  <si>
    <t>LM-686</t>
  </si>
  <si>
    <t>HYUNDAI ATOZ - XING NEW (RHD)</t>
  </si>
  <si>
    <t>9200-0312-00</t>
  </si>
  <si>
    <t>LM-687</t>
  </si>
  <si>
    <t>FAW. TRUCK (RHD) OE.</t>
  </si>
  <si>
    <t>9200-0313-00</t>
  </si>
  <si>
    <t>LM-688</t>
  </si>
  <si>
    <t>FAW. TRUCK (F) RHD.</t>
  </si>
  <si>
    <t>9058-0118-00</t>
  </si>
  <si>
    <t>LM-689</t>
  </si>
  <si>
    <t>GM.TAVERA  (RHD)</t>
  </si>
  <si>
    <t>9200-0314-00</t>
  </si>
  <si>
    <t>LM-690</t>
  </si>
  <si>
    <t>HYUNDAI ACCENT '2006 (RHD)</t>
  </si>
  <si>
    <t>9200-0316-00</t>
  </si>
  <si>
    <t>LM-691</t>
  </si>
  <si>
    <t>FUSO '97 134A (LHD)</t>
  </si>
  <si>
    <t>9058-0119-00</t>
  </si>
  <si>
    <t>LM-692</t>
  </si>
  <si>
    <t>TATA TRUCK (RHD)</t>
  </si>
  <si>
    <t>9300-0149-00</t>
  </si>
  <si>
    <t>LM-693</t>
  </si>
  <si>
    <t>427675  ลูกค้า WOLFLE</t>
  </si>
  <si>
    <t>9065-0021-00</t>
  </si>
  <si>
    <t>LM-694</t>
  </si>
  <si>
    <t>HYUNDAI GOLD/KIA 1.4 TON (LHD)</t>
  </si>
  <si>
    <t>9200-0317-00</t>
  </si>
  <si>
    <t>LM-697</t>
  </si>
  <si>
    <t>KOMATSU PC-120</t>
  </si>
  <si>
    <t>9400-0061-00</t>
  </si>
  <si>
    <t>LM-699</t>
  </si>
  <si>
    <t>CHEVROLET SONIC '2012 (RHD)</t>
  </si>
  <si>
    <t>9400-0062-00</t>
  </si>
  <si>
    <t>LM-700</t>
  </si>
  <si>
    <t>SUZUKI ESCUDO 2.0</t>
  </si>
  <si>
    <t>9400-0063-00</t>
  </si>
  <si>
    <t>LM-701</t>
  </si>
  <si>
    <t>SUZUKI AERIO (RHD)</t>
  </si>
  <si>
    <t>9200-0318-00</t>
  </si>
  <si>
    <t>LM-702</t>
  </si>
  <si>
    <t>JEEP CHEROKEE '2003 (LHD)</t>
  </si>
  <si>
    <t>9058-0123-00</t>
  </si>
  <si>
    <t>LM-709</t>
  </si>
  <si>
    <t>SSANGYONG STAVIC REAR</t>
  </si>
  <si>
    <t>9200-0325-00</t>
  </si>
  <si>
    <t>LM-710</t>
  </si>
  <si>
    <t>ISUZU ELF B/V (NK,NP.NQ)</t>
  </si>
  <si>
    <t>9058-0124-00</t>
  </si>
  <si>
    <t>LM-711</t>
  </si>
  <si>
    <t>FORD EVEREST (REAR)</t>
  </si>
  <si>
    <t>9066-0027-00</t>
  </si>
  <si>
    <t>LM-712</t>
  </si>
  <si>
    <t>ISUZU ROCRY 134A (RHD)</t>
  </si>
  <si>
    <t>9200-0326-00</t>
  </si>
  <si>
    <t>LM-713</t>
  </si>
  <si>
    <t>HINO 2.5-3.5 TON (LHD.)</t>
  </si>
  <si>
    <t>9058-0125-00</t>
  </si>
  <si>
    <t>LM-714</t>
  </si>
  <si>
    <t>ISUZU FTR EURO III (RHD)</t>
  </si>
  <si>
    <t>9400-0064-00</t>
  </si>
  <si>
    <t>LM-715</t>
  </si>
  <si>
    <t>CHEVROLET EPICA '2007 (LHD)</t>
  </si>
  <si>
    <t>9300-0150-00</t>
  </si>
  <si>
    <t>LM-716</t>
  </si>
  <si>
    <t>TELEHEANDLER-MANIOU</t>
  </si>
  <si>
    <t>9300-0151-00</t>
  </si>
  <si>
    <t>LM-717</t>
  </si>
  <si>
    <t>C.88.21.106.A   ($ 31.00) คุณเบสให้ขาย</t>
  </si>
  <si>
    <t>9200-0327-00</t>
  </si>
  <si>
    <t>LM-718</t>
  </si>
  <si>
    <t>NISSAN TRUCK (LHD)</t>
  </si>
  <si>
    <t>9200-0328-00</t>
  </si>
  <si>
    <t>LM-719</t>
  </si>
  <si>
    <t>TOYOTA MARK 'II  R134a (LHD)</t>
  </si>
  <si>
    <t>9400-0050-00</t>
  </si>
  <si>
    <t>LM-720</t>
  </si>
  <si>
    <t>JEEP WRANGLER (RHD) 2006</t>
  </si>
  <si>
    <t>9200-0329-00</t>
  </si>
  <si>
    <t>LM-721</t>
  </si>
  <si>
    <t>MIT.FUSO CANTER "0" (RHD)</t>
  </si>
  <si>
    <t>9600-0023-00</t>
  </si>
  <si>
    <t>LM-722</t>
  </si>
  <si>
    <t>9058-0126-00</t>
  </si>
  <si>
    <t>LM-723</t>
  </si>
  <si>
    <t>CHEVROLET CAPTIVA (REAR)</t>
  </si>
  <si>
    <t>9200-0330-00</t>
  </si>
  <si>
    <t>LM-724</t>
  </si>
  <si>
    <t>JEEP CHEROKEE '2003 (RHD)</t>
  </si>
  <si>
    <t>9200-0331-00</t>
  </si>
  <si>
    <t>LM-725</t>
  </si>
  <si>
    <t>GMC. (REAR)</t>
  </si>
  <si>
    <t>9900-0014-00</t>
  </si>
  <si>
    <t>LM-726</t>
  </si>
  <si>
    <t>GMC. (FRONT)</t>
  </si>
  <si>
    <t>9300-0152-00</t>
  </si>
  <si>
    <t>LM-727</t>
  </si>
  <si>
    <t>SANY TRUCK (RHD)</t>
  </si>
  <si>
    <t>9200-0332-00</t>
  </si>
  <si>
    <t>LM-728</t>
  </si>
  <si>
    <t>MIT.PICKUP (LHD)</t>
  </si>
  <si>
    <t>9066-0028-00</t>
  </si>
  <si>
    <t>LM-729</t>
  </si>
  <si>
    <t>TOYOTA COROLLA '92 R-12/134A(RHD)</t>
  </si>
  <si>
    <t>9200-0333-00</t>
  </si>
  <si>
    <t>LM-730</t>
  </si>
  <si>
    <t>MIT.LANCER GLX.R-12/134A(RHD)</t>
  </si>
  <si>
    <t>9900-0015-00</t>
  </si>
  <si>
    <t>LM-731</t>
  </si>
  <si>
    <t>IVECO NEW DAILY (FORNT)</t>
  </si>
  <si>
    <t>9200-0334-00</t>
  </si>
  <si>
    <t>LM-732</t>
  </si>
  <si>
    <t>HONDA ACCORD 90-92 R-12/134A</t>
  </si>
  <si>
    <t>9058-0127-00</t>
  </si>
  <si>
    <t>LM-733</t>
  </si>
  <si>
    <t>FORD EXPLORER 2008 (LHD)</t>
  </si>
  <si>
    <t>9200-0335-00</t>
  </si>
  <si>
    <t>LM-734</t>
  </si>
  <si>
    <t>HYUNDAI ATOZ R-12 (LHD)</t>
  </si>
  <si>
    <t>9200-0336-00</t>
  </si>
  <si>
    <t>LM-735</t>
  </si>
  <si>
    <t>HYUNDAI TRUCK 2.5 T (LHD)</t>
  </si>
  <si>
    <t>9600-0024-00</t>
  </si>
  <si>
    <t>LM-736</t>
  </si>
  <si>
    <t>LUXUS - JEEP</t>
  </si>
  <si>
    <t>9900-0016-00</t>
  </si>
  <si>
    <t>LM-737</t>
  </si>
  <si>
    <t>CAT 320 © 134a</t>
  </si>
  <si>
    <t>9400-0065-00</t>
  </si>
  <si>
    <t>LM-738</t>
  </si>
  <si>
    <t>NISSAN FRONTEER O5 (LHD)</t>
  </si>
  <si>
    <t>9058-0128-00</t>
  </si>
  <si>
    <t>LM-739</t>
  </si>
  <si>
    <t>MAZDA BONGO (RHD)</t>
  </si>
  <si>
    <t>9053-0032-00</t>
  </si>
  <si>
    <t>LM-740</t>
  </si>
  <si>
    <t xml:space="preserve">FIAT 500' 2012 (RHD) </t>
  </si>
  <si>
    <t>9200-0337-00</t>
  </si>
  <si>
    <t>LM-741</t>
  </si>
  <si>
    <t>NISSAN UP 10.5 T  '05 (LHD)</t>
  </si>
  <si>
    <t>9058-0129-00</t>
  </si>
  <si>
    <t>LM-742</t>
  </si>
  <si>
    <t>NISSAN UD (ZEXEL)</t>
  </si>
  <si>
    <t>9900-0017-00</t>
  </si>
  <si>
    <t>LM-743</t>
  </si>
  <si>
    <t>LEXUS (L.H.D)</t>
  </si>
  <si>
    <t>9400-0066-00</t>
  </si>
  <si>
    <t>LM-744</t>
  </si>
  <si>
    <t>TOYOTA LEXUS (LHD)</t>
  </si>
  <si>
    <t>9400-0067-00</t>
  </si>
  <si>
    <t>LM-745</t>
  </si>
  <si>
    <t>DAEWOO MAGNUS (LHD)</t>
  </si>
  <si>
    <t>9300-0153-00</t>
  </si>
  <si>
    <t>LM-747</t>
  </si>
  <si>
    <t>SANY SPR 200</t>
  </si>
  <si>
    <t>9300-0154-00</t>
  </si>
  <si>
    <t>LM-748</t>
  </si>
  <si>
    <t>9300-0155-00</t>
  </si>
  <si>
    <t>LM-749</t>
  </si>
  <si>
    <t>9058-0130-00</t>
  </si>
  <si>
    <t>LM-750</t>
  </si>
  <si>
    <t>VW TDI (REAR) LHD.</t>
  </si>
  <si>
    <t>9400-0068-00</t>
  </si>
  <si>
    <t>LM-751</t>
  </si>
  <si>
    <t>VW. GOLF 2009 (LHD)</t>
  </si>
  <si>
    <t>9200-0339-00</t>
  </si>
  <si>
    <t>LM-752</t>
  </si>
  <si>
    <t>BENZ VITO (REAR)</t>
  </si>
  <si>
    <t>9058-0131-00</t>
  </si>
  <si>
    <t>LM-753</t>
  </si>
  <si>
    <t>MIT.SPACE WAGON '04 (REAR)</t>
  </si>
  <si>
    <t>9300-0156-00</t>
  </si>
  <si>
    <t>LM-754</t>
  </si>
  <si>
    <t>9200-0340-00</t>
  </si>
  <si>
    <t>LM-755</t>
  </si>
  <si>
    <t>IVECO 2006 (LHD)</t>
  </si>
  <si>
    <t>9900-0018-00</t>
  </si>
  <si>
    <t>LM-756</t>
  </si>
  <si>
    <t>GM.FRONT</t>
  </si>
  <si>
    <t>9053-0033-00</t>
  </si>
  <si>
    <t>LM-757</t>
  </si>
  <si>
    <t>COIL LAMINATED 58mm.รุ่นTRACTOR CASE</t>
  </si>
  <si>
    <t>9300-0157-00</t>
  </si>
  <si>
    <t>LM-758</t>
  </si>
  <si>
    <t>PEUGEOT. GLZ (LHD.)</t>
  </si>
  <si>
    <t>9065-0022-00</t>
  </si>
  <si>
    <t>LM-759</t>
  </si>
  <si>
    <t>KIA. PRIDE (LHD)</t>
  </si>
  <si>
    <t>9900-0019-00</t>
  </si>
  <si>
    <t>LM-761</t>
  </si>
  <si>
    <t>TOYOTA CELSIOR '2002 (RHD)</t>
  </si>
  <si>
    <t>9058-0132-00</t>
  </si>
  <si>
    <t>LM-762</t>
  </si>
  <si>
    <t>NISSAN SKYLINE R34 (RHD)</t>
  </si>
  <si>
    <t>9300-0159-00</t>
  </si>
  <si>
    <t>LM-763</t>
  </si>
  <si>
    <t>MODEL : 008090</t>
  </si>
  <si>
    <t>9200-0341-00</t>
  </si>
  <si>
    <t>LM-764</t>
  </si>
  <si>
    <t>DOOSAN DX225LC (2017)</t>
  </si>
  <si>
    <t>9058-0133-00</t>
  </si>
  <si>
    <t>LM-765</t>
  </si>
  <si>
    <t xml:space="preserve">NISSAN SKYLINE R31  </t>
  </si>
  <si>
    <t>9058-0134-00</t>
  </si>
  <si>
    <t>LM-766</t>
  </si>
  <si>
    <t xml:space="preserve">NISSAN SKYLINE GT-R (RHD) </t>
  </si>
  <si>
    <t>9300-0160-00</t>
  </si>
  <si>
    <t>LM-767</t>
  </si>
  <si>
    <t>MITSU. PAJERO MINI (RHD)</t>
  </si>
  <si>
    <t>9058-0135-00</t>
  </si>
  <si>
    <t>LM-768</t>
  </si>
  <si>
    <t>NIS. SKYLINE GT-R,W,VALVE,PIPE</t>
  </si>
  <si>
    <t>9058-0136-00</t>
  </si>
  <si>
    <t>LM-769</t>
  </si>
  <si>
    <t>NIS. SKYLINE R31 W,VALVE</t>
  </si>
  <si>
    <t>9053-0034-00</t>
  </si>
  <si>
    <t>LM-770</t>
  </si>
  <si>
    <t>NISSAN CUBE '2004 (RHD)</t>
  </si>
  <si>
    <t>9300-0161-00</t>
  </si>
  <si>
    <t>LM-771</t>
  </si>
  <si>
    <t>9058-0137-00</t>
  </si>
  <si>
    <t>LM-772</t>
  </si>
  <si>
    <t>NIS.UD CRONER 2018 (RHD)</t>
  </si>
  <si>
    <t>9300-0163-00</t>
  </si>
  <si>
    <t>LM-774</t>
  </si>
  <si>
    <t>TAXI LONDON REAR</t>
  </si>
  <si>
    <t>9200-0342-00</t>
  </si>
  <si>
    <t>LM-775</t>
  </si>
  <si>
    <t>TAXI LONDON (FRONT)</t>
  </si>
  <si>
    <t>9200-0343-00</t>
  </si>
  <si>
    <t>LM-776</t>
  </si>
  <si>
    <t>TAXI LONDON FORMULA(FRONT)</t>
  </si>
  <si>
    <t>9400-0069-00</t>
  </si>
  <si>
    <t>LM-777</t>
  </si>
  <si>
    <t>VW.CARAVELLE TDI (2018)</t>
  </si>
  <si>
    <t>9058-0138-00</t>
  </si>
  <si>
    <t>LM-778</t>
  </si>
  <si>
    <t>CHEVROLET AVEO LS.(RHD)</t>
  </si>
  <si>
    <t>9058-0139-00</t>
  </si>
  <si>
    <t>LM-779</t>
  </si>
  <si>
    <t>BENZ W164 (RHD) 2006</t>
  </si>
  <si>
    <t>9200-0344-00</t>
  </si>
  <si>
    <t>LM-780</t>
  </si>
  <si>
    <t>9200-0345-00</t>
  </si>
  <si>
    <t>LM-781</t>
  </si>
  <si>
    <t>CHERY QQ (RHD)</t>
  </si>
  <si>
    <t>9058-0122-00</t>
  </si>
  <si>
    <t>LM-698</t>
  </si>
  <si>
    <t>V/W TDI  (REAR)</t>
  </si>
  <si>
    <t>9200-0346-00</t>
  </si>
  <si>
    <t>LM-783</t>
  </si>
  <si>
    <t>ISUZU MU-7 (REAR)</t>
  </si>
  <si>
    <t>9600-0025-00</t>
  </si>
  <si>
    <t>LM-782</t>
  </si>
  <si>
    <t>TOYOTA CELICA R-12</t>
  </si>
  <si>
    <t>9058-0141-00</t>
  </si>
  <si>
    <t>LM-787</t>
  </si>
  <si>
    <t>70 E1 58x235</t>
  </si>
  <si>
    <t>9058-0140-00</t>
  </si>
  <si>
    <t>LM-786</t>
  </si>
  <si>
    <t>PROTON EXORA (REAR)</t>
  </si>
  <si>
    <t>9300-0165-00</t>
  </si>
  <si>
    <t>LM-785</t>
  </si>
  <si>
    <t>FOR  18450  ลูกค้า WOLFLE</t>
  </si>
  <si>
    <t>9400-0070-00</t>
  </si>
  <si>
    <t>LM-790</t>
  </si>
  <si>
    <t>CASE ST 580 '2015</t>
  </si>
  <si>
    <t>9300-0167-00</t>
  </si>
  <si>
    <t>LM-792</t>
  </si>
  <si>
    <t>19125 (65mm)</t>
  </si>
  <si>
    <t>9300-0168-00</t>
  </si>
  <si>
    <t>LM-793</t>
  </si>
  <si>
    <t>427704 (65mm)  ลูกค้า WOLFLE</t>
  </si>
  <si>
    <t>9300-0169-00</t>
  </si>
  <si>
    <t>LM-794</t>
  </si>
  <si>
    <t>9058-0142-00</t>
  </si>
  <si>
    <t>LM-795</t>
  </si>
  <si>
    <t>NISSAN UD TRUCK QUESTER</t>
  </si>
  <si>
    <t>9200-0348-00</t>
  </si>
  <si>
    <t>LM-797</t>
  </si>
  <si>
    <t>NISSAN ATLAS (RHD)</t>
  </si>
  <si>
    <t>9200-0347-00</t>
  </si>
  <si>
    <t>LM-791</t>
  </si>
  <si>
    <t>HINO (หัวนอก)</t>
  </si>
  <si>
    <t>9300-0170-00</t>
  </si>
  <si>
    <t>LM-796</t>
  </si>
  <si>
    <t>427704_PE_R01_V00  ลูกค้า WOLFLE</t>
  </si>
  <si>
    <t>9200-0349-00</t>
  </si>
  <si>
    <t>LM-799</t>
  </si>
  <si>
    <t>9300-0172-00</t>
  </si>
  <si>
    <t>LM-800</t>
  </si>
  <si>
    <t>FOR  427722  ลูกค้า WOLFLE</t>
  </si>
  <si>
    <t>9200-0224-00</t>
  </si>
  <si>
    <t>LM-412</t>
  </si>
  <si>
    <t>FOR  FORD TX5 '93 R-12  LHD.</t>
  </si>
  <si>
    <t>ปรับ 3%</t>
  </si>
  <si>
    <t>Part No.</t>
  </si>
  <si>
    <t>ชื่อรุ่น</t>
  </si>
  <si>
    <t>PFE-001</t>
  </si>
  <si>
    <t>9700-0001-00</t>
  </si>
  <si>
    <t>PFE-002</t>
  </si>
  <si>
    <t>9700-0002-00</t>
  </si>
  <si>
    <t>PFE-003</t>
  </si>
  <si>
    <t>9700-0003-00</t>
  </si>
  <si>
    <t>PFE-004</t>
  </si>
  <si>
    <t>9700-0004-00</t>
  </si>
  <si>
    <t>TOYOTA  WISH 04" [ L.H.D ]</t>
  </si>
  <si>
    <t>PFE-005</t>
  </si>
  <si>
    <t>9700-0005-00</t>
  </si>
  <si>
    <t>HINO  [ R.H.D ]-ISUZU (LHD)</t>
  </si>
  <si>
    <t>PFE-006</t>
  </si>
  <si>
    <t>9700-0006-00</t>
  </si>
  <si>
    <t>TOYOTA FORTUNER REAR [ R.H.D.]</t>
  </si>
  <si>
    <t>PFE-007</t>
  </si>
  <si>
    <t>9700-0007-00</t>
  </si>
  <si>
    <t>TOYOTA CAMRY 06" [ R&amp;L ]</t>
  </si>
  <si>
    <t>PFE-008</t>
  </si>
  <si>
    <t>9700-0008-00</t>
  </si>
  <si>
    <t>PERODUA MYVI  [ RHD ]</t>
  </si>
  <si>
    <t>PFE-009</t>
  </si>
  <si>
    <t>9700-0009-00</t>
  </si>
  <si>
    <t>MIT. TRITON  (RHD/LHD)</t>
  </si>
  <si>
    <t>PFE-010</t>
  </si>
  <si>
    <t>9700-0010-00</t>
  </si>
  <si>
    <t>NISSAN TIIDA '06  RHD&amp;LHD</t>
  </si>
  <si>
    <t>PFE-011</t>
  </si>
  <si>
    <t>9700-0011-00</t>
  </si>
  <si>
    <t>รุ่น MIT. FUSO CANTER (LHD)</t>
  </si>
  <si>
    <t>PFE-012</t>
  </si>
  <si>
    <t>9700-0012-00</t>
  </si>
  <si>
    <t xml:space="preserve">FORD FUCUS 04" [ L..H.D ] </t>
  </si>
  <si>
    <t>PFE-013</t>
  </si>
  <si>
    <t>9700-0013-00</t>
  </si>
  <si>
    <t xml:space="preserve">MAZDA 3 YR '04 (RHD&amp;LHD) </t>
  </si>
  <si>
    <t>PFE-014</t>
  </si>
  <si>
    <t>9700-0014-00</t>
  </si>
  <si>
    <t>MINI COOPER (RHD&amp;LHD)</t>
  </si>
  <si>
    <t>PFE-015</t>
  </si>
  <si>
    <t>9700-0015-00</t>
  </si>
  <si>
    <t>MAZDA A6 02" (LHD)</t>
  </si>
  <si>
    <t>PFE-016</t>
  </si>
  <si>
    <t>9700-0016-00</t>
  </si>
  <si>
    <t>HINO (L.H.D) - ISUZU (RHD)</t>
  </si>
  <si>
    <t>PFE-017</t>
  </si>
  <si>
    <t>9700-0017-00</t>
  </si>
  <si>
    <t>HONDA  JAZZ '2003 (RHD)</t>
  </si>
  <si>
    <t>PFE-018</t>
  </si>
  <si>
    <t>9700-0018-00</t>
  </si>
  <si>
    <t>TOYOTA WISH 04" [ R.H.D ]</t>
  </si>
  <si>
    <t>PFE-019</t>
  </si>
  <si>
    <t>9700-0019-00</t>
  </si>
  <si>
    <t>SUZUKI SWIFT '07 (RHD)</t>
  </si>
  <si>
    <t>PFE-020</t>
  </si>
  <si>
    <t>9700-0020-00</t>
  </si>
  <si>
    <t>SUZUKI SWIFT 05"</t>
  </si>
  <si>
    <t>PFE-021</t>
  </si>
  <si>
    <t>9700-0021-00</t>
  </si>
  <si>
    <t>RASCOIL PFE  แก้ไข 29/6/52</t>
  </si>
  <si>
    <t>PFE-022</t>
  </si>
  <si>
    <t>9700-0022-00</t>
  </si>
  <si>
    <t>HINO FORMULA  (RHD)</t>
  </si>
  <si>
    <t>PFE-023</t>
  </si>
  <si>
    <t>9700-0023-00</t>
  </si>
  <si>
    <t>SUZUKI APV. [ R.H.D ]</t>
  </si>
  <si>
    <t>PFE-024</t>
  </si>
  <si>
    <t>9700-0024-00</t>
  </si>
  <si>
    <t>LEXUS RX-300  03  (RHD)</t>
  </si>
  <si>
    <t>PFE-025</t>
  </si>
  <si>
    <t>9700-0025-00</t>
  </si>
  <si>
    <t>HONDA ODYSSEY 04  (RHD)</t>
  </si>
  <si>
    <t>PFE-026</t>
  </si>
  <si>
    <t>9700-0026-00</t>
  </si>
  <si>
    <t>HONDA CIVIC '07 LHD W/PIPE</t>
  </si>
  <si>
    <t>PFE-027</t>
  </si>
  <si>
    <t>9700-0027-00</t>
  </si>
  <si>
    <t>LEXUS IS-250  RHD</t>
  </si>
  <si>
    <t>PFE-028</t>
  </si>
  <si>
    <t>9700-0028-00</t>
  </si>
  <si>
    <t>HONDA CIVIC 07"R.H.DW/PIPE</t>
  </si>
  <si>
    <t>PFE-029</t>
  </si>
  <si>
    <t>9700-0029-00</t>
  </si>
  <si>
    <t>RANGE ROVER '98 LHD.</t>
  </si>
  <si>
    <t>PFE-030</t>
  </si>
  <si>
    <t>9700-0030-00</t>
  </si>
  <si>
    <t>CSS PFE</t>
  </si>
  <si>
    <t>PFE-031</t>
  </si>
  <si>
    <t>9700-0031-00</t>
  </si>
  <si>
    <t>HONDA ODYSSEY '04 (LHD)</t>
  </si>
  <si>
    <t>PFE-032</t>
  </si>
  <si>
    <t>9700-0032-00</t>
  </si>
  <si>
    <t>LAND ROVER FREELANDER RHD.</t>
  </si>
  <si>
    <t>PFE-033</t>
  </si>
  <si>
    <t>9700-0033-00</t>
  </si>
  <si>
    <t>MIT.FUSO YK 06  L.H.D.</t>
  </si>
  <si>
    <t>PFE-034</t>
  </si>
  <si>
    <t>9700-0034-00</t>
  </si>
  <si>
    <t>BENZ TRUCK  ACSOR (LHD)</t>
  </si>
  <si>
    <t>PFE-035</t>
  </si>
  <si>
    <t>9700-0035-00</t>
  </si>
  <si>
    <t>MITSUBISHI TRUCK  (LHD)</t>
  </si>
  <si>
    <t>PFE-036</t>
  </si>
  <si>
    <t>9700-0036-00</t>
  </si>
  <si>
    <t>BENZ  W-210  (RHD)</t>
  </si>
  <si>
    <t>PFE-037</t>
  </si>
  <si>
    <t>9700-0037-00</t>
  </si>
  <si>
    <t>BMW X5  3000 CC. (LHD)</t>
  </si>
  <si>
    <t>PFE-038</t>
  </si>
  <si>
    <t>9700-0038-00</t>
  </si>
  <si>
    <t>LUXUS RX-300 (LHD)</t>
  </si>
  <si>
    <t>PFE-039</t>
  </si>
  <si>
    <t>9700-0039-00</t>
  </si>
  <si>
    <t>LUXUS IS-250 (LHD)</t>
  </si>
  <si>
    <t>PFE-040</t>
  </si>
  <si>
    <t>9700-0040-00</t>
  </si>
  <si>
    <t xml:space="preserve">PROTON SAVVY (PW891983) </t>
  </si>
  <si>
    <t>PFE-041</t>
  </si>
  <si>
    <t>9700-0041-00</t>
  </si>
  <si>
    <t>PORTON NEO (PW 892438)RHD</t>
  </si>
  <si>
    <t>PFE-042</t>
  </si>
  <si>
    <t>9700-0042-00</t>
  </si>
  <si>
    <t>SPRINTER-CARET ยกเลิกใช้ PFE-211</t>
  </si>
  <si>
    <t>PFE-043</t>
  </si>
  <si>
    <t>9700-0043-00</t>
  </si>
  <si>
    <t>PEUGEOT-DUCATOR</t>
  </si>
  <si>
    <t>PFE-044</t>
  </si>
  <si>
    <t>9700-0044-00</t>
  </si>
  <si>
    <t xml:space="preserve">BMW E39 '00-'03 LHD &amp; RHD </t>
  </si>
  <si>
    <t>PFE-045</t>
  </si>
  <si>
    <t>9700-0045-00</t>
  </si>
  <si>
    <t>RENAULT LUGAN  (LHD)</t>
  </si>
  <si>
    <t>PFE-046</t>
  </si>
  <si>
    <t>9700-0046-00</t>
  </si>
  <si>
    <t>TOYOTA HILUX TIGER D4D [LHD]</t>
  </si>
  <si>
    <t>PFE-047</t>
  </si>
  <si>
    <t>9700-0047-00</t>
  </si>
  <si>
    <t>HINO HARRACK RHD.</t>
  </si>
  <si>
    <t>PFE-048</t>
  </si>
  <si>
    <t>9700-0048-00</t>
  </si>
  <si>
    <t>EXCAVATOR</t>
  </si>
  <si>
    <t>PFE-049</t>
  </si>
  <si>
    <t>9700-0049-00</t>
  </si>
  <si>
    <t xml:space="preserve">BMW.E90 '06 SERIES 3 (LHD) </t>
  </si>
  <si>
    <t>PFE-050</t>
  </si>
  <si>
    <t>9700-0050-00</t>
  </si>
  <si>
    <t>BENZ W210/200k 99-02" (LHD)</t>
  </si>
  <si>
    <t>PFE-051</t>
  </si>
  <si>
    <t>9700-0051-00</t>
  </si>
  <si>
    <t>ISUZU (GOOD-TEMP)</t>
  </si>
  <si>
    <t>PFE-052</t>
  </si>
  <si>
    <t>9700-0052-00</t>
  </si>
  <si>
    <t>MIT-TRUCK  (GOOD-TEMP)</t>
  </si>
  <si>
    <t>PFE-053</t>
  </si>
  <si>
    <t>9700-0053-00</t>
  </si>
  <si>
    <t xml:space="preserve">KOMATSU  </t>
  </si>
  <si>
    <t>PFE-054</t>
  </si>
  <si>
    <t>9700-0054-00</t>
  </si>
  <si>
    <t xml:space="preserve">KOBELCO MARK'8 </t>
  </si>
  <si>
    <t>PFE-055</t>
  </si>
  <si>
    <t>9700-0055-00</t>
  </si>
  <si>
    <t>HONDA CIVIC '2008 [ L.H.D ]</t>
  </si>
  <si>
    <t>PFE-056</t>
  </si>
  <si>
    <t>9700-0056-00</t>
  </si>
  <si>
    <t>ISUZU NPR 150 ( R.H.D )</t>
  </si>
  <si>
    <t>PFE-057</t>
  </si>
  <si>
    <t>9700-0057-00</t>
  </si>
  <si>
    <t xml:space="preserve">CITY  COIL </t>
  </si>
  <si>
    <t>PFE-058</t>
  </si>
  <si>
    <t>9700-0058-00</t>
  </si>
  <si>
    <t xml:space="preserve">TOYOTA LEXUS GS-300 </t>
  </si>
  <si>
    <t>PFE-059</t>
  </si>
  <si>
    <t>9700-0059-00</t>
  </si>
  <si>
    <t xml:space="preserve">SUZUKI RIANA 2007  </t>
  </si>
  <si>
    <t>PFE-060</t>
  </si>
  <si>
    <t>9700-0060-00</t>
  </si>
  <si>
    <t xml:space="preserve">VOLVO  '2004 </t>
  </si>
  <si>
    <t>PFE-061</t>
  </si>
  <si>
    <t>9700-0061-00</t>
  </si>
  <si>
    <t>HONDA CIVIC 2008 [ RHD ]</t>
  </si>
  <si>
    <t>PFE-062</t>
  </si>
  <si>
    <t>9700-0062-00</t>
  </si>
  <si>
    <t xml:space="preserve">MIT.ZINGER VAN </t>
  </si>
  <si>
    <t>PFE-063</t>
  </si>
  <si>
    <t>9700-0063-00</t>
  </si>
  <si>
    <t>HINO TRUCK MOD [ R.H.D ]</t>
  </si>
  <si>
    <t>PFE-064</t>
  </si>
  <si>
    <t>9700-0064-00</t>
  </si>
  <si>
    <t>SUBARU L.H.D</t>
  </si>
  <si>
    <t>PFE-065</t>
  </si>
  <si>
    <t>9700-0065-00</t>
  </si>
  <si>
    <t>NISSAN SERENA ( Front ) 2001</t>
  </si>
  <si>
    <t>PFE-066</t>
  </si>
  <si>
    <t>9700-0066-00</t>
  </si>
  <si>
    <t>NISSAN SERENA ( REAR ) 2001</t>
  </si>
  <si>
    <t>PFE-067</t>
  </si>
  <si>
    <t>9700-0067-00</t>
  </si>
  <si>
    <t>BENZ SPRINTER (LHD)</t>
  </si>
  <si>
    <t>PFE-068</t>
  </si>
  <si>
    <t>9700-0068-00</t>
  </si>
  <si>
    <t>RENAULT KANGOO (RHD.)</t>
  </si>
  <si>
    <t>PFE-069</t>
  </si>
  <si>
    <t>9700-0069-00</t>
  </si>
  <si>
    <t>MITSUBISHI COLT'07 (RHD/LHD)</t>
  </si>
  <si>
    <t>PFE-070</t>
  </si>
  <si>
    <t>9700-0070-00</t>
  </si>
  <si>
    <t>MIT.FUSO.CENTER 2010  L.H.D</t>
  </si>
  <si>
    <t>PFE-071</t>
  </si>
  <si>
    <t>9700-0071-00</t>
  </si>
  <si>
    <t>ISUZU 2010 (LHD)</t>
  </si>
  <si>
    <t>PFE-072</t>
  </si>
  <si>
    <t>9700-0072-00</t>
  </si>
  <si>
    <t>SUBARU  IMPREZA  R.H.D</t>
  </si>
  <si>
    <t>PFE-073</t>
  </si>
  <si>
    <t>9700-0073-00</t>
  </si>
  <si>
    <t>RAS  FAISAL [ L.H.D }</t>
  </si>
  <si>
    <t>PFE-074</t>
  </si>
  <si>
    <t>9700-0074-00</t>
  </si>
  <si>
    <t>BELIAL</t>
  </si>
  <si>
    <t>PFE-075</t>
  </si>
  <si>
    <t>9700-0075-00</t>
  </si>
  <si>
    <t>HONDA  JAZZ [ L.H.D }</t>
  </si>
  <si>
    <t>PFE-076</t>
  </si>
  <si>
    <t>9700-0076-00</t>
  </si>
  <si>
    <t>EHYA  2010 [ L.H.D ]</t>
  </si>
  <si>
    <t>PFE-077</t>
  </si>
  <si>
    <t>9700-0077-00</t>
  </si>
  <si>
    <t>MITSUBISHI FUSO ( R.H.D )</t>
  </si>
  <si>
    <t>PFE-078</t>
  </si>
  <si>
    <t>9700-0078-00</t>
  </si>
  <si>
    <t>VW.T5'05 [rear]</t>
  </si>
  <si>
    <t>PFE-079</t>
  </si>
  <si>
    <t>9700-0079-00</t>
  </si>
  <si>
    <t>CHAVROLET LUMINA '09 (LHD)</t>
  </si>
  <si>
    <t>PFE-080</t>
  </si>
  <si>
    <t>9700-0080-00</t>
  </si>
  <si>
    <t>SCANIA '2009 (LHD)</t>
  </si>
  <si>
    <t>PFE-081</t>
  </si>
  <si>
    <t>9700-0081-00</t>
  </si>
  <si>
    <t>PFE-082</t>
  </si>
  <si>
    <t>9700-0082-00</t>
  </si>
  <si>
    <t>HITACHI NEW.MODEL (RHD)</t>
  </si>
  <si>
    <t>PFE-083</t>
  </si>
  <si>
    <t>9700-0083-00</t>
  </si>
  <si>
    <t>BENZ C-200 '07 (LHD)</t>
  </si>
  <si>
    <t>PFE-084</t>
  </si>
  <si>
    <t>9700-0084-00</t>
  </si>
  <si>
    <t>VW. TDI T5 '2005 (RHD.)</t>
  </si>
  <si>
    <t>PFE-085</t>
  </si>
  <si>
    <t>9700-0085-00</t>
  </si>
  <si>
    <t>LAND ROVER (G4S)</t>
  </si>
  <si>
    <t>PFE-086</t>
  </si>
  <si>
    <t>9700-0086-00</t>
  </si>
  <si>
    <t>FUSO '2010 LHD.</t>
  </si>
  <si>
    <t>PFE-087</t>
  </si>
  <si>
    <t>9700-0087-00</t>
  </si>
  <si>
    <t>BENZ TRUCK ACSOR (RHD)</t>
  </si>
  <si>
    <t>PFE-088</t>
  </si>
  <si>
    <t>9700-0088-00</t>
  </si>
  <si>
    <t>PFE-089</t>
  </si>
  <si>
    <t>9700-0089-00</t>
  </si>
  <si>
    <t>BMW.X5  '2007 (LHD&amp;RHD)</t>
  </si>
  <si>
    <t>PFE-090</t>
  </si>
  <si>
    <t>9700-0090-00</t>
  </si>
  <si>
    <t>HONDA FIT '08 (LHD)</t>
  </si>
  <si>
    <t>PFE-091</t>
  </si>
  <si>
    <t>9700-0091-00</t>
  </si>
  <si>
    <t>NISSAN   CEFIRO</t>
  </si>
  <si>
    <t>PFE-092</t>
  </si>
  <si>
    <t>9700-0092-00</t>
  </si>
  <si>
    <t>SUBARU LEGACY JFIDP9 (RHD)</t>
  </si>
  <si>
    <t>PFE-093</t>
  </si>
  <si>
    <t>9700-0093-00</t>
  </si>
  <si>
    <t>DAI. SIRION-TERIOS (LHD)</t>
  </si>
  <si>
    <t>PFE-094</t>
  </si>
  <si>
    <t>9700-0094-00</t>
  </si>
  <si>
    <t>VOLVO  TRUCK FM/400 (RHD&amp;LHD)</t>
  </si>
  <si>
    <t>PFE-095</t>
  </si>
  <si>
    <t>9700-0095-00</t>
  </si>
  <si>
    <t>HONDA CRV '08-'09</t>
  </si>
  <si>
    <t>PFE-096</t>
  </si>
  <si>
    <t>9700-0096-00</t>
  </si>
  <si>
    <t xml:space="preserve">FORD  EDGE 06" [ L..H.D ] </t>
  </si>
  <si>
    <t>PFE-097</t>
  </si>
  <si>
    <t>9700-0097-00</t>
  </si>
  <si>
    <t>PFE-098</t>
  </si>
  <si>
    <t>9701-0001-00</t>
  </si>
  <si>
    <t>BMW.E90 06 SERIES'3  (LHD)</t>
  </si>
  <si>
    <t>PFE-099</t>
  </si>
  <si>
    <t>9700-0098-00</t>
  </si>
  <si>
    <t>HONDA  BRIO 1.3 VETC</t>
  </si>
  <si>
    <t>PFE-100</t>
  </si>
  <si>
    <t>9700-0099-00</t>
  </si>
  <si>
    <t>TOYOTA RUX (RHD)</t>
  </si>
  <si>
    <t>PFE-101</t>
  </si>
  <si>
    <t>9700-0100-00</t>
  </si>
  <si>
    <t>TOBE 2010  ( LHD )</t>
  </si>
  <si>
    <t>PFE-102</t>
  </si>
  <si>
    <t>9701-0002-00</t>
  </si>
  <si>
    <t>TOYOTA HIACE  '04</t>
  </si>
  <si>
    <t>PFE-103</t>
  </si>
  <si>
    <t>9701-0003-00</t>
  </si>
  <si>
    <t>PFE-104</t>
  </si>
  <si>
    <t>9701-0004-00</t>
  </si>
  <si>
    <t>FOR  MAHINDRA MHAWK</t>
  </si>
  <si>
    <t>PFE-105</t>
  </si>
  <si>
    <t>9701-0005-00</t>
  </si>
  <si>
    <t>BMW.E90 '2006 (RHD)</t>
  </si>
  <si>
    <t>PFE-106</t>
  </si>
  <si>
    <t>9700-0101-00</t>
  </si>
  <si>
    <t>BENZ C204 RHD.</t>
  </si>
  <si>
    <t>PFE-107</t>
  </si>
  <si>
    <t>9700-0102-00</t>
  </si>
  <si>
    <t>KOBELO MARK  VI (RHD)</t>
  </si>
  <si>
    <t>PFE-108</t>
  </si>
  <si>
    <t>9700-0103-00</t>
  </si>
  <si>
    <t>PFE-109</t>
  </si>
  <si>
    <t>9700-0104-00</t>
  </si>
  <si>
    <t>PROTON PERSONA '09 (RHD)</t>
  </si>
  <si>
    <t>PFE-110</t>
  </si>
  <si>
    <t>9701-0006-00</t>
  </si>
  <si>
    <t>TOYOTA LANDCRUISER '99 (RHD)</t>
  </si>
  <si>
    <t>PFE-111</t>
  </si>
  <si>
    <t>9701-0007-00</t>
  </si>
  <si>
    <t>TOYOTA LAND CRUISER</t>
  </si>
  <si>
    <t>PFE-112</t>
  </si>
  <si>
    <t>9700-0105-00</t>
  </si>
  <si>
    <t>MIT. FUSO/CANTER (S) LHD</t>
  </si>
  <si>
    <t>PFE-113</t>
  </si>
  <si>
    <t>9700-0106-00</t>
  </si>
  <si>
    <t>PROTON EXORA (RHD)</t>
  </si>
  <si>
    <t>PFE-114</t>
  </si>
  <si>
    <t>9701-0008-00</t>
  </si>
  <si>
    <t>AUDI A6 (RHD&amp;LHD)</t>
  </si>
  <si>
    <t>PFE-115</t>
  </si>
  <si>
    <t>9701-0009-00</t>
  </si>
  <si>
    <t>TOYOTA  LEXUS GS-300 (LHD)</t>
  </si>
  <si>
    <t>PFE-116</t>
  </si>
  <si>
    <t>9700-0107-00</t>
  </si>
  <si>
    <t>HYUNDAI UNIVERSEL (FRONT)</t>
  </si>
  <si>
    <t>PFE-117</t>
  </si>
  <si>
    <t>9701-0010-00</t>
  </si>
  <si>
    <t>OPEL VECTRA 'C (LHD)</t>
  </si>
  <si>
    <t>PFE-118</t>
  </si>
  <si>
    <t>9700-0108-00</t>
  </si>
  <si>
    <t>JEEP  '2009</t>
  </si>
  <si>
    <t>PFE-119</t>
  </si>
  <si>
    <t>9701-0011-00</t>
  </si>
  <si>
    <t>MIT.LANCER  '2005</t>
  </si>
  <si>
    <t>PFE-120</t>
  </si>
  <si>
    <t>9700-0109-00</t>
  </si>
  <si>
    <t>MAZDA CX7  RHD.</t>
  </si>
  <si>
    <t>PFE-121</t>
  </si>
  <si>
    <t>9700-0110-00</t>
  </si>
  <si>
    <t>MAZDA  2009"</t>
  </si>
  <si>
    <t>PFE-122</t>
  </si>
  <si>
    <t>9701-0012-00</t>
  </si>
  <si>
    <t>TOYATA LANDCRUISER (LHD)</t>
  </si>
  <si>
    <t>PFE-123</t>
  </si>
  <si>
    <t>9700-0111-00</t>
  </si>
  <si>
    <t>NISSAN MARCH 2012</t>
  </si>
  <si>
    <t>PFE-124</t>
  </si>
  <si>
    <t>9700-0112-00</t>
  </si>
  <si>
    <t>MODEL. LS.527600</t>
  </si>
  <si>
    <t>PFE-125</t>
  </si>
  <si>
    <t>9700-0113-00</t>
  </si>
  <si>
    <t>SUBARU LEGACY (LHD)</t>
  </si>
  <si>
    <t>PFE-126</t>
  </si>
  <si>
    <t>9700-0114-00</t>
  </si>
  <si>
    <t>SUZUKI (V) LHD</t>
  </si>
  <si>
    <t>PFE-127</t>
  </si>
  <si>
    <t>9701-0013-00</t>
  </si>
  <si>
    <t>PEUGEOT '307(LHD)</t>
  </si>
  <si>
    <t>PFE-128</t>
  </si>
  <si>
    <t>9700-0115-00</t>
  </si>
  <si>
    <t>NISSAN N-17 (RHD)</t>
  </si>
  <si>
    <t>PFE-129</t>
  </si>
  <si>
    <t>9700-0116-00</t>
  </si>
  <si>
    <t>PFE-130</t>
  </si>
  <si>
    <t>9700-0117-00</t>
  </si>
  <si>
    <t>KIA CERATO</t>
  </si>
  <si>
    <t>PFE-131</t>
  </si>
  <si>
    <t>9700-0118-00</t>
  </si>
  <si>
    <t>MAZDA 2</t>
  </si>
  <si>
    <t>PFE-132</t>
  </si>
  <si>
    <t>9700-0119-00</t>
  </si>
  <si>
    <t>HYUNDAI H-1/STAREX'08 (LHD)</t>
  </si>
  <si>
    <t>PFE-133</t>
  </si>
  <si>
    <t>9700-0120-00</t>
  </si>
  <si>
    <t>NISSAN CABSTAR F-24</t>
  </si>
  <si>
    <t>PFE-134</t>
  </si>
  <si>
    <t>9700-0121-00</t>
  </si>
  <si>
    <t>PEUEOT - 308</t>
  </si>
  <si>
    <t>PFE-135</t>
  </si>
  <si>
    <t>9700-0122-00</t>
  </si>
  <si>
    <t>MINI COOPER R56</t>
  </si>
  <si>
    <t>PFE-136</t>
  </si>
  <si>
    <t>9700-0123-00</t>
  </si>
  <si>
    <t>HONDA  ACCORD '2010 (LHD)</t>
  </si>
  <si>
    <t>PFE-137</t>
  </si>
  <si>
    <t>9700-0124-00</t>
  </si>
  <si>
    <t>HONDA JAZZ  '2008 (RHD)</t>
  </si>
  <si>
    <t>PFE-138</t>
  </si>
  <si>
    <t>9700-0125-00</t>
  </si>
  <si>
    <t>MIT. LANCER FORTIS '07 2.0 L (LHD)</t>
  </si>
  <si>
    <t>PFE-139</t>
  </si>
  <si>
    <t>9701-0014-00</t>
  </si>
  <si>
    <t>CHRYSLER-DODGE (LHD)</t>
  </si>
  <si>
    <t>PFE-140</t>
  </si>
  <si>
    <t>9700-0126-00</t>
  </si>
  <si>
    <t>RFQ 3644</t>
  </si>
  <si>
    <t>PFE-141</t>
  </si>
  <si>
    <t>9700-0127-00</t>
  </si>
  <si>
    <t xml:space="preserve"> HYUNDAI STAREX/H-1 2010 (L&amp;R)</t>
  </si>
  <si>
    <t>PFE-142</t>
  </si>
  <si>
    <t>9700-0128-00</t>
  </si>
  <si>
    <t>NISSAN X-TRAIL (RHD&amp;LHD)</t>
  </si>
  <si>
    <t>PFE-143</t>
  </si>
  <si>
    <t>9701-0015-00</t>
  </si>
  <si>
    <t>MIT  PAJERO PININ '02-03 (LHD)</t>
  </si>
  <si>
    <t>PFE-144</t>
  </si>
  <si>
    <t>9700-0129-00</t>
  </si>
  <si>
    <t>MIT.LANCER '2008 RHD  ราคาพิเศษ 645</t>
  </si>
  <si>
    <t>PFE-145</t>
  </si>
  <si>
    <t>9700-0130-00</t>
  </si>
  <si>
    <t>SUBARU IMPREZA'03 LHD.</t>
  </si>
  <si>
    <t>PFE-146</t>
  </si>
  <si>
    <t>9700-0131-00</t>
  </si>
  <si>
    <t>LUXGEN '5 2012  LHD.</t>
  </si>
  <si>
    <t>PFE-147</t>
  </si>
  <si>
    <t>9701-0016-00</t>
  </si>
  <si>
    <t>VOLVO S80  '2008</t>
  </si>
  <si>
    <t>PFE-148</t>
  </si>
  <si>
    <t>9700-0132-00</t>
  </si>
  <si>
    <t>HYUNDAI  I30  '09</t>
  </si>
  <si>
    <t>PFE-149</t>
  </si>
  <si>
    <t>9701-0017-00</t>
  </si>
  <si>
    <t>BMW.E39' 00-03 (RHD/LHD)</t>
  </si>
  <si>
    <t>PFE-150</t>
  </si>
  <si>
    <t>9701-0018-00</t>
  </si>
  <si>
    <t>PFE-151</t>
  </si>
  <si>
    <t>9700-0133-00</t>
  </si>
  <si>
    <t>MAZDA  MPV. (REAR)</t>
  </si>
  <si>
    <t>PFE-152</t>
  </si>
  <si>
    <t>9700-0134-00</t>
  </si>
  <si>
    <t>CHRYSLER'08 (LHD.)</t>
  </si>
  <si>
    <t>PFE-153</t>
  </si>
  <si>
    <t>9700-0135-00</t>
  </si>
  <si>
    <t>MAZDA MPV (READ)</t>
  </si>
  <si>
    <t>PFE-154</t>
  </si>
  <si>
    <t>9700-0136-00</t>
  </si>
  <si>
    <t>CHRYSLER '2008-'2010(LHD.)</t>
  </si>
  <si>
    <t>PFE-155</t>
  </si>
  <si>
    <t>9701-0019-00</t>
  </si>
  <si>
    <t>TOYOTA PRADO '2012</t>
  </si>
  <si>
    <t>PFE-156</t>
  </si>
  <si>
    <t>9700-0137-00</t>
  </si>
  <si>
    <t>NISSAN X-TRAIL  '2008(RHD&amp;LHD)</t>
  </si>
  <si>
    <t>PFE-157</t>
  </si>
  <si>
    <t>9700-0138-00</t>
  </si>
  <si>
    <t>DAIHATSU PASSO '08 (LHD)</t>
  </si>
  <si>
    <t>PFE-158</t>
  </si>
  <si>
    <t>9701-0020-00</t>
  </si>
  <si>
    <t>TOY.LANDCRUISER '2009(RHD)</t>
  </si>
  <si>
    <t>PFE-159</t>
  </si>
  <si>
    <t>9700-0139-00</t>
  </si>
  <si>
    <t>LS.5749.09</t>
  </si>
  <si>
    <t>PFE-160</t>
  </si>
  <si>
    <t>9700-0140-00</t>
  </si>
  <si>
    <t>SUZUKI CELERIO '09 (LHD)</t>
  </si>
  <si>
    <t>PFE-161</t>
  </si>
  <si>
    <t>9700-0141-00</t>
  </si>
  <si>
    <t>FOR NISSAN CUBE/JUKE (RHD)</t>
  </si>
  <si>
    <t>PFE-162</t>
  </si>
  <si>
    <t>9700-0142-00</t>
  </si>
  <si>
    <t>HONDA STEP WAGON (REAR)</t>
  </si>
  <si>
    <t>PFE-163</t>
  </si>
  <si>
    <t>9700-0143-00</t>
  </si>
  <si>
    <t>HONDA STEP WAGON(RHD)FRONT</t>
  </si>
  <si>
    <t>PFE-164</t>
  </si>
  <si>
    <t>9700-0144-00</t>
  </si>
  <si>
    <t>HONDA ACCORD '2010 (RHD)</t>
  </si>
  <si>
    <t>PFE-165</t>
  </si>
  <si>
    <t>9700-0145-00</t>
  </si>
  <si>
    <t>BELIAL (A)</t>
  </si>
  <si>
    <t>PFE-166</t>
  </si>
  <si>
    <t>9700-0146-00</t>
  </si>
  <si>
    <t>SUBARU IMPREZA (LHD)</t>
  </si>
  <si>
    <t>PFE-167</t>
  </si>
  <si>
    <t>9700-0147-00</t>
  </si>
  <si>
    <t>KIA CERATO  '2006</t>
  </si>
  <si>
    <t>PFE-168</t>
  </si>
  <si>
    <t>9700-0148-00</t>
  </si>
  <si>
    <t>ISUZU D-MAX ALL NEW  '2012 (RHD&amp;LHD)</t>
  </si>
  <si>
    <t>PFE-169</t>
  </si>
  <si>
    <t>9700-0149-00</t>
  </si>
  <si>
    <t>KONVEKTA (A)</t>
  </si>
  <si>
    <t>PFE-170</t>
  </si>
  <si>
    <t>9701-0021-00</t>
  </si>
  <si>
    <t>TOYOTA RAV 4 (LHD)</t>
  </si>
  <si>
    <t>PFE-171</t>
  </si>
  <si>
    <t>9700-0150-00</t>
  </si>
  <si>
    <t>PERODUA  ALZA  [ RHD ]</t>
  </si>
  <si>
    <t>PFE-172</t>
  </si>
  <si>
    <t>9700-0151-00</t>
  </si>
  <si>
    <t>PFE-173</t>
  </si>
  <si>
    <t>9701-0022-00</t>
  </si>
  <si>
    <t>TOYOTA LANCRUISER (REAR)</t>
  </si>
  <si>
    <t>PFE-174</t>
  </si>
  <si>
    <t>9701-0023-00</t>
  </si>
  <si>
    <t>TOY.LANDCRUISER'2009 (LHD)</t>
  </si>
  <si>
    <t>PFE-175</t>
  </si>
  <si>
    <t>9700-0152-00</t>
  </si>
  <si>
    <t>FORD MONDEO '2008 (LHD)</t>
  </si>
  <si>
    <t>PFE-176</t>
  </si>
  <si>
    <t>9701-0024-00</t>
  </si>
  <si>
    <t>BENZ SPRINTER  '03-'06 (LHD)</t>
  </si>
  <si>
    <t>PFE-177</t>
  </si>
  <si>
    <t>9700-0153-00</t>
  </si>
  <si>
    <t>SUZUKI GRAND VITARA'08 (LHD)</t>
  </si>
  <si>
    <t>PFE-178</t>
  </si>
  <si>
    <t>9701-0025-00</t>
  </si>
  <si>
    <t>JEEP COMMANDER  06 (LHD)</t>
  </si>
  <si>
    <t>PFE-179</t>
  </si>
  <si>
    <t>9700-0154-00</t>
  </si>
  <si>
    <t>SUZUKI CELERIO '09 (RHD)</t>
  </si>
  <si>
    <t>PFE-180</t>
  </si>
  <si>
    <t>9701-0026-00</t>
  </si>
  <si>
    <t>RENAULT CLIO  '98-'06 LHD</t>
  </si>
  <si>
    <t>PFE-181</t>
  </si>
  <si>
    <t>9700-0155-00</t>
  </si>
  <si>
    <t>TOYOTA BB (RHD)</t>
  </si>
  <si>
    <t>PFE-182</t>
  </si>
  <si>
    <t>9700-0156-00</t>
  </si>
  <si>
    <t>DAIHATSU GRAND MAX (PU) RHD</t>
  </si>
  <si>
    <t>PFE-183</t>
  </si>
  <si>
    <t>9700-0157-00</t>
  </si>
  <si>
    <t>DAIHATSU GRAND MAX (MINIBUS)</t>
  </si>
  <si>
    <t>PFE-184</t>
  </si>
  <si>
    <t>9700-0158-00</t>
  </si>
  <si>
    <t>TOYOTA NEW AVANZA</t>
  </si>
  <si>
    <t>PFE-185</t>
  </si>
  <si>
    <t>9701-0027-00</t>
  </si>
  <si>
    <t>DAIHATSU SIRION  '2006</t>
  </si>
  <si>
    <t>PFE-186</t>
  </si>
  <si>
    <t>9701-0028-00</t>
  </si>
  <si>
    <t>MINI COOPER ( LHD/RHD)</t>
  </si>
  <si>
    <t>PFE-187</t>
  </si>
  <si>
    <t>9701-0029-00</t>
  </si>
  <si>
    <t>MITSUBISHI COLT  '07 ( LHD/RHD)</t>
  </si>
  <si>
    <t>PFE-188</t>
  </si>
  <si>
    <t>9700-0159-00</t>
  </si>
  <si>
    <t>HINO  A3 (RHD)</t>
  </si>
  <si>
    <t>PFE-189</t>
  </si>
  <si>
    <t>9700-0160-00</t>
  </si>
  <si>
    <t>KAI.RONDO  '2008 (LHD)</t>
  </si>
  <si>
    <t>PFE-190</t>
  </si>
  <si>
    <t>9701-0030-00</t>
  </si>
  <si>
    <t>LEXUS LS-460 (LHD)</t>
  </si>
  <si>
    <t>PFE-191</t>
  </si>
  <si>
    <t>9700-0161-00</t>
  </si>
  <si>
    <t>NISSAN URVAN 2012  ( E 26 )</t>
  </si>
  <si>
    <t>PFE-192</t>
  </si>
  <si>
    <t>9700-0163-00</t>
  </si>
  <si>
    <t>PROTON  SAVVY  (LHD)</t>
  </si>
  <si>
    <t>PFE-193</t>
  </si>
  <si>
    <t>9700-0162-00</t>
  </si>
  <si>
    <t>NISSAN URVAN 2012  (LHD)</t>
  </si>
  <si>
    <t>PFE-194</t>
  </si>
  <si>
    <t>9700-0164-00</t>
  </si>
  <si>
    <t>HYUNDAI H-1  (RHD) FRONT</t>
  </si>
  <si>
    <t>PFE-195</t>
  </si>
  <si>
    <t>9700-0165-00</t>
  </si>
  <si>
    <t>รุ่น HYUNDAI H-1 (REAR)</t>
  </si>
  <si>
    <t>PFE-196</t>
  </si>
  <si>
    <t>9700-0166-00</t>
  </si>
  <si>
    <t>PEUGEOT 407</t>
  </si>
  <si>
    <t>PFE-197</t>
  </si>
  <si>
    <t>9700-0167-00</t>
  </si>
  <si>
    <t>DAEWOOD LACETTI2008 (LHD)</t>
  </si>
  <si>
    <t>PFE-198</t>
  </si>
  <si>
    <t>9700-0169-00</t>
  </si>
  <si>
    <t>CHEVROLET SPARK '2010 (LHD)</t>
  </si>
  <si>
    <t>PFE-199</t>
  </si>
  <si>
    <t>9700-0168-00</t>
  </si>
  <si>
    <t>SUZUKI  GRAND VITARA'08(RHD)</t>
  </si>
  <si>
    <t>PFE-200</t>
  </si>
  <si>
    <t>9700-0170-00</t>
  </si>
  <si>
    <t>NISSAN SYLPHY'2012 (RHD)</t>
  </si>
  <si>
    <t>PFE-201</t>
  </si>
  <si>
    <t>9700-0171-00</t>
  </si>
  <si>
    <t>HYUNDAI ELENTRA '2008 (RHD)</t>
  </si>
  <si>
    <t>PFE-202</t>
  </si>
  <si>
    <t>9700-0172-00</t>
  </si>
  <si>
    <t>HYUNDAI ELANTRA '2012 (LHD)</t>
  </si>
  <si>
    <t>PFE-203</t>
  </si>
  <si>
    <t>9700-0173-00</t>
  </si>
  <si>
    <t>PERODUA VIVA</t>
  </si>
  <si>
    <t>PFE-204</t>
  </si>
  <si>
    <t>9700-0174-00</t>
  </si>
  <si>
    <t>PFE-205</t>
  </si>
  <si>
    <t>9700-0175-00</t>
  </si>
  <si>
    <t>RENAULT LUGAN  '2008</t>
  </si>
  <si>
    <t>PFE-206</t>
  </si>
  <si>
    <t>9700-0176-00</t>
  </si>
  <si>
    <t>TATA NANO (2012)</t>
  </si>
  <si>
    <t>PFE-207</t>
  </si>
  <si>
    <t>9700-0177-00</t>
  </si>
  <si>
    <t>BENZ SMRAT'2010</t>
  </si>
  <si>
    <t>PFE-208</t>
  </si>
  <si>
    <t>9700-0178-00</t>
  </si>
  <si>
    <t>CHEVROLET OPTRA (RHD)</t>
  </si>
  <si>
    <t>PFE-209</t>
  </si>
  <si>
    <t>9700-0179-00</t>
  </si>
  <si>
    <t>CHEVROLET SPARK '2010 (RHD)</t>
  </si>
  <si>
    <t>PFE-210</t>
  </si>
  <si>
    <t>9700-0180-00</t>
  </si>
  <si>
    <t>NISSAN NV 200 (RHD) 2010</t>
  </si>
  <si>
    <t>PFE-211</t>
  </si>
  <si>
    <t>9700-0181-00</t>
  </si>
  <si>
    <t>BENZ SPRINTER 3-5T</t>
  </si>
  <si>
    <t>PFE-212</t>
  </si>
  <si>
    <t>9700-0182-00</t>
  </si>
  <si>
    <t>FOR FIAT PUNTO  EVO (LHD)</t>
  </si>
  <si>
    <t>PFE-213</t>
  </si>
  <si>
    <t>9700-0183-00</t>
  </si>
  <si>
    <t>VOLVO CA24</t>
  </si>
  <si>
    <t>PFE-214</t>
  </si>
  <si>
    <t>9700-0184-00</t>
  </si>
  <si>
    <t>CHEVROLET CAPTIVA (RHD)</t>
  </si>
  <si>
    <t>PFE-215</t>
  </si>
  <si>
    <t>9700-0185-00</t>
  </si>
  <si>
    <t>MAHINDRA XYLO (RHD)</t>
  </si>
  <si>
    <t>PFE-216</t>
  </si>
  <si>
    <t>9700-0186-00</t>
  </si>
  <si>
    <t>HYUNDAI VERNA NEW (RHD)</t>
  </si>
  <si>
    <t>PFE-217</t>
  </si>
  <si>
    <t>9700-0187-00</t>
  </si>
  <si>
    <t>HYUNDAI I10 GRAND (RHD)</t>
  </si>
  <si>
    <t>PFE-218</t>
  </si>
  <si>
    <t>9700-0188-00</t>
  </si>
  <si>
    <t>MAHINDRA XUV. 500  (RHD)</t>
  </si>
  <si>
    <t>PFE-219</t>
  </si>
  <si>
    <t>9700-0189-00</t>
  </si>
  <si>
    <t>FORD FIGO (RHD)</t>
  </si>
  <si>
    <t>PFE-220</t>
  </si>
  <si>
    <t>9700-0190-00</t>
  </si>
  <si>
    <t>HONDA AMAZE -BRIO (RHD)</t>
  </si>
  <si>
    <t>PFE-221</t>
  </si>
  <si>
    <t>9700-0191-00</t>
  </si>
  <si>
    <t>PEUGEOT '07 (LHD)</t>
  </si>
  <si>
    <t>PFE-222</t>
  </si>
  <si>
    <t>9700-0192-00</t>
  </si>
  <si>
    <t>DACIA '13  (LHD.)</t>
  </si>
  <si>
    <t>PFE-223</t>
  </si>
  <si>
    <t>9700-0193-00</t>
  </si>
  <si>
    <t>HYUNDAI TUCSON '2011 (RHD)</t>
  </si>
  <si>
    <t>PFE-224</t>
  </si>
  <si>
    <t>9700-0194-00</t>
  </si>
  <si>
    <t>TOYOTA PRADO 2012 (LHD)</t>
  </si>
  <si>
    <t>PFE-226</t>
  </si>
  <si>
    <t>9700-0196-00</t>
  </si>
  <si>
    <t>PFE-227</t>
  </si>
  <si>
    <t>9700-0197-00</t>
  </si>
  <si>
    <t>SUZUKI INDER (RHD)</t>
  </si>
  <si>
    <t>PFE-228</t>
  </si>
  <si>
    <t>9700-0198-00</t>
  </si>
  <si>
    <t>CITROEN DS-3 (RHD)</t>
  </si>
  <si>
    <t>PFE-229</t>
  </si>
  <si>
    <t>9700-0199-00</t>
  </si>
  <si>
    <t>HONDA HRV RHD.</t>
  </si>
  <si>
    <t>PFE-230</t>
  </si>
  <si>
    <t>9701-0031-00</t>
  </si>
  <si>
    <t>PFE-231</t>
  </si>
  <si>
    <t>9701-0032-00</t>
  </si>
  <si>
    <t>TOYOTA SEQUOIA (L.H.D)</t>
  </si>
  <si>
    <t>PFE-232</t>
  </si>
  <si>
    <t>9700-0200-00</t>
  </si>
  <si>
    <t>HYUNDAI I 10 2011 (LHD)</t>
  </si>
  <si>
    <t>PFE-233</t>
  </si>
  <si>
    <t>9701-0033-00</t>
  </si>
  <si>
    <t>MIT.LANCER 2006 (LHD)</t>
  </si>
  <si>
    <t>PFE-234</t>
  </si>
  <si>
    <t>9701-0034-00</t>
  </si>
  <si>
    <t>C.83.01.142.A (ออกแบบใหม่)</t>
  </si>
  <si>
    <t>PFE-236</t>
  </si>
  <si>
    <t>9701-0035-00</t>
  </si>
  <si>
    <t>SANY STC '300 (CRANE)</t>
  </si>
  <si>
    <t>PFE-237</t>
  </si>
  <si>
    <t>9700-0202-00</t>
  </si>
  <si>
    <t>TOYOTA TACOMA (LHD) '05-2012</t>
  </si>
  <si>
    <t>PFE-238</t>
  </si>
  <si>
    <t>9700-0203-00</t>
  </si>
  <si>
    <t>BYDFO (LHD)</t>
  </si>
  <si>
    <t>PFE-239</t>
  </si>
  <si>
    <t>9700-0204-00</t>
  </si>
  <si>
    <t>GOOD TEMP 171</t>
  </si>
  <si>
    <t>PFE-240</t>
  </si>
  <si>
    <t>9700-0205-00</t>
  </si>
  <si>
    <t>GOOD TEMP 008</t>
  </si>
  <si>
    <t>PFE-241</t>
  </si>
  <si>
    <t>9700-0206-00</t>
  </si>
  <si>
    <t>PFE-242</t>
  </si>
  <si>
    <t>9700-0207-00</t>
  </si>
  <si>
    <t>HYUNDAI ACCENT BLUES (LHD)</t>
  </si>
  <si>
    <t>PFE-243</t>
  </si>
  <si>
    <t>9700-0208-00</t>
  </si>
  <si>
    <t>PFE-244</t>
  </si>
  <si>
    <t>9700-0209-00</t>
  </si>
  <si>
    <t>HYUNDAI ELANTRA '08 (LHD)</t>
  </si>
  <si>
    <t>PFE-245</t>
  </si>
  <si>
    <t>9700-0210-00</t>
  </si>
  <si>
    <t>HYUNDAI I10'2008 (LHD)</t>
  </si>
  <si>
    <t>PFE-247</t>
  </si>
  <si>
    <t>9700-0212-00</t>
  </si>
  <si>
    <t>KIA.SOUL  '2010 (LHD)</t>
  </si>
  <si>
    <t>PFE-248</t>
  </si>
  <si>
    <t>9700-0213-00</t>
  </si>
  <si>
    <t>KIA.PICANTO  '2008 (LHD)</t>
  </si>
  <si>
    <t>PFE-250</t>
  </si>
  <si>
    <t>9700-0215-00</t>
  </si>
  <si>
    <t>CHENG GONG</t>
  </si>
  <si>
    <t>PFE-252</t>
  </si>
  <si>
    <t>9700-0217-00</t>
  </si>
  <si>
    <t>SUZUKI K10 (RHD)</t>
  </si>
  <si>
    <t>PFE-255</t>
  </si>
  <si>
    <t>9700-0220-00</t>
  </si>
  <si>
    <t>SKODA OCTAVIA (LHD)</t>
  </si>
  <si>
    <t>PFE-251</t>
  </si>
  <si>
    <t>9700-0216-00</t>
  </si>
  <si>
    <t>HONDA CIVIC '2013 (RHD)</t>
  </si>
  <si>
    <t>PFE-254</t>
  </si>
  <si>
    <t>9700-0219-00</t>
  </si>
  <si>
    <t>SUZUKI SX 4 '2010 (RHD)</t>
  </si>
  <si>
    <t>PFE-249</t>
  </si>
  <si>
    <t>9700-0214-00</t>
  </si>
  <si>
    <t>HYUNDAI H-GRAND (REAR)</t>
  </si>
  <si>
    <t>PFE-253</t>
  </si>
  <si>
    <t>9700-0218-00</t>
  </si>
  <si>
    <t>BRA No.8</t>
  </si>
  <si>
    <t>PFE-256</t>
  </si>
  <si>
    <t>9701-0036-00</t>
  </si>
  <si>
    <t>GMC. REAR</t>
  </si>
  <si>
    <t>PFE-260</t>
  </si>
  <si>
    <t>9701-0037-00</t>
  </si>
  <si>
    <t>MAZDA MPV '2002 (REAR)</t>
  </si>
  <si>
    <t>PFE-257</t>
  </si>
  <si>
    <t>9700-0221-00</t>
  </si>
  <si>
    <t>NISSAN NAVARA NP300</t>
  </si>
  <si>
    <t>PFE-261</t>
  </si>
  <si>
    <t>9700-0224-00</t>
  </si>
  <si>
    <t>HONDA CR-V '2014 (RHD)</t>
  </si>
  <si>
    <t>PFE-262</t>
  </si>
  <si>
    <t>9700-0225-00</t>
  </si>
  <si>
    <t>HYUNDAI I-10 '2012 (LHD)</t>
  </si>
  <si>
    <t>PFE-235</t>
  </si>
  <si>
    <t>9700-0201-00</t>
  </si>
  <si>
    <t>MITSU. MIRAGE (RHD)</t>
  </si>
  <si>
    <t>PFE-263</t>
  </si>
  <si>
    <t>9701-0038-00</t>
  </si>
  <si>
    <t>SUZUKI SX-4 (RHD)</t>
  </si>
  <si>
    <t>PFE-265</t>
  </si>
  <si>
    <t>9701-0039-00</t>
  </si>
  <si>
    <t>PFE-264</t>
  </si>
  <si>
    <t>9700-0226-00</t>
  </si>
  <si>
    <t>TOYOTA NOAH (RHD.)</t>
  </si>
  <si>
    <t>PFE-267</t>
  </si>
  <si>
    <t>9700-0228-00</t>
  </si>
  <si>
    <t>CHEVROLET SPARK (LHD)</t>
  </si>
  <si>
    <t>PFE-268</t>
  </si>
  <si>
    <t>9700-0229-00</t>
  </si>
  <si>
    <t>RENAULT FLUENCE (LHD)</t>
  </si>
  <si>
    <t>PFE-269</t>
  </si>
  <si>
    <t>9700-0230-00</t>
  </si>
  <si>
    <t>JEEP WRANGLER (LHD)</t>
  </si>
  <si>
    <t>PFE-258</t>
  </si>
  <si>
    <t>9700-0222-00</t>
  </si>
  <si>
    <t>MIT.PAJERO SPORT '2016 (REAR)</t>
  </si>
  <si>
    <t>PFE-259</t>
  </si>
  <si>
    <t>9700-0223-00</t>
  </si>
  <si>
    <t>PFE-266</t>
  </si>
  <si>
    <t>9700-0227-00</t>
  </si>
  <si>
    <t>RENAULT TRUCK</t>
  </si>
  <si>
    <t>PFE-270</t>
  </si>
  <si>
    <t>9700-0231-00</t>
  </si>
  <si>
    <t>LANDROVER 2005 (LHD)</t>
  </si>
  <si>
    <t>PFE-272</t>
  </si>
  <si>
    <t>9700-0233-00</t>
  </si>
  <si>
    <t>SUZUKI CELERIO 2014 (RHD)</t>
  </si>
  <si>
    <t>PFE-271</t>
  </si>
  <si>
    <t>9700-0232-00</t>
  </si>
  <si>
    <t>TOYOTA MRS (RHD)</t>
  </si>
  <si>
    <t>PFE-246</t>
  </si>
  <si>
    <t>9700-0211-00</t>
  </si>
  <si>
    <t>PFE-275</t>
  </si>
  <si>
    <t>9700-0236-00</t>
  </si>
  <si>
    <t>HINO VICTOR 2015 (RHD)</t>
  </si>
  <si>
    <t>PFE-280</t>
  </si>
  <si>
    <t>9700-0239-00</t>
  </si>
  <si>
    <t>HYUNDAI (H-100) (LHD)</t>
  </si>
  <si>
    <t>PFE-279</t>
  </si>
  <si>
    <t>9700-0237-00</t>
  </si>
  <si>
    <t>VERA (RHD.)</t>
  </si>
  <si>
    <t>PFE-274</t>
  </si>
  <si>
    <t>9700-0234-00</t>
  </si>
  <si>
    <t>BENZ SPRINTER 2015 (LHD)</t>
  </si>
  <si>
    <t>PFE-277</t>
  </si>
  <si>
    <t>9701-0041-00</t>
  </si>
  <si>
    <t xml:space="preserve">HOANG GIA </t>
  </si>
  <si>
    <t>PFE-278</t>
  </si>
  <si>
    <t>9700-0238-00</t>
  </si>
  <si>
    <t>SSANGYONG STAVIC '2005</t>
  </si>
  <si>
    <t>PFE-282</t>
  </si>
  <si>
    <t>9701-0043-00</t>
  </si>
  <si>
    <t>FORD FOCUS '2013 RHD</t>
  </si>
  <si>
    <t>PFE-283</t>
  </si>
  <si>
    <t>9701-0044-00</t>
  </si>
  <si>
    <t>MICRO BUS (REAR)</t>
  </si>
  <si>
    <t>PFE-276</t>
  </si>
  <si>
    <t>9701-0040-00</t>
  </si>
  <si>
    <t>BENZ W221 (REAR) S-CLASS</t>
  </si>
  <si>
    <t>PFE-281</t>
  </si>
  <si>
    <t>9701-0042-00</t>
  </si>
  <si>
    <t>IVECO MIXER 682 '2014</t>
  </si>
  <si>
    <t>PFE-285</t>
  </si>
  <si>
    <t>9700-0240-00</t>
  </si>
  <si>
    <t xml:space="preserve">FORD MUSTANG '2016 </t>
  </si>
  <si>
    <t>PFE-287</t>
  </si>
  <si>
    <t>9700-0242-00</t>
  </si>
  <si>
    <t>AUDI 'A7 (LHD)</t>
  </si>
  <si>
    <t>PFE-225</t>
  </si>
  <si>
    <t>9700-0195-00</t>
  </si>
  <si>
    <t>CHERY QQ (LHD)</t>
  </si>
  <si>
    <t>PFE-289</t>
  </si>
  <si>
    <t>9700-0243-00</t>
  </si>
  <si>
    <t xml:space="preserve">HONDA CIVIC '2016 RHD </t>
  </si>
  <si>
    <t>PFE-284</t>
  </si>
  <si>
    <t>9701-0045-00</t>
  </si>
  <si>
    <t xml:space="preserve">VW TDI (REAR) RHD. </t>
  </si>
  <si>
    <t>PFE-286</t>
  </si>
  <si>
    <t>9700-0241-00</t>
  </si>
  <si>
    <t>PEUGEOT '301 (LHD)</t>
  </si>
  <si>
    <t>PFE-290</t>
  </si>
  <si>
    <t>9701-0047-00</t>
  </si>
  <si>
    <t>MITSUBISHI PAJERO '14(LHD)</t>
  </si>
  <si>
    <t>PFE-291</t>
  </si>
  <si>
    <t>9700-0244-00</t>
  </si>
  <si>
    <t>PFE-292</t>
  </si>
  <si>
    <t>9700-0245-00</t>
  </si>
  <si>
    <t>HONDA ACCORD '2014 (RHD)</t>
  </si>
  <si>
    <t>PFE-293</t>
  </si>
  <si>
    <t>9700-0246-00</t>
  </si>
  <si>
    <t>HONDA ACCORD '2008 (RHD)</t>
  </si>
  <si>
    <t>PFE-294</t>
  </si>
  <si>
    <t>9700-0247-00</t>
  </si>
  <si>
    <t>KIA PICANTO '2015 (LHD)</t>
  </si>
  <si>
    <t>PFE-295</t>
  </si>
  <si>
    <t>9700-0248-00</t>
  </si>
  <si>
    <t>CITROEN C9 '2013 (LHD)</t>
  </si>
  <si>
    <t>PFE-273</t>
  </si>
  <si>
    <t>9700-0235-00</t>
  </si>
  <si>
    <t>KIA-CARENS (CRDI) (LHD)</t>
  </si>
  <si>
    <t>PFE-297</t>
  </si>
  <si>
    <t>9700-0250-00</t>
  </si>
  <si>
    <t>COOL DOT</t>
  </si>
  <si>
    <t>PFE-296</t>
  </si>
  <si>
    <t>9700-0249-00</t>
  </si>
  <si>
    <t>KOBELCO MK8</t>
  </si>
  <si>
    <t>PFE-298</t>
  </si>
  <si>
    <t>9700-0251-00</t>
  </si>
  <si>
    <t>YANMAR VIO 030-6B</t>
  </si>
  <si>
    <t>PFE-299</t>
  </si>
  <si>
    <t>9701-0048-00</t>
  </si>
  <si>
    <t>PFE-302</t>
  </si>
  <si>
    <t>9700-0253-00</t>
  </si>
  <si>
    <t xml:space="preserve">BENZ SPRINTER 2013 RHD&amp;LHD </t>
  </si>
  <si>
    <t>PFE-301</t>
  </si>
  <si>
    <t>9700-0252-00</t>
  </si>
  <si>
    <t>DATSUN GO (RHD)</t>
  </si>
  <si>
    <t>PFE-305</t>
  </si>
  <si>
    <t>9700-0255-00</t>
  </si>
  <si>
    <t>KIA CARNIVAL REAR (RHD)</t>
  </si>
  <si>
    <t>PFE-306</t>
  </si>
  <si>
    <t>9700-0256-00</t>
  </si>
  <si>
    <t>KIA CARNIVAL FRONT (RHD)</t>
  </si>
  <si>
    <t>PFE-307</t>
  </si>
  <si>
    <t>9700-0258-00</t>
  </si>
  <si>
    <t>ISUZU MU - X(REAR)</t>
  </si>
  <si>
    <t>PFE-308</t>
  </si>
  <si>
    <t>9700-0259-00</t>
  </si>
  <si>
    <t>PFE-311</t>
  </si>
  <si>
    <t>9700-0262-00</t>
  </si>
  <si>
    <t>FOTON AUMARK EURO 4</t>
  </si>
  <si>
    <t>PFE-309</t>
  </si>
  <si>
    <t>9700-0261-00</t>
  </si>
  <si>
    <t>SUZUKI AUTO 660 cc.</t>
  </si>
  <si>
    <t>PFE-310</t>
  </si>
  <si>
    <t>9700-0260-00</t>
  </si>
  <si>
    <t>VOLVO FH500 2016 YR</t>
  </si>
  <si>
    <t>PFE-312</t>
  </si>
  <si>
    <t>9701-0050-00</t>
  </si>
  <si>
    <t>PFE-313</t>
  </si>
  <si>
    <t>9700-0263-00</t>
  </si>
  <si>
    <t xml:space="preserve">W6443 </t>
  </si>
  <si>
    <t>PFE-300</t>
  </si>
  <si>
    <t>9701-0049-00</t>
  </si>
  <si>
    <t>OPEL ASTRA LHD '2015</t>
  </si>
  <si>
    <t>PFE-314</t>
  </si>
  <si>
    <t>9700-0264-00</t>
  </si>
  <si>
    <t xml:space="preserve">SUZUKI WAGON R </t>
  </si>
  <si>
    <t>PFE-315</t>
  </si>
  <si>
    <t>9701-0051-00</t>
  </si>
  <si>
    <t>CHRYSLER C300 2015 (LHD)</t>
  </si>
  <si>
    <t>PFE-322</t>
  </si>
  <si>
    <t>9700-0268-00</t>
  </si>
  <si>
    <t>SUBARU OUTBACK 2011 (RHD)</t>
  </si>
  <si>
    <t>PFE-318</t>
  </si>
  <si>
    <t>9700-0267-00</t>
  </si>
  <si>
    <t>HYUNDAI ELANTRA 2015 (LHD)</t>
  </si>
  <si>
    <t>PFE-319</t>
  </si>
  <si>
    <t>9700-0265-00</t>
  </si>
  <si>
    <t>KIA RIO 2015 (LHD)</t>
  </si>
  <si>
    <t>PFE-320</t>
  </si>
  <si>
    <t>9700-0269-00</t>
  </si>
  <si>
    <t>VW. G5 (LHD)</t>
  </si>
  <si>
    <t>PFE-321</t>
  </si>
  <si>
    <t>9700-0266-00</t>
  </si>
  <si>
    <t>PEUGEOT '308 (LHD) 2015</t>
  </si>
  <si>
    <t>PFE-316</t>
  </si>
  <si>
    <t>9701-0052-00</t>
  </si>
  <si>
    <t>BENZ W210/200K 99-02" LHD</t>
  </si>
  <si>
    <t>PFE-317</t>
  </si>
  <si>
    <t>9701-0053-00</t>
  </si>
  <si>
    <t>BENZ W210/200K 99-02" RHD</t>
  </si>
  <si>
    <t>PFE-324</t>
  </si>
  <si>
    <t>9701-0054-00</t>
  </si>
  <si>
    <t>PFE-323</t>
  </si>
  <si>
    <t>9700-0270-00</t>
  </si>
  <si>
    <t>TOYOTA AVANZA (LHD) 2014</t>
  </si>
  <si>
    <t>PFE-327</t>
  </si>
  <si>
    <t>9700-0273-00</t>
  </si>
  <si>
    <t>B2180067</t>
  </si>
  <si>
    <t>PFE-326</t>
  </si>
  <si>
    <t>9700-0272-00</t>
  </si>
  <si>
    <t>KOBELCO SK200-10</t>
  </si>
  <si>
    <t>PFE-328</t>
  </si>
  <si>
    <t>9700-0274-00</t>
  </si>
  <si>
    <t>MIT. X PANDER FRONT</t>
  </si>
  <si>
    <t>PFE-330</t>
  </si>
  <si>
    <t>9700-0275-00</t>
  </si>
  <si>
    <t>NISSAN MARCH '2017 (RHD)</t>
  </si>
  <si>
    <t>PFE-333</t>
  </si>
  <si>
    <t>9700-0278-00</t>
  </si>
  <si>
    <t>HONDA ODYSSEY '2014 (LHD)</t>
  </si>
  <si>
    <t>PFE-332</t>
  </si>
  <si>
    <t>9700-0277-00</t>
  </si>
  <si>
    <t>BACK  WALL SMALL</t>
  </si>
  <si>
    <t>PFE-335</t>
  </si>
  <si>
    <t>9700-0280-00</t>
  </si>
  <si>
    <t>NISSAN X-TRAIL 2010 RHD</t>
  </si>
  <si>
    <t>PFE-331</t>
  </si>
  <si>
    <t>9700-0276-00</t>
  </si>
  <si>
    <t>SDLG LG956L</t>
  </si>
  <si>
    <t>PFE-336</t>
  </si>
  <si>
    <t>9700-0281-00</t>
  </si>
  <si>
    <t>KIA BINGO '2016-'2018(LHD)</t>
  </si>
  <si>
    <t>PFE-337</t>
  </si>
  <si>
    <t>9700-0282-00</t>
  </si>
  <si>
    <t>FORD F150 (LHD)</t>
  </si>
  <si>
    <t>PFE-339</t>
  </si>
  <si>
    <t>9700-0283-00</t>
  </si>
  <si>
    <t>MIT.OUTLANDER EX ( LHD)</t>
  </si>
  <si>
    <t>HT-034</t>
  </si>
  <si>
    <t>9227-0023-00</t>
  </si>
  <si>
    <t>HEATER FORD S-MAX (LHD.)</t>
  </si>
  <si>
    <t>HT-035</t>
  </si>
  <si>
    <t>9227-0024-00</t>
  </si>
  <si>
    <t>HEATER FORD S-MAX (RHD.)</t>
  </si>
  <si>
    <t>PFE-340</t>
  </si>
  <si>
    <t>9700-0284-00</t>
  </si>
  <si>
    <t>RENAULT LOGAN 2016 (LHD)</t>
  </si>
  <si>
    <t>PFE-341</t>
  </si>
  <si>
    <t>9700-0285-00</t>
  </si>
  <si>
    <t>PORSCHE PANAMERA</t>
  </si>
  <si>
    <t>PFE-342</t>
  </si>
  <si>
    <t>9700-0286-00</t>
  </si>
  <si>
    <t>NISSAN-TRAIL 2014 (RHD)</t>
  </si>
  <si>
    <t>PFE-334</t>
  </si>
  <si>
    <t>9700-0279-00</t>
  </si>
  <si>
    <t>CATERPILLAR 950</t>
  </si>
  <si>
    <t>PFE-303</t>
  </si>
  <si>
    <t>9700-0254-00</t>
  </si>
  <si>
    <t>BMW 520D (F10/F11) RHD&amp;LHD</t>
  </si>
  <si>
    <t>PFE-345</t>
  </si>
  <si>
    <t>9700-0289-00</t>
  </si>
  <si>
    <t>LIVGONG</t>
  </si>
  <si>
    <t>PFE-346</t>
  </si>
  <si>
    <t>9700-0290-00</t>
  </si>
  <si>
    <t>NISSAN TEANA, L33(2013)RHD</t>
  </si>
  <si>
    <t>PFE-348</t>
  </si>
  <si>
    <t>9700-0292-00</t>
  </si>
  <si>
    <t>MAX 9321935</t>
  </si>
  <si>
    <t>PFE-347</t>
  </si>
  <si>
    <t>9700-0291-00</t>
  </si>
  <si>
    <t>MAZDA CX-9 (REAR)</t>
  </si>
  <si>
    <t>PFE-351</t>
  </si>
  <si>
    <t>9700-0295-00</t>
  </si>
  <si>
    <t>MAZDA CX-5 '2015 (LHD)</t>
  </si>
  <si>
    <t>PFE-353</t>
  </si>
  <si>
    <t>9700-0296-00</t>
  </si>
  <si>
    <t>XCMG LW 330 K</t>
  </si>
  <si>
    <t>PFE-350</t>
  </si>
  <si>
    <t>9700-0294-00</t>
  </si>
  <si>
    <t>HYUNDAI R380 LC-9A '2014</t>
  </si>
  <si>
    <t>PFE-352</t>
  </si>
  <si>
    <t>9701-0057-00</t>
  </si>
  <si>
    <t>MAZDA MX-5 '2002 (RHD)</t>
  </si>
  <si>
    <t>PFE-357</t>
  </si>
  <si>
    <t>9700-0300-00</t>
  </si>
  <si>
    <t>SUZUKI 66 CC. (RHD)</t>
  </si>
  <si>
    <t>PFE-355</t>
  </si>
  <si>
    <t>9700-0298-00</t>
  </si>
  <si>
    <t>R2D2</t>
  </si>
  <si>
    <t>PFE-343</t>
  </si>
  <si>
    <t>9700-0287-00</t>
  </si>
  <si>
    <t>MIT.OUTLANDER ( REAR)</t>
  </si>
  <si>
    <t>PFE-358</t>
  </si>
  <si>
    <t>9701-0058-00</t>
  </si>
  <si>
    <t>PEUGEOT GLZ (LHD)</t>
  </si>
  <si>
    <t>PFE-359</t>
  </si>
  <si>
    <t>9700-0301-00</t>
  </si>
  <si>
    <t>NISSAN VAN (LHD)</t>
  </si>
  <si>
    <t>PFE-360</t>
  </si>
  <si>
    <t>9701-0059-00</t>
  </si>
  <si>
    <t>PEUGEOT 206 (LHD)(SD)</t>
  </si>
  <si>
    <t>PFE-362</t>
  </si>
  <si>
    <t>9700-0303-00</t>
  </si>
  <si>
    <t>CITROEN DS4 '2014 (LHD)</t>
  </si>
  <si>
    <t>PFE-363</t>
  </si>
  <si>
    <t>9700-0304-00</t>
  </si>
  <si>
    <t>KIA.CERATO'2016(LHD)</t>
  </si>
  <si>
    <t>PFE-364</t>
  </si>
  <si>
    <t>9700-0305-00</t>
  </si>
  <si>
    <t>HYUNDAI ELANTRA '2015 LHD</t>
  </si>
  <si>
    <t>PFE-361</t>
  </si>
  <si>
    <t>9700-0302-00</t>
  </si>
  <si>
    <t>KUBOTA U55-4</t>
  </si>
  <si>
    <t>PFE-365</t>
  </si>
  <si>
    <t>9700-0306-00</t>
  </si>
  <si>
    <t>PFE-356</t>
  </si>
  <si>
    <t>9700-0299-00</t>
  </si>
  <si>
    <t>CATERPILLAR 303E.</t>
  </si>
  <si>
    <t>PFE-325</t>
  </si>
  <si>
    <t>9700-0271-00</t>
  </si>
  <si>
    <t>HUMMER (RHD)</t>
  </si>
  <si>
    <t>PFE-329</t>
  </si>
  <si>
    <t>9701-0055-00</t>
  </si>
  <si>
    <t>BENZ SMART (RHD)</t>
  </si>
  <si>
    <t>PFE-344</t>
  </si>
  <si>
    <t>9700-0288-00</t>
  </si>
  <si>
    <t>FOR SUZUKI  CARRY 2019 (RHD)</t>
  </si>
  <si>
    <t>PFE-349</t>
  </si>
  <si>
    <t>9700-0293-00</t>
  </si>
  <si>
    <t>DOMINATOR 500 '2019 RHD</t>
  </si>
  <si>
    <t>PFE-338</t>
  </si>
  <si>
    <t>9701-0056-00</t>
  </si>
  <si>
    <t>MICRO BUS (LHD)</t>
  </si>
  <si>
    <t>PFE-366</t>
  </si>
  <si>
    <t>9700-0307-00</t>
  </si>
  <si>
    <t>BENZ C200 '2015 (RHD)</t>
  </si>
  <si>
    <t>PFE-367</t>
  </si>
  <si>
    <t>9701-0060-00</t>
  </si>
  <si>
    <t>PFE-288</t>
  </si>
  <si>
    <t>9701-0046-00</t>
  </si>
  <si>
    <t>DODGE '2009-'2011 (LHD)</t>
  </si>
  <si>
    <t>PFE-368</t>
  </si>
  <si>
    <t>9700-0308-00</t>
  </si>
  <si>
    <t>MG3 '2015 (RHD)</t>
  </si>
  <si>
    <t>PFE-369</t>
  </si>
  <si>
    <t>9700-0309-00</t>
  </si>
  <si>
    <t>ISUZU D-MAX 2020 (RHD&amp;LHD)</t>
  </si>
  <si>
    <t>PFE-354</t>
  </si>
  <si>
    <t>9700-0297-00</t>
  </si>
  <si>
    <t>TOYOTA HARRIER '2014-2018(RHD)</t>
  </si>
  <si>
    <t>PFE-370</t>
  </si>
  <si>
    <t>9700-0310-00</t>
  </si>
  <si>
    <t>SUZUKI CIAZ '2015 (RHD)</t>
  </si>
  <si>
    <t>PFE-371</t>
  </si>
  <si>
    <t>9700-0311-00</t>
  </si>
  <si>
    <t>PEUGEOT BIPPER METRO'2012 (RHD)</t>
  </si>
  <si>
    <t>PFE-372</t>
  </si>
  <si>
    <t>9700-0312-00</t>
  </si>
  <si>
    <t>KOMATSU PC-30</t>
  </si>
  <si>
    <t>PFE-373</t>
  </si>
  <si>
    <t>9700-0313-00</t>
  </si>
  <si>
    <t>XCMG LW550 '2020</t>
  </si>
  <si>
    <t>PFE-374</t>
  </si>
  <si>
    <t>9700-0314-00</t>
  </si>
  <si>
    <t>FOR CATERPILLAR 313</t>
  </si>
  <si>
    <t>PFE-375</t>
  </si>
  <si>
    <t>PFE-376</t>
  </si>
  <si>
    <t>9700-0316-00</t>
  </si>
  <si>
    <t>FOR HONDA ACCORD '2014 (LHD)</t>
  </si>
  <si>
    <t>PFE-377</t>
  </si>
  <si>
    <t>9700-0317-00</t>
  </si>
  <si>
    <t>FOR NISSAN TEANA L33 '13 (LHD)</t>
  </si>
  <si>
    <t>PFE-378</t>
  </si>
  <si>
    <t>9701-0061-00</t>
  </si>
  <si>
    <t>FOR XGA5650 DT</t>
  </si>
  <si>
    <t>PFE-332/A</t>
  </si>
  <si>
    <t>9700-0277-01</t>
  </si>
  <si>
    <t>BACK  WALL SMALL W/VALVE,PIPE</t>
  </si>
  <si>
    <t>9005-0602-00</t>
  </si>
  <si>
    <t>CO-029</t>
  </si>
  <si>
    <t>COIL 100mm.HONDA CIVIC [FIN 22mm.]</t>
  </si>
  <si>
    <t>9005-2028-00</t>
  </si>
  <si>
    <t>CO-039</t>
  </si>
  <si>
    <t>COIL 100mm.O4R-19-OO  RENAULT LHD. (FIN 20mm.)</t>
  </si>
  <si>
    <t>9005-0901-00</t>
  </si>
  <si>
    <t>CO-040</t>
  </si>
  <si>
    <t>COIL 100mm.TOYOTA CRESSIDA-1 '81-84 PSDN (RHD)</t>
  </si>
  <si>
    <t>9005-0702-00</t>
  </si>
  <si>
    <t>CO-041</t>
  </si>
  <si>
    <t>COIL 100mm. MITSUBISHI L-300 (FIN 20mm.)</t>
  </si>
  <si>
    <t>9006-0135-00</t>
  </si>
  <si>
    <t>CO-043</t>
  </si>
  <si>
    <t>COIL 85mm.TADIRAN (FIN 20mm.)</t>
  </si>
  <si>
    <t>9005-0233-00</t>
  </si>
  <si>
    <t>CO-046</t>
  </si>
  <si>
    <t>COIL 100mm.PSDN 5 (FIN 22mm.)</t>
  </si>
  <si>
    <t>9006-0117-00</t>
  </si>
  <si>
    <t>CO-048</t>
  </si>
  <si>
    <t>COIL 85mm.HONDA CIVIC SHOWA (FIN 20mm.)</t>
  </si>
  <si>
    <t>9005-0902-00</t>
  </si>
  <si>
    <t>CO-052</t>
  </si>
  <si>
    <t>COIL 100mm.CRESSIDA II (RHD)</t>
  </si>
  <si>
    <t>9006-0716-00</t>
  </si>
  <si>
    <t>CO-053</t>
  </si>
  <si>
    <t>COIL 85mm.PSDN1 COROLLA (FIN 22mm.) RHD</t>
  </si>
  <si>
    <t>9006-0406-00</t>
  </si>
  <si>
    <t>CO-054</t>
  </si>
  <si>
    <t>แก้ไขเป็น LM-294</t>
  </si>
  <si>
    <t>9005-2098-00</t>
  </si>
  <si>
    <t>CO-055</t>
  </si>
  <si>
    <t>COIL 100mm.PSDN (7)R-12 (FIN 20mm.)</t>
  </si>
  <si>
    <t>9005-1002-00</t>
  </si>
  <si>
    <t>CO-067</t>
  </si>
  <si>
    <t>แก้ไขเป็น LM-171 COIL 100mm. ZS-0410E (FIN 13mm.)</t>
  </si>
  <si>
    <t>9006-0210-00</t>
  </si>
  <si>
    <t>CO-068</t>
  </si>
  <si>
    <t>COIL 85mm. SAGA(FIN 22mm.) RHD</t>
  </si>
  <si>
    <t>9006-0413-00</t>
  </si>
  <si>
    <t>CO-069/A</t>
  </si>
  <si>
    <t>COIL 85mm. SPACEWAGON (SP) (FIN 16mm.)LHD.</t>
  </si>
  <si>
    <t>9005-1310-00</t>
  </si>
  <si>
    <t>CO-071</t>
  </si>
  <si>
    <t>COIL 100mm. TOYOTACORONA AT 150 (RHD)</t>
  </si>
  <si>
    <t>9006-0206-00</t>
  </si>
  <si>
    <t>CO-072</t>
  </si>
  <si>
    <t>COIL 85mm.TOYOTA KE-70 (RHD)</t>
  </si>
  <si>
    <t>9005-1311-00</t>
  </si>
  <si>
    <t>CO-074</t>
  </si>
  <si>
    <t>COIL 100mm.TOYOTA AE-92 (RHD)</t>
  </si>
  <si>
    <t>9005-0121-00</t>
  </si>
  <si>
    <t>CO-074/H</t>
  </si>
  <si>
    <t>COIL 100mm.TOYOTA AE-92 R-12 (RHD.)</t>
  </si>
  <si>
    <t>9006-0513-00</t>
  </si>
  <si>
    <t>CO-077</t>
  </si>
  <si>
    <t>แก้ไขเป็น LM-294 COIL 85mm. ACC.90 047600-6563 (FIN 20mm.) LHD.</t>
  </si>
  <si>
    <t>9005-0306-00</t>
  </si>
  <si>
    <t>CO-078</t>
  </si>
  <si>
    <t>COIL 100mm.TOYOTAMS 111 (RHD)</t>
  </si>
  <si>
    <t>9005-0234-00</t>
  </si>
  <si>
    <t>CO-079</t>
  </si>
  <si>
    <t>COIL 100mm. PT 132NO 047600-1762 (FIN 22mm.)</t>
  </si>
  <si>
    <t>9006-0201-00</t>
  </si>
  <si>
    <t>CO-081</t>
  </si>
  <si>
    <t>COIL 85mm.TOYOTA EE80 (RHD)</t>
  </si>
  <si>
    <t>9005-1003-00</t>
  </si>
  <si>
    <t>CO-083</t>
  </si>
  <si>
    <t>COIL 100mm.TX3(FIN 22mm.) RHD</t>
  </si>
  <si>
    <t>9006-0207-00</t>
  </si>
  <si>
    <t>CO-084</t>
  </si>
  <si>
    <t>COIL 85mm  MITSUBISHIGALANT II RHD. (FIN 22mm.)</t>
  </si>
  <si>
    <t>9005-1304-00</t>
  </si>
  <si>
    <t>CO-085</t>
  </si>
  <si>
    <t>COIL 100mm.HONDAACCORD 82 (FIN 22mm.) RHD</t>
  </si>
  <si>
    <t>9005-0703-00</t>
  </si>
  <si>
    <t>CO-086</t>
  </si>
  <si>
    <t xml:space="preserve"> COIL 100mm. MITSU ETERNA (RHD)</t>
  </si>
  <si>
    <t>9005-0705-00</t>
  </si>
  <si>
    <t>CO-087</t>
  </si>
  <si>
    <t>COIL 100mm.MITSULANCER 83 (RHD)</t>
  </si>
  <si>
    <t>9006-0215-00</t>
  </si>
  <si>
    <t>CO-088/A</t>
  </si>
  <si>
    <t>COIL 85mm.SUZUKIARMINITY "0" RHD. (FIN 22mm.)</t>
  </si>
  <si>
    <t>9005-1306-00</t>
  </si>
  <si>
    <t>CO-091</t>
  </si>
  <si>
    <t>COIL 100mm.HONDA ACCORD 89(2000) (FIN 22mm.)</t>
  </si>
  <si>
    <t>9005-0512-00</t>
  </si>
  <si>
    <t>CO-093</t>
  </si>
  <si>
    <t>COIL 100mm.HONDA CIVIC 1400 06HCV14FF LHD.</t>
  </si>
  <si>
    <t>9005-0203-00</t>
  </si>
  <si>
    <t>CO-094</t>
  </si>
  <si>
    <t>แก้ไขเป็น LM-169</t>
  </si>
  <si>
    <t>9005-2004-00</t>
  </si>
  <si>
    <t>CO-095</t>
  </si>
  <si>
    <t xml:space="preserve"> แก้ไขเป็น LM-154 COIL 100mm.A-8E(LHD)FIN 13mm</t>
  </si>
  <si>
    <t>9005-0513-00</t>
  </si>
  <si>
    <t>CO-096</t>
  </si>
  <si>
    <t>COIL 100mm. NISSANFEELING-101 (RHD)</t>
  </si>
  <si>
    <t>9005-0505-00</t>
  </si>
  <si>
    <t>CO-099</t>
  </si>
  <si>
    <t>COIL 100mm. NISSANSTANZA 721 (RHD)</t>
  </si>
  <si>
    <t>9005-0517-00</t>
  </si>
  <si>
    <t>CO-100</t>
  </si>
  <si>
    <t>COIL 100mm. NISSANSUNNY 311 (FIN 16mm.)</t>
  </si>
  <si>
    <t>9005-1307-00</t>
  </si>
  <si>
    <t>CO-102</t>
  </si>
  <si>
    <t>COIL 100mm. HONDA ACCORD 90-92 (FIN 22mm.) RHD</t>
  </si>
  <si>
    <t>9005-1204-00</t>
  </si>
  <si>
    <t>CO-104</t>
  </si>
  <si>
    <t>COIL 100mm.UCM "UC-5" (RHD.)</t>
  </si>
  <si>
    <t>9005-1207-00</t>
  </si>
  <si>
    <t>CO-105</t>
  </si>
  <si>
    <t>COIL 100mm.UCM"UC-2 RHD" (FIN 20mm.)</t>
  </si>
  <si>
    <t>9005-1401-00</t>
  </si>
  <si>
    <t>CO-111</t>
  </si>
  <si>
    <t>COIL 100mm. MITSUCELICA (FIN 20mm.)</t>
  </si>
  <si>
    <t>9005-1303-00</t>
  </si>
  <si>
    <t>CO-115</t>
  </si>
  <si>
    <t>COIL 100mm.TOYOTA ZACE (RHD)</t>
  </si>
  <si>
    <t>9005-1205-00</t>
  </si>
  <si>
    <t>CO-116</t>
  </si>
  <si>
    <t>แก้ไขเป็น LM-170 COIL 100mm.DARUMAZS-0230E (FIN 20mm.) RHD</t>
  </si>
  <si>
    <t>9005-0601-00</t>
  </si>
  <si>
    <t>CO-118</t>
  </si>
  <si>
    <t>COIL 100mm. MAZDAW. PIPE/VALVE (RHD)</t>
  </si>
  <si>
    <t>9005-1101-00</t>
  </si>
  <si>
    <t>CO-123</t>
  </si>
  <si>
    <t>COIL 100mm.VOLVO 740 (RHD)</t>
  </si>
  <si>
    <t>9006-0435-00</t>
  </si>
  <si>
    <t>CO-1023</t>
  </si>
  <si>
    <t>COIL 85mm.SUZUKI 1001000 TE-447600-2690 (RHD)</t>
  </si>
  <si>
    <t>9006-0403-00</t>
  </si>
  <si>
    <t>CO-133</t>
  </si>
  <si>
    <t>COIL 85mm..SUZUKISUPPER (RHD)</t>
  </si>
  <si>
    <t>9005-1305-00</t>
  </si>
  <si>
    <t>CO-134</t>
  </si>
  <si>
    <t>COIL 100mm. MITSUCELICA O-RING (FIN 20mm.)</t>
  </si>
  <si>
    <t>9005-1403-00</t>
  </si>
  <si>
    <t>CO-139</t>
  </si>
  <si>
    <t>COIL 100mm.TOYOTALIFT ACE(LHD) (FIN 20mm.)</t>
  </si>
  <si>
    <t>9005-1404-00</t>
  </si>
  <si>
    <t>CO-143</t>
  </si>
  <si>
    <t>COIL 100mm.TOYOTA COROLA MODEL 93 (FIN 20mm.)</t>
  </si>
  <si>
    <t>9006-0436-00</t>
  </si>
  <si>
    <t>CO-1024</t>
  </si>
  <si>
    <t>COIL 85mm.SUZUKI 800 TE-55-44760-060 (RHD)</t>
  </si>
  <si>
    <t>9005-1206-00</t>
  </si>
  <si>
    <t>CO-159</t>
  </si>
  <si>
    <t>COIL 100mm.EXCEL II ELANTRA (RHD&amp;LHD)</t>
  </si>
  <si>
    <t>9006-0203-00</t>
  </si>
  <si>
    <t>CO-162</t>
  </si>
  <si>
    <t>COIL 85mm.DAIHUTSU  HI-JET (FIN 22mm.) RHD</t>
  </si>
  <si>
    <t>9005-1406-00</t>
  </si>
  <si>
    <t>CO-164</t>
  </si>
  <si>
    <t>COIL 100mm.MAZDA 323 (SANDER 90) (FIN 20mm.)</t>
  </si>
  <si>
    <t>9005-1308-00</t>
  </si>
  <si>
    <t>CO-166</t>
  </si>
  <si>
    <t>COIL 100mm.  GX71 CRESSIDA RHD. (FIN 22mm.)</t>
  </si>
  <si>
    <t>9006-0204-00</t>
  </si>
  <si>
    <t>CO-167</t>
  </si>
  <si>
    <t>COIL 85mm.SUZUKILUKMAN WV (RHD)</t>
  </si>
  <si>
    <t>9006-0608-00</t>
  </si>
  <si>
    <t>CO-168</t>
  </si>
  <si>
    <t>COIL 85mm.LANCER 88 (SANDEN) (RHD&amp;LHD)</t>
  </si>
  <si>
    <t>9005-1505-00</t>
  </si>
  <si>
    <t>CO-169</t>
  </si>
  <si>
    <t>COIL 100mm. NISSAN N13 B12 (FIN 16mm.)</t>
  </si>
  <si>
    <t>9006-0503-00</t>
  </si>
  <si>
    <t>CO-170</t>
  </si>
  <si>
    <t>COIL 85mm.DAIHUTSUGR 100 (FIN 22mm.) RHD</t>
  </si>
  <si>
    <t>9005-2033-00</t>
  </si>
  <si>
    <t>CO-173</t>
  </si>
  <si>
    <t>COIL 100mm. FORD ESCORT (FIN 16mm.)</t>
  </si>
  <si>
    <t>9006-0606-00</t>
  </si>
  <si>
    <t>CO-174</t>
  </si>
  <si>
    <t>COIL 85mm.TAT EE PATCO SAGA (FIN 16mm.) RHD</t>
  </si>
  <si>
    <t>9005-1309-00</t>
  </si>
  <si>
    <t>CO-185</t>
  </si>
  <si>
    <t>COIL100mm. TOYOTA EE 90 (RHD)</t>
  </si>
  <si>
    <t>9005-1405-00</t>
  </si>
  <si>
    <t>CO-191</t>
  </si>
  <si>
    <t xml:space="preserve"> แก้ไขเป็น LM-170 COIL 100mm. A-10E(RHD.) FLARE (FIN 13mm.)</t>
  </si>
  <si>
    <t>9090-0110-00</t>
  </si>
  <si>
    <t>CO-194</t>
  </si>
  <si>
    <t>COIL 90mm.NISSANMARCH OLD SUNNY-F (RHD)</t>
  </si>
  <si>
    <t>9005-1601-00</t>
  </si>
  <si>
    <t>CO-196</t>
  </si>
  <si>
    <t>COIL 100mm.A-7E RHD. FLARE (FIN 13mm.)</t>
  </si>
  <si>
    <t>9008-0302-00</t>
  </si>
  <si>
    <t>CO-198/A</t>
  </si>
  <si>
    <t>แก้ไขเป็น LM-089</t>
  </si>
  <si>
    <t>9005-2010-00</t>
  </si>
  <si>
    <t>CO-200</t>
  </si>
  <si>
    <t xml:space="preserve"> แก้ไขเป็น LM-149  COIL 100mm.A-4E(RHD) 100x20xO-RING 3/4",7/8"</t>
  </si>
  <si>
    <t>9005-1506-00</t>
  </si>
  <si>
    <t>CO-203</t>
  </si>
  <si>
    <t>COIL 100mm.HONDAACCORD 89A (FIN 16mm.) RHD</t>
  </si>
  <si>
    <t>9006-0504-00</t>
  </si>
  <si>
    <t>CO-204</t>
  </si>
  <si>
    <t>แก้ไขเป็น LM-294 COIL 85mM. TOYOTAST 171/B (FIN 20mm.)</t>
  </si>
  <si>
    <t>9005-1208-00</t>
  </si>
  <si>
    <t>CO-212</t>
  </si>
  <si>
    <t>COIL 100mm.C.V.GUNA(CIVIC) (FIN 20mm.) RHD</t>
  </si>
  <si>
    <t>9006-0409-00</t>
  </si>
  <si>
    <t>CO-215</t>
  </si>
  <si>
    <t>COIL 85mm.HONDA CIVIC EX (FIN 16mm.) RHD</t>
  </si>
  <si>
    <t>9006-0601-00</t>
  </si>
  <si>
    <t>CO-217</t>
  </si>
  <si>
    <t xml:space="preserve"> COIL 85mm.M.I.T.CE WAGON(RHD&amp;LHD)</t>
  </si>
  <si>
    <t>9005-1507-00</t>
  </si>
  <si>
    <t>CO-221</t>
  </si>
  <si>
    <t>COIL 100mm.NISSAN PATH FINDER (RHD)</t>
  </si>
  <si>
    <t>9005-1209-00</t>
  </si>
  <si>
    <t>CO-222</t>
  </si>
  <si>
    <t xml:space="preserve"> แก้ไขเป็น LM-168 COIL 100mm. A8E NEW RHD (FIN 13mm.)</t>
  </si>
  <si>
    <t>9006-0505-00</t>
  </si>
  <si>
    <t>CO-224</t>
  </si>
  <si>
    <t>แก้ไขเป็น LM-029COIL 85mm.NISSANSENTRA 92 (RHD)</t>
  </si>
  <si>
    <t>9005-0303-00</t>
  </si>
  <si>
    <t>CO-231</t>
  </si>
  <si>
    <t>COIL 100mm. HONDA'84</t>
  </si>
  <si>
    <t>9005-0108-00</t>
  </si>
  <si>
    <t>CO-233</t>
  </si>
  <si>
    <t>COIL 100mm.SL-010 (FIN 20mm.) RHD</t>
  </si>
  <si>
    <t>9005-0125-00</t>
  </si>
  <si>
    <t>CO-233/H</t>
  </si>
  <si>
    <t>COIL 100mm.HONDA CIVIC 88 (SL.010) RHD</t>
  </si>
  <si>
    <t>9006-0108-00</t>
  </si>
  <si>
    <t>CO-234</t>
  </si>
  <si>
    <t>COIL 85mm.TOYOTA HILUX (RHD.)  R-12 (FIN 22mm.)</t>
  </si>
  <si>
    <t>9006-0621-00</t>
  </si>
  <si>
    <t>CO-502</t>
  </si>
  <si>
    <t>COIL 85mm. TOYOTA HILUX (RHD.) (134a) (FIN 22mm.)</t>
  </si>
  <si>
    <t>9005-1701-00</t>
  </si>
  <si>
    <t>CO-235</t>
  </si>
  <si>
    <t xml:space="preserve"> COIL 100mm.MITSUBISHI RHD  E-3133  (FIN 20mm.)</t>
  </si>
  <si>
    <t>9008-0401-00</t>
  </si>
  <si>
    <t>CO-237</t>
  </si>
  <si>
    <t>COIL 70mm.VIKI 80 SUBARU (RHD)</t>
  </si>
  <si>
    <t>9008-0304-00</t>
  </si>
  <si>
    <t>CO-238/A</t>
  </si>
  <si>
    <t>แก้ไขเป็น LM-041</t>
  </si>
  <si>
    <t>9008-0303-00</t>
  </si>
  <si>
    <t xml:space="preserve">CO-239/A </t>
  </si>
  <si>
    <t>แก้ไขเป็น LM-054  COIL 70mm.MISTSUBISHI (RHD)</t>
  </si>
  <si>
    <t>9006-0506-00</t>
  </si>
  <si>
    <t>CO-240/A</t>
  </si>
  <si>
    <t xml:space="preserve"> COIL 85mm.NISSAN RY 31 (RHD)</t>
  </si>
  <si>
    <t>9006-0209-00</t>
  </si>
  <si>
    <t>CO-241/A</t>
  </si>
  <si>
    <t>แก้ไขเป็น LM-312 COIL 85mm.SUZUKI JEEP 92-94 (RHD)</t>
  </si>
  <si>
    <t>9006-0411-00</t>
  </si>
  <si>
    <t>CO-242</t>
  </si>
  <si>
    <t>COIL 85mm.TOYOTARAV-4 (FIN 16mm.)</t>
  </si>
  <si>
    <t>9005-1411-00</t>
  </si>
  <si>
    <t>CO-245</t>
  </si>
  <si>
    <t>COIL 100mm.A-10E (LHD) (FIN 13mm.)</t>
  </si>
  <si>
    <t>9005-1508-00</t>
  </si>
  <si>
    <t>CO-253</t>
  </si>
  <si>
    <t>COIL 100mm. TOYOTA ESTIMA (RHD)</t>
  </si>
  <si>
    <t>9005-0153-00</t>
  </si>
  <si>
    <t>CO-253/H</t>
  </si>
  <si>
    <t>COIL 100mm.TOYOTA PREVIA 91-92 R-12 LHD. FIN13mm</t>
  </si>
  <si>
    <t>9005-1312-00</t>
  </si>
  <si>
    <t>CO-255</t>
  </si>
  <si>
    <t>COIL 100mm.SC-326(FIN 22mm.)</t>
  </si>
  <si>
    <t>9005-1210-00</t>
  </si>
  <si>
    <t>CO-262</t>
  </si>
  <si>
    <t>COIL 100mm.ZS-0210F [LHD.] (FIN 13mm</t>
  </si>
  <si>
    <t>9005-1602-00</t>
  </si>
  <si>
    <t xml:space="preserve">CO-263  </t>
  </si>
  <si>
    <t>COIL 100mm.MITSUGALANT 2000GI(NEW) (FIN 19mm.)</t>
  </si>
  <si>
    <t>9005-1603-00</t>
  </si>
  <si>
    <t xml:space="preserve">CO-264  </t>
  </si>
  <si>
    <t>COIL 100mm. MITSU GLS2000 (MAHAJAK) (RHD)</t>
  </si>
  <si>
    <t>9006-0417-00</t>
  </si>
  <si>
    <t>CO-265</t>
  </si>
  <si>
    <t>COIL 85mm.TOYOTA CARINA (RHD)</t>
  </si>
  <si>
    <t>9006-0418-00</t>
  </si>
  <si>
    <t>CO-275</t>
  </si>
  <si>
    <t>ใช้ CO-445</t>
  </si>
  <si>
    <t>9006-0211-00</t>
  </si>
  <si>
    <t>CO-278</t>
  </si>
  <si>
    <t>COIL 85mm. DAIHATSUTAFT 047500-5810 (RHD)</t>
  </si>
  <si>
    <t>9006-0212-00</t>
  </si>
  <si>
    <t>CO-279</t>
  </si>
  <si>
    <t>COIL 85mm.DAIHATSUCHARADEG-11 84/85 (RHD)</t>
  </si>
  <si>
    <t>9005-1412-00</t>
  </si>
  <si>
    <t>CO-280</t>
  </si>
  <si>
    <t>COIL 100mm.MAZDA FORD LASER 84] (RHD)</t>
  </si>
  <si>
    <t>9005-1313-00</t>
  </si>
  <si>
    <t>CO-281</t>
  </si>
  <si>
    <t>COIL 100mm.TOYOTA CRESSIDA RX-60 (RHD)</t>
  </si>
  <si>
    <t>9006-0812-00</t>
  </si>
  <si>
    <t>CO-1084</t>
  </si>
  <si>
    <t>ทำ LM-139</t>
  </si>
  <si>
    <t>9006-0813-00</t>
  </si>
  <si>
    <t>CO-1096</t>
  </si>
  <si>
    <t>ทำ LM</t>
  </si>
  <si>
    <t>9006-0511-00</t>
  </si>
  <si>
    <t>CO-284</t>
  </si>
  <si>
    <t>COIL 85mm.INSPIER 80210-SL4-013R (FIN 20mm.)LHD.</t>
  </si>
  <si>
    <t>9006-0149-00</t>
  </si>
  <si>
    <t>CO-284/H</t>
  </si>
  <si>
    <t>COIL 85mm.INSPIER 80210-SL4-013R (RHD)</t>
  </si>
  <si>
    <t>9006-0510-00</t>
  </si>
  <si>
    <t>CO-285</t>
  </si>
  <si>
    <t>COIL 85mm. HONDA ACC ORD 80210-SM4-A04-L (RHD&amp;LHD)</t>
  </si>
  <si>
    <t>9006-0148-00</t>
  </si>
  <si>
    <t>CO-285/H</t>
  </si>
  <si>
    <t>COIL 85mm.HONDA ACCORD(A) (RHD)</t>
  </si>
  <si>
    <t>9006-0509-00</t>
  </si>
  <si>
    <t>CO-286</t>
  </si>
  <si>
    <t>COIL 85mm.MAZDA 626,88(FIN 20mm.) (RHD)</t>
  </si>
  <si>
    <t>9006-0508-00</t>
  </si>
  <si>
    <t>CO-287</t>
  </si>
  <si>
    <t>COIL85mm.  HONDA PRELUSU 93/R (FIN 20mm.)</t>
  </si>
  <si>
    <t>9005-1314-00</t>
  </si>
  <si>
    <t>CO-293</t>
  </si>
  <si>
    <t>COIL 100mm.TOYOTA CAMRY 88-90 LHD (FIN 22mm.)</t>
  </si>
  <si>
    <t>9005-0132-00</t>
  </si>
  <si>
    <t>CO-293/H</t>
  </si>
  <si>
    <t>COIL 100mm. TOYOTA CAMRRY 88-90 (LHD.)</t>
  </si>
  <si>
    <t>9006-0420-00</t>
  </si>
  <si>
    <t>CO-295</t>
  </si>
  <si>
    <t>COIL 85mm. TOYOTA CARINA (P.S.D.N)</t>
  </si>
  <si>
    <t>9006-0120-00</t>
  </si>
  <si>
    <t xml:space="preserve">CO-298  </t>
  </si>
  <si>
    <t>COIL85mm. MAHAJAK (FIN 20mm.)</t>
  </si>
  <si>
    <t>9006-0105-00</t>
  </si>
  <si>
    <t xml:space="preserve">CO-299  </t>
  </si>
  <si>
    <t>COIL 85mm.MITSUBISHI CHAMP II W.PIPE (RHD)</t>
  </si>
  <si>
    <t>9005-1315-00</t>
  </si>
  <si>
    <t>CO-305</t>
  </si>
  <si>
    <t>COIL 100mm.DAIHATSU G-10 (FIN 22mm.) RHD</t>
  </si>
  <si>
    <t>9005-1316-00</t>
  </si>
  <si>
    <t>CO-307</t>
  </si>
  <si>
    <t>COIL 100mm.TOYOTA CAMRY 88-89 RHD. (FIN 22mm.)</t>
  </si>
  <si>
    <t>9005-1413-00</t>
  </si>
  <si>
    <t>CO-308</t>
  </si>
  <si>
    <t>COIL 100mm.ZS-0210(FIN 13mm.)</t>
  </si>
  <si>
    <t>9005-1414-00</t>
  </si>
  <si>
    <t>CO-309</t>
  </si>
  <si>
    <t>แก้ไขเป็น LM-319</t>
  </si>
  <si>
    <t>9005-1702-00</t>
  </si>
  <si>
    <t>CO-310</t>
  </si>
  <si>
    <t>COIL 100mm. SANDEN SAGA 90 (RHD)</t>
  </si>
  <si>
    <t>9005-1212-00</t>
  </si>
  <si>
    <t>CO-314</t>
  </si>
  <si>
    <t>9005-1213-00</t>
  </si>
  <si>
    <t>CO-315</t>
  </si>
  <si>
    <t>COIL 100mm. HONDA ACCORD 83 (SD)F (RHD)</t>
  </si>
  <si>
    <t>9005-1317-00</t>
  </si>
  <si>
    <t>CO-316</t>
  </si>
  <si>
    <t>COIL 100mm.FORD LASER 83-84 "0" (FIN 22mm.) RHD</t>
  </si>
  <si>
    <t>9006-0422-00</t>
  </si>
  <si>
    <t>CO-319</t>
  </si>
  <si>
    <t xml:space="preserve"> COIL 85mm.TOYOTACORONA AT 190 (RHD)</t>
  </si>
  <si>
    <t>9006-0194-00</t>
  </si>
  <si>
    <t>CO-319/H</t>
  </si>
  <si>
    <t>COIL 85mm. TOYOTA CORONA134a ST-191 92-94FIN13mm</t>
  </si>
  <si>
    <t>9005-1416-00</t>
  </si>
  <si>
    <t>CO-321</t>
  </si>
  <si>
    <t xml:space="preserve">COIL 100mm.TOYOTA CROW (RHD) (FIN 20mm.) </t>
  </si>
  <si>
    <t>9006-0421-00</t>
  </si>
  <si>
    <t>CO-323</t>
  </si>
  <si>
    <t>COIL 85mm.SUBARU LAGACY 88-89 (FIN 13mm.) RHD.</t>
  </si>
  <si>
    <t>9005-1318-00</t>
  </si>
  <si>
    <t>CO-325</t>
  </si>
  <si>
    <t>COIL 100mm.BM 124(FIN 22mm.)</t>
  </si>
  <si>
    <t>9005-1319-00</t>
  </si>
  <si>
    <t>CO-329</t>
  </si>
  <si>
    <t>COIL 100mm.HONDA INTERGRAL"O"800 RBB 85A LHD.</t>
  </si>
  <si>
    <t>9006-0424-00</t>
  </si>
  <si>
    <t>CO-330</t>
  </si>
  <si>
    <t>COIL 85mm.HONDA  IC(LHD) 51131-11590 (FIN 16mm.</t>
  </si>
  <si>
    <t>9006-0428-00</t>
  </si>
  <si>
    <t>CO-331</t>
  </si>
  <si>
    <t>COIL 85mm. DATSUN NEWSUNNY 1.3MT (RHD)</t>
  </si>
  <si>
    <t>9005-1604-00</t>
  </si>
  <si>
    <t>CO-332</t>
  </si>
  <si>
    <t>COIL 100mm. PATCO WIRA1.5/1.6 R134A (FIN 16mm.)</t>
  </si>
  <si>
    <t>9006-0429-00</t>
  </si>
  <si>
    <t>CO-333</t>
  </si>
  <si>
    <t>COIL 85mm. FORD GHIAMAZDA 323 (FIN 20mm.) RHD</t>
  </si>
  <si>
    <t>9005-1320-00</t>
  </si>
  <si>
    <t>CO-336</t>
  </si>
  <si>
    <t>COIL 100mm.HINO-R (92-93) RHD. (FIN 22mm.</t>
  </si>
  <si>
    <t>9006-0515-00</t>
  </si>
  <si>
    <t>CO-337</t>
  </si>
  <si>
    <t>COIL 85mm.CRESSIDA 047600-6333R (FIN 20mm.)</t>
  </si>
  <si>
    <t>9006-0602-00</t>
  </si>
  <si>
    <t>CO-339</t>
  </si>
  <si>
    <t>COIL 85mmMITSUBISHI SPACE WAGON (RHD&amp;LHD)</t>
  </si>
  <si>
    <t>9005-0302-00</t>
  </si>
  <si>
    <t>CO-341</t>
  </si>
  <si>
    <t>COIL 100mm.CORONA T-141 (RHD)</t>
  </si>
  <si>
    <t>9008-0305-00</t>
  </si>
  <si>
    <t>CO-343</t>
  </si>
  <si>
    <t>แก้ไขเป็น LM-220 COIL 70mm.NISSAN SB-13 (RHD)</t>
  </si>
  <si>
    <t>9006-0501-00</t>
  </si>
  <si>
    <t>CO-346</t>
  </si>
  <si>
    <t>9005-0201-00</t>
  </si>
  <si>
    <t>CO-347</t>
  </si>
  <si>
    <t>แก้ไขเป็น LM-165</t>
  </si>
  <si>
    <t>9005-2001-00</t>
  </si>
  <si>
    <t>CO-348</t>
  </si>
  <si>
    <t>แก้ไขเป็น LM-150  ราคา 490 บาท</t>
  </si>
  <si>
    <t>9006-0516-00</t>
  </si>
  <si>
    <t>CO-351</t>
  </si>
  <si>
    <t>COIL 85mm.TOYOTA CAMRY (R-12) (FIN 13mm.)</t>
  </si>
  <si>
    <t>CO-351/H</t>
  </si>
  <si>
    <t>9006-0160-00</t>
  </si>
  <si>
    <t>CO-1204</t>
  </si>
  <si>
    <t>COIL 85mm.SUZUKI SWIFT-90 AB 43/44 R-12 (RHD.)</t>
  </si>
  <si>
    <t>9006-0517-00</t>
  </si>
  <si>
    <t>CO-353</t>
  </si>
  <si>
    <t>COIL 85mm.NISSAN CEFILRO (RHD)</t>
  </si>
  <si>
    <t>9006-0432-00</t>
  </si>
  <si>
    <t>CO-355</t>
  </si>
  <si>
    <t>COIL 85mm.A4 92/93 R12 (RHD)</t>
  </si>
  <si>
    <t>9006-0219-00</t>
  </si>
  <si>
    <t>CO-356</t>
  </si>
  <si>
    <t>9005-1510-00</t>
  </si>
  <si>
    <t>CO-357</t>
  </si>
  <si>
    <t>COIL 100mm.HINO-R(-93)W/PIPE(O-RING) (FIN 22mm.</t>
  </si>
  <si>
    <t>9006-0431-00</t>
  </si>
  <si>
    <t>CO-359</t>
  </si>
  <si>
    <t>COIL 85mm.FORD LASERTX-3,BG-90 (FIN 16mm.) RHD</t>
  </si>
  <si>
    <t>9006-0518-00</t>
  </si>
  <si>
    <t>CO-363</t>
  </si>
  <si>
    <t>แก้ไขเป็น LM-331 COIL 85mm.TOYOTA CAMRY(134A) (FIN 13mm)</t>
  </si>
  <si>
    <t>9006-0519-00</t>
  </si>
  <si>
    <t>CO-364</t>
  </si>
  <si>
    <t>แก้ไขเป็น LM-321 COIL 85mm.TOYOTA COROLLA(EE100,AE101)134A (RHD)</t>
  </si>
  <si>
    <t>9008-0701-00</t>
  </si>
  <si>
    <t>CO-369</t>
  </si>
  <si>
    <t>ยกเลิกใช้ LM-166 COIL 70mm.A-6E[RHD] FLARE (FIN 13mm.)</t>
  </si>
  <si>
    <t>9005-1421-00</t>
  </si>
  <si>
    <t>CO-371</t>
  </si>
  <si>
    <t>COIL 100mm. HONDA CCORD 82 (RHD&amp;LHD)</t>
  </si>
  <si>
    <t>9008-0702-00</t>
  </si>
  <si>
    <t>CO-372</t>
  </si>
  <si>
    <t>แก้ไขเป็น LM-167COIL 70mm.A-6E(LHD.) FLARE (FIN 13mm.)</t>
  </si>
  <si>
    <t>9005-1423-00</t>
  </si>
  <si>
    <t>CO-373</t>
  </si>
  <si>
    <t>COIL 100mm. TOYOTA CROWN (MS-122) (RHD)</t>
  </si>
  <si>
    <t>9005-1417-00</t>
  </si>
  <si>
    <t>CO-374</t>
  </si>
  <si>
    <t>COIL 100mm. TADIRAN 134a (LHD)</t>
  </si>
  <si>
    <t>9006-0523-00</t>
  </si>
  <si>
    <t>CO-382</t>
  </si>
  <si>
    <t>แก้ไขเป็น LM-319 COIL 85mm.HONDA ACCORD 90-92 (R-12) (FIN 16mm.)LHD</t>
  </si>
  <si>
    <t>9006-0410-00</t>
  </si>
  <si>
    <t>CO-384</t>
  </si>
  <si>
    <t>แก้ไขเป็น LM-251 COIL 85mm. MAZDA 626Z (FIN 13mm.)</t>
  </si>
  <si>
    <t>9005-1302-00</t>
  </si>
  <si>
    <t>CO-385</t>
  </si>
  <si>
    <t>COIL 100mm.TT 132 CORONA RHD. (FIN 22mm</t>
  </si>
  <si>
    <t>9005-1425-00</t>
  </si>
  <si>
    <t>CO-387</t>
  </si>
  <si>
    <t>แก้ไขเป็น LM-150 COIL100mm.รุ่น WW-II(O")(FIN 13mm.)</t>
  </si>
  <si>
    <t>9005-1424-00</t>
  </si>
  <si>
    <t>CO-388</t>
  </si>
  <si>
    <t>แก้ไขเป็น LM-154</t>
  </si>
  <si>
    <t>9006-0524-00</t>
  </si>
  <si>
    <t>CO-389</t>
  </si>
  <si>
    <t>COIL 85mm. MAZDA FAMILIA 323 "93" 134A RHD. (FIN 16mm.)</t>
  </si>
  <si>
    <t>9006-0526-00</t>
  </si>
  <si>
    <t>CO-390</t>
  </si>
  <si>
    <t>COIL 85mm.TOYOTA STARLET (EP-80) (RHD)</t>
  </si>
  <si>
    <t>9006-0525-00</t>
  </si>
  <si>
    <t>CO-391</t>
  </si>
  <si>
    <t>COIL 85mm. DAIHATSU(04760-6570R) (FIN 16mm.) RHD</t>
  </si>
  <si>
    <t>9005-1426-00</t>
  </si>
  <si>
    <t>CO-392</t>
  </si>
  <si>
    <t>COIL 100mm.SUBARU VO R-12(047600-7970) (RHD)</t>
  </si>
  <si>
    <t>9005-1427-00</t>
  </si>
  <si>
    <t>CO-393</t>
  </si>
  <si>
    <t>COIL 100mm.TOYOTA CROWN LS-132 (RHD) FIN 13mm.</t>
  </si>
  <si>
    <t>9006-0527-00</t>
  </si>
  <si>
    <t>CO-396</t>
  </si>
  <si>
    <t>COIL 85mm.MIT LANCER GLXI 1.6(R-12)(FIN 16mm.)LHD.</t>
  </si>
  <si>
    <t>9005-1428-00</t>
  </si>
  <si>
    <t>CO-397</t>
  </si>
  <si>
    <t>COIL 100mm.TOYOTA LANDCRUISER (RHD)</t>
  </si>
  <si>
    <t>COIL 100mm. TOYOTALANDCRUISER (RHD)</t>
  </si>
  <si>
    <t>9005-1429-00</t>
  </si>
  <si>
    <t>CO-401</t>
  </si>
  <si>
    <t>COIL 100mm.HONDA  ACCORD "94" (134A) (RHD)</t>
  </si>
  <si>
    <t>9006-0425-00</t>
  </si>
  <si>
    <t>CO-402</t>
  </si>
  <si>
    <t>แก้ไขเป็น LM-080</t>
  </si>
  <si>
    <t>9006-0528-00</t>
  </si>
  <si>
    <t>CO-410</t>
  </si>
  <si>
    <t>แก้ไขเป็น LM-160 COIL  85mm.  HYUNDAI CEL '92 (FIN 13mm.) RHD</t>
  </si>
  <si>
    <t>9006-0529-00</t>
  </si>
  <si>
    <t>CO-411</t>
  </si>
  <si>
    <t>COIL 85mm. HYUNDAI NATA '93 (FIN 13mm.) RHD</t>
  </si>
  <si>
    <t>9006-0530-00</t>
  </si>
  <si>
    <t>CO-412</t>
  </si>
  <si>
    <t>COIL 85mm.NISSAN MARCH YC.(ENI-MARCH) LHD.</t>
  </si>
  <si>
    <t>9005-1430-00</t>
  </si>
  <si>
    <t>CO-418</t>
  </si>
  <si>
    <t>COIL100mm.  MIT.PAJARO (R12) (FIN 13mm.)</t>
  </si>
  <si>
    <t>9006-0533-00</t>
  </si>
  <si>
    <t>CO-419</t>
  </si>
  <si>
    <t>COIL 85mm. AUDI 100134A) (FIN 13mm.) (RHD)</t>
  </si>
  <si>
    <t>9006-0609-00</t>
  </si>
  <si>
    <t>CO-420</t>
  </si>
  <si>
    <t>แก้ไขเป็น LM-293</t>
  </si>
  <si>
    <t>9005-2015-00</t>
  </si>
  <si>
    <t>CO-422</t>
  </si>
  <si>
    <t>COIL 100mm.MITSUBISHI FUSO (RHD)</t>
  </si>
  <si>
    <t>9005-2017-00</t>
  </si>
  <si>
    <t>CO-430</t>
  </si>
  <si>
    <t>COIL 100mm. NISSAN 321YC ENI 321Y LHD.</t>
  </si>
  <si>
    <t>9005-2018-00</t>
  </si>
  <si>
    <t>CO-431</t>
  </si>
  <si>
    <t>COIL 100mm.CANTER3.5T ENI CA 3.5 (FIN 16mm.)LHD</t>
  </si>
  <si>
    <t>9005-2019-00</t>
  </si>
  <si>
    <t>CO-432</t>
  </si>
  <si>
    <t>COIL 100mm. L300 DE EMI L300 (FIN 20mm.)LHD.</t>
  </si>
  <si>
    <t>9005-2021-00</t>
  </si>
  <si>
    <t>CO-434</t>
  </si>
  <si>
    <t>COIL 100mm. NISSAN931/2.0 YC ENI 931Y LHD.</t>
  </si>
  <si>
    <t>9005-2022-00</t>
  </si>
  <si>
    <t>CO-435</t>
  </si>
  <si>
    <t>COIL 100mm.NISSAN 331/1.6 YC ENI 331Y LHD.</t>
  </si>
  <si>
    <t>9005-2024-00</t>
  </si>
  <si>
    <t>CO-437</t>
  </si>
  <si>
    <t>COIL 100mm. HINO EHI35T (FIN 22mm.) LHD.</t>
  </si>
  <si>
    <t>9005-2016-00</t>
  </si>
  <si>
    <t>CO-439</t>
  </si>
  <si>
    <t>COIL 100mm.HINO(N/D) 134a (FIN 22mm.) RHD</t>
  </si>
  <si>
    <t>9005-0225-00</t>
  </si>
  <si>
    <t>CO-441</t>
  </si>
  <si>
    <t>COIL 100mm. MAZDA 323(FIN 20mm.) (RHD&amp;LHD)</t>
  </si>
  <si>
    <t>9006-0605-00</t>
  </si>
  <si>
    <t>CO-442</t>
  </si>
  <si>
    <t>COIL  85mm.  MAZDA 626  (RHD)</t>
  </si>
  <si>
    <t>9006-0603-00</t>
  </si>
  <si>
    <t>CO-444</t>
  </si>
  <si>
    <t>COIL 85mm. MITSUBISHI LANCER CBI R-12 GLXI FIN16 mm.</t>
  </si>
  <si>
    <t>CO-445</t>
  </si>
  <si>
    <t xml:space="preserve"> แก้ไขเป็น LM-161 </t>
  </si>
  <si>
    <t>9006-0415-00</t>
  </si>
  <si>
    <t>CO-446</t>
  </si>
  <si>
    <t>แก้ไขเป็น LM-211</t>
  </si>
  <si>
    <t>9006-0416-00</t>
  </si>
  <si>
    <t>CO-447</t>
  </si>
  <si>
    <t>แก้ไขเป็น LM-212</t>
  </si>
  <si>
    <t>9006-0419-00</t>
  </si>
  <si>
    <t>CO-448</t>
  </si>
  <si>
    <t>แก้ไขเป็น LM-213</t>
  </si>
  <si>
    <t>9006-0604-00</t>
  </si>
  <si>
    <t>CO-449</t>
  </si>
  <si>
    <t>COIL 85mm.HYUNDAI  NATA 94 (FIN 13mm.) RHD</t>
  </si>
  <si>
    <t>9005-1226-00</t>
  </si>
  <si>
    <t>CO-451</t>
  </si>
  <si>
    <t>COIL 100mm. ENI-321LYC (321/YC 4.2) LHD.</t>
  </si>
  <si>
    <t>9005-1227-00</t>
  </si>
  <si>
    <t>CO-452</t>
  </si>
  <si>
    <t>COIL 100mm.TOYOTA COROLLA 93 134A (FIN 20mm.)</t>
  </si>
  <si>
    <t>9006-0426-00</t>
  </si>
  <si>
    <t>CO-453</t>
  </si>
  <si>
    <t>COIL 85mm.MIT.GALANT 93/94 R-12 (RHD)</t>
  </si>
  <si>
    <t>9006-0607-00</t>
  </si>
  <si>
    <t>CO-454</t>
  </si>
  <si>
    <t>แก้ไขเป็น LM-129</t>
  </si>
  <si>
    <t>9005-1228-00</t>
  </si>
  <si>
    <t>CO-456</t>
  </si>
  <si>
    <t>COIL 100mm.MAZDA 4-5»ÃÐµÙ (R-12) (FIN 13mm.) (RHD)</t>
  </si>
  <si>
    <t>9008-0307-00</t>
  </si>
  <si>
    <t>CO-457</t>
  </si>
  <si>
    <t>COIL 70mm.A-6E [RHD] O-RING (FIN 13mm.)</t>
  </si>
  <si>
    <t>9008-0306-00</t>
  </si>
  <si>
    <t>CO-458</t>
  </si>
  <si>
    <t>COIL 70mm.A-6E (LHD) (FIN 13mm.)</t>
  </si>
  <si>
    <t>9008-0403-00</t>
  </si>
  <si>
    <t>CO-460</t>
  </si>
  <si>
    <t>แก้ไขเป็น LM-292</t>
  </si>
  <si>
    <t>9008-0402-00</t>
  </si>
  <si>
    <t>CO-460/A</t>
  </si>
  <si>
    <t>แก้ไขเป็น LM-295</t>
  </si>
  <si>
    <t>9005-1230-00</t>
  </si>
  <si>
    <t>CO-461</t>
  </si>
  <si>
    <t>COIL 100mm. แม็คโคร (FIN 20mm.) (RHD)</t>
  </si>
  <si>
    <t>9005-1231-00</t>
  </si>
  <si>
    <t>CO-462</t>
  </si>
  <si>
    <t>COIL 100mm.MITSUBISHI PAJERO (2500) (FIN 22mm.)</t>
  </si>
  <si>
    <t>9006-0610-00</t>
  </si>
  <si>
    <t>CO-463</t>
  </si>
  <si>
    <t>COIL 85mm.DAIHATSU MIRA R-12 (RHD)</t>
  </si>
  <si>
    <t>9005-1233-00</t>
  </si>
  <si>
    <t>CO-467</t>
  </si>
  <si>
    <t>แก้ไขเป็น LM-164</t>
  </si>
  <si>
    <t>9005-2013-00</t>
  </si>
  <si>
    <t>CO-468</t>
  </si>
  <si>
    <t>แก้ไขเป็น LM-153</t>
  </si>
  <si>
    <t>9006-0611-00</t>
  </si>
  <si>
    <t>CO-469</t>
  </si>
  <si>
    <t>COIL  85mm. NISSAN CEDRID  LHD.</t>
  </si>
  <si>
    <t>9005-1605-00</t>
  </si>
  <si>
    <t>CO-470</t>
  </si>
  <si>
    <t>COIL 100mm. TOYOTA ESTIMA (134A) RHD. (FIN 16mm.)</t>
  </si>
  <si>
    <t>9005-1234-00</t>
  </si>
  <si>
    <t>CO-474</t>
  </si>
  <si>
    <t>COIL 100mm.0390 O-RING (FIN 20mm.)</t>
  </si>
  <si>
    <t>9006-0534-00</t>
  </si>
  <si>
    <t>CO-475</t>
  </si>
  <si>
    <t>COIL 85mm.TOYOTA CORONA AT-190 (LHD) (FIN 16mm.)</t>
  </si>
  <si>
    <t>9005-1235-00</t>
  </si>
  <si>
    <t>CO-476</t>
  </si>
  <si>
    <t>COIL 100mm. FORDLASER 85 (FIN 20mm.) LHD.</t>
  </si>
  <si>
    <t>9006-0613-00</t>
  </si>
  <si>
    <t>CO-477</t>
  </si>
  <si>
    <t>COIL 85mm.MITSUBISHI LANCER (134A) (FIN 16mm.)LHD.</t>
  </si>
  <si>
    <t>9006-0612-00</t>
  </si>
  <si>
    <t>CO-479</t>
  </si>
  <si>
    <t>แก้ไขเป็น LM-216</t>
  </si>
  <si>
    <t>9005-2012-00</t>
  </si>
  <si>
    <t>CO-480</t>
  </si>
  <si>
    <t>COIL 100mm. A-7E(RHD)100x20xO-RING (FIN 13mm.)</t>
  </si>
  <si>
    <t>9008-2002-00</t>
  </si>
  <si>
    <t>CO-481</t>
  </si>
  <si>
    <t>COIL 70mm. NISSAN U-12 (RHD)</t>
  </si>
  <si>
    <t>9005-2025-00</t>
  </si>
  <si>
    <t>CO-482</t>
  </si>
  <si>
    <t>COIL 100mm. TOYOTAESTIMA(134A) LHD. (FIN 13mm.)</t>
  </si>
  <si>
    <t>9005-2014-00</t>
  </si>
  <si>
    <t>CO-483</t>
  </si>
  <si>
    <t xml:space="preserve"> COIL 100mm.A-10E (RHD)100x20xO-RING (FIN 13mm.)</t>
  </si>
  <si>
    <t>9005-1410-00</t>
  </si>
  <si>
    <t>CO-484</t>
  </si>
  <si>
    <t>9006-0614-00</t>
  </si>
  <si>
    <t>CO-488</t>
  </si>
  <si>
    <t>COIL 85mm.DAIHATSU G130/NA (FIN 20mm.) LHD.</t>
  </si>
  <si>
    <t>9006-0615-00</t>
  </si>
  <si>
    <t>CO-489</t>
  </si>
  <si>
    <t>COIL 85mm. NISSAN CW 520 UD(FIN16mm.)</t>
  </si>
  <si>
    <t>9005-2026-00</t>
  </si>
  <si>
    <t>CO-490</t>
  </si>
  <si>
    <t>COIL 100mm. TOYOTA4.4T-6.8T(ETO 6.8T) (FIN 22mm.</t>
  </si>
  <si>
    <t>9005-2027-00</t>
  </si>
  <si>
    <t>CO-491</t>
  </si>
  <si>
    <t>COIL 100mm. FORD LHD.LASER 88"(EFO 88) (FIN 20mm.)</t>
  </si>
  <si>
    <t>9005-2029-00</t>
  </si>
  <si>
    <t>CO-492</t>
  </si>
  <si>
    <t>COIL 100mm.MITSUBISHI FUSO 330 (LHD) (FIN 20mm.)</t>
  </si>
  <si>
    <t>9005-2030-00</t>
  </si>
  <si>
    <t>CO-493</t>
  </si>
  <si>
    <t>COIL 100mm. NISSAN321/SD (W/PIPE) LHD.</t>
  </si>
  <si>
    <t>9006-0616-00</t>
  </si>
  <si>
    <t>CO-494</t>
  </si>
  <si>
    <t>9005-0112-00</t>
  </si>
  <si>
    <t>CO-495</t>
  </si>
  <si>
    <t>COIL 100mm.  09HA20DOF (FIN 20mm.)</t>
  </si>
  <si>
    <t>9005-0115-00</t>
  </si>
  <si>
    <t>CO-496</t>
  </si>
  <si>
    <t>COIL 100mm. CIVIC1.512V(08HCV15FF) (FIN 20mm)LHD.</t>
  </si>
  <si>
    <t>9005-2031-00</t>
  </si>
  <si>
    <t>CO-498</t>
  </si>
  <si>
    <t>COIL 100mm. HINO 3M 2400CC (N/D) (FIN 22mm.) RHD</t>
  </si>
  <si>
    <t>9006-0619-00</t>
  </si>
  <si>
    <t>CO-499</t>
  </si>
  <si>
    <t>COIL 85mm. KOBELCO RHD. (FIN 16mm.)</t>
  </si>
  <si>
    <t>9006-0622-00</t>
  </si>
  <si>
    <t>CO-501</t>
  </si>
  <si>
    <t>แก้ไขเป็น LM-249 COIL 85mm. MAZDACRONOS) 134A 85X16X (RHD)</t>
  </si>
  <si>
    <t>9006-0623-00</t>
  </si>
  <si>
    <t>CO-503</t>
  </si>
  <si>
    <t>COIL 85mm.  MITSUBISHI GALANT 95 (134A) LHD.</t>
  </si>
  <si>
    <t>9005-2034-00</t>
  </si>
  <si>
    <t>CO-505</t>
  </si>
  <si>
    <t>COIL 100mm. SUBARU JUSTY/TC (ESUJUT)</t>
  </si>
  <si>
    <t>9006-0625-00</t>
  </si>
  <si>
    <t>CO-506</t>
  </si>
  <si>
    <t>COIL 85mm.SUBARU JUSTY/YC (ESUJUY)</t>
  </si>
  <si>
    <t>9006-0626-00</t>
  </si>
  <si>
    <t>CO-507</t>
  </si>
  <si>
    <t>COIL 85mm.HONDA ACCORD 94(2.0) (FIN 20mm.) LHD</t>
  </si>
  <si>
    <t>9005-2036-00</t>
  </si>
  <si>
    <t>CO-509</t>
  </si>
  <si>
    <t>COIL 100mm.  MITSUBISHI ECLIPSE (FIN 22mm.) LHD.</t>
  </si>
  <si>
    <t>9006-0627-00</t>
  </si>
  <si>
    <t>CO-510</t>
  </si>
  <si>
    <t>COIL 85mm.MITSUBISHI MIRAGE (FIN 16mm.)</t>
  </si>
  <si>
    <t>9005-2037-00</t>
  </si>
  <si>
    <t>CO-512</t>
  </si>
  <si>
    <t>COIL 100mm.MITSUBISHI SPACE WAGON (WILLIAM) LHD.</t>
  </si>
  <si>
    <t>9005-2038-00</t>
  </si>
  <si>
    <t>CO-513</t>
  </si>
  <si>
    <t>COIL 100mm.MITSUBISHIGALANT 90 (RHD.) (FIN 19mm.)</t>
  </si>
  <si>
    <t>9005-2039-00</t>
  </si>
  <si>
    <t>CO-515</t>
  </si>
  <si>
    <t>แก้ไขเป็น LM-307 COIL 100mm. TOYOTAHI ACE 95(134a) L.H.D. FIN 16mm</t>
  </si>
  <si>
    <t>9006-0628-00</t>
  </si>
  <si>
    <t>CO-516</t>
  </si>
  <si>
    <t>COIL 85mm. HONDA ACCORD 95(134a) L.H.D. (FIN 16mm.)</t>
  </si>
  <si>
    <t>9006-0630-00</t>
  </si>
  <si>
    <t>CO-521</t>
  </si>
  <si>
    <t>COIL 85mm  SUZUKI VITARA (A) (FIN 16mm.)</t>
  </si>
  <si>
    <t>9006-0631-00</t>
  </si>
  <si>
    <t>CO-522</t>
  </si>
  <si>
    <t>COIL 85mm. UNIVERSEL LHD.(FIN 16mm.)</t>
  </si>
  <si>
    <t>9006-0632-00</t>
  </si>
  <si>
    <t>CO-523</t>
  </si>
  <si>
    <t>COIL 85mm. TOYOTA COROLLA 1.8 (LHD.) R-12 (FIN 16mm.)</t>
  </si>
  <si>
    <t>9006-0633-00</t>
  </si>
  <si>
    <t>CO-524</t>
  </si>
  <si>
    <t>COIL  85mm. TOYOTA COROLLA 1.8(134a) LHD.(FIN 16mm.)</t>
  </si>
  <si>
    <t>9006-0634-00</t>
  </si>
  <si>
    <t>CO-525</t>
  </si>
  <si>
    <t>COIL  85mm. TOYOTA CAMRY(R-12) LHD.ETO-RY (FIN 16mm)</t>
  </si>
  <si>
    <t>9006-0635-00</t>
  </si>
  <si>
    <t>CO-526</t>
  </si>
  <si>
    <t>COIL 85mm. TOYOTACAMRY(134a) LHD. (FIN 16mm.)</t>
  </si>
  <si>
    <t>9005-2041-00</t>
  </si>
  <si>
    <t>CO-527</t>
  </si>
  <si>
    <t>COIL 100mm. TOYOTA ZACE (134a) (RHD&amp;LHD)</t>
  </si>
  <si>
    <t>9008-2004-00</t>
  </si>
  <si>
    <t>CO-528</t>
  </si>
  <si>
    <t>COIL 70mm.ISUZU TROOPER (RHD.) R-12 (FIN 10 mm.)</t>
  </si>
  <si>
    <t>9005-2042-00</t>
  </si>
  <si>
    <t>CO-531</t>
  </si>
  <si>
    <t>COIL 100mm.TOYOTA COROLLA(NEW) (134a) (RHD)</t>
  </si>
  <si>
    <t>9006-0636-00</t>
  </si>
  <si>
    <t>CO-532</t>
  </si>
  <si>
    <t>COIL 85mm. MITSUBISHI L200 LHD. (FIN 19mm.)</t>
  </si>
  <si>
    <t>9005-2043-00</t>
  </si>
  <si>
    <t>CO-533</t>
  </si>
  <si>
    <t>COIL100mm. NISSAN SAFARI (FIN 16mm.)</t>
  </si>
  <si>
    <t>9005-2044-00</t>
  </si>
  <si>
    <t>CO-534</t>
  </si>
  <si>
    <t>COIL 100mm.MITSUBISHI CANTER 3.5/T (FIN 20mm.)LHD.</t>
  </si>
  <si>
    <t>9005-2045-00</t>
  </si>
  <si>
    <t>CO-535</t>
  </si>
  <si>
    <t>COIL 100mm.FORD MAXI 1.8/2.2 LHD. (FIN 20mm.)</t>
  </si>
  <si>
    <t>9006-0637-00</t>
  </si>
  <si>
    <t>CO-537</t>
  </si>
  <si>
    <t>COIL 85mm. MITSUBISHI VARICA R-12 (FIN 20mm.)LHD.</t>
  </si>
  <si>
    <t>9006-0638-00</t>
  </si>
  <si>
    <t>CO-538</t>
  </si>
  <si>
    <t>COIL 85MM. MITSUBISHI VARICA 134A (FIN 20mm.)LHD.</t>
  </si>
  <si>
    <t>9005-2048-00</t>
  </si>
  <si>
    <t>CO-542</t>
  </si>
  <si>
    <t>COIL 100mm. NISSANSAFARI(FRONT) (FIN 16mm.)</t>
  </si>
  <si>
    <t>9005-2049-00</t>
  </si>
  <si>
    <t>CO-543</t>
  </si>
  <si>
    <t>COIL 100mm.NISSAN EAGLE (FIN16mm.)</t>
  </si>
  <si>
    <t>9005-2050-00</t>
  </si>
  <si>
    <t>CO-546</t>
  </si>
  <si>
    <t>COIL 100mm. MITSUBISHI SPACE WAGON 134a(RHD.) FIN13mm</t>
  </si>
  <si>
    <t>9006-0641-00</t>
  </si>
  <si>
    <t>CO-547</t>
  </si>
  <si>
    <t>COIL 85mm. HONDA CIVIC EX(95-96)134a RHD.(FIN20mm.)</t>
  </si>
  <si>
    <t>9006-0642-00</t>
  </si>
  <si>
    <t>CO-548</t>
  </si>
  <si>
    <t>COIL 85mm. HONDA CIVIC EX(92-93)R-12 LHD. (FIN 16mm</t>
  </si>
  <si>
    <t>9006-0643-00</t>
  </si>
  <si>
    <t>CO-549</t>
  </si>
  <si>
    <t>COIL 85mm.NISSAN BLU NISSAN BLU</t>
  </si>
  <si>
    <t>9006-0644-00</t>
  </si>
  <si>
    <t>CO-550</t>
  </si>
  <si>
    <t>COIL  85mm. MITSUBISHI CBI 9200H RHD. (FIN 16mm.)</t>
  </si>
  <si>
    <t>9005-2051-00</t>
  </si>
  <si>
    <t>CO-551</t>
  </si>
  <si>
    <t>COIL 100mm. MITSUBISHI DELICA [RHD] WILLIAM FIN 20mm.</t>
  </si>
  <si>
    <t>9006-0645-00</t>
  </si>
  <si>
    <t>CO-553</t>
  </si>
  <si>
    <t>COIL 85mm.TOYOTA STARLET EP-80 RHD [134A] FIN 13mm</t>
  </si>
  <si>
    <t>9005-2052-00</t>
  </si>
  <si>
    <t>CO-554</t>
  </si>
  <si>
    <t>COIL  100mm. MITSUBISHI PAJERO RHD.[134A] FIN 16mm.</t>
  </si>
  <si>
    <t>9005-2053-00</t>
  </si>
  <si>
    <t>CO-555</t>
  </si>
  <si>
    <t>COIL 100mm. WW-8 (F")(FIN 13mm.)</t>
  </si>
  <si>
    <t>9005-2054-00</t>
  </si>
  <si>
    <t>CO-557</t>
  </si>
  <si>
    <t xml:space="preserve"> COIL 100mm. HONDAACCORD 89 [L.H.D]R-12 FIN 22mm</t>
  </si>
  <si>
    <t>9006-0646-00</t>
  </si>
  <si>
    <t>CO-558</t>
  </si>
  <si>
    <t>COIL 85mm. TOYOTA COROLLA 94 [L.H.D] R-12 FIN 16mm</t>
  </si>
  <si>
    <t>9006-0647-00</t>
  </si>
  <si>
    <t>CO-559</t>
  </si>
  <si>
    <t>COIL85mm. MAZDA 323 [L.H.D] 134a (FIN 16mm.)</t>
  </si>
  <si>
    <t>9006-0655-00</t>
  </si>
  <si>
    <t>CO-560</t>
  </si>
  <si>
    <t>COIL 85mm. HONDA CIVIC 94-96 R.H.D. (134a) (FIN 13mm.)</t>
  </si>
  <si>
    <t>9005-2055-00</t>
  </si>
  <si>
    <t>CO-561</t>
  </si>
  <si>
    <t>COIL 100mm.CRESSIDA (R.H.D) R-12 (FIN 20mm.)</t>
  </si>
  <si>
    <t>9005-2062-00</t>
  </si>
  <si>
    <t>CO-563</t>
  </si>
  <si>
    <t>COIL 100mm. NISSANSERENA C-23 YR-92 (RHD)</t>
  </si>
  <si>
    <t>9006-0648-00</t>
  </si>
  <si>
    <t>CO-564</t>
  </si>
  <si>
    <t xml:space="preserve"> COIL 85mm. DAIHATSU APPLAUSE YR-91 LHD R-12</t>
  </si>
  <si>
    <t>9006-0649-00</t>
  </si>
  <si>
    <t>CO-565</t>
  </si>
  <si>
    <t>COIL 85mm. DAIHATSU APPLAUSE 134a (FIN 13mm.)</t>
  </si>
  <si>
    <t>9006-0650-00</t>
  </si>
  <si>
    <t>CO-566</t>
  </si>
  <si>
    <t>COIL  85mm.DAIHATSU APPLAUSE 134a (L.H.D)</t>
  </si>
  <si>
    <t>9006-0652-00</t>
  </si>
  <si>
    <t>CO-567</t>
  </si>
  <si>
    <t>COIL 85mm.MAZDA YR88-91 [RHD] 2000 C.C (FIN 16mm.)</t>
  </si>
  <si>
    <t>9006-0653-00</t>
  </si>
  <si>
    <t>CO-568</t>
  </si>
  <si>
    <t>แก้ไขเป็น LM-261</t>
  </si>
  <si>
    <t>9005-2056-00</t>
  </si>
  <si>
    <t>CO-571</t>
  </si>
  <si>
    <t>COIL 100mm. MITFUSO 330 (134a) (FIN 20mm.)LHD</t>
  </si>
  <si>
    <t>9005-2057-00</t>
  </si>
  <si>
    <t>CO-572</t>
  </si>
  <si>
    <t>COIL 100mm.FORD MAXI (134a) LHD. (FIN 20mm.)</t>
  </si>
  <si>
    <t>9005-2059-00</t>
  </si>
  <si>
    <t>CO-574</t>
  </si>
  <si>
    <t>COIL 100mm. FORDLASER 1.6 I (134a) LHD.</t>
  </si>
  <si>
    <t>9006-0651-00</t>
  </si>
  <si>
    <t>CO-575</t>
  </si>
  <si>
    <t>COIL 85mm. DAIHATSUG130/N (134a) LHD.</t>
  </si>
  <si>
    <t>9005-2060-00</t>
  </si>
  <si>
    <t>CO-576</t>
  </si>
  <si>
    <t>COIL 100mm. MITSUBISHICANTER 3.5/10 (FIN 16mm.)LHD.</t>
  </si>
  <si>
    <t>9005-2061-00</t>
  </si>
  <si>
    <t>CO-577</t>
  </si>
  <si>
    <t>COIL 100mm. TOYOTA LITE II (134a) L.H.D (FIN 20mm</t>
  </si>
  <si>
    <t>9005-2063-00</t>
  </si>
  <si>
    <t>CO-578</t>
  </si>
  <si>
    <t>COIL 100mm.  PROTONSAGA [SATRIA] (RHD)</t>
  </si>
  <si>
    <t>9005-2064-00</t>
  </si>
  <si>
    <t>CO-579</t>
  </si>
  <si>
    <t>COIL 100mm. PATCO XPERDANA (RHD)</t>
  </si>
  <si>
    <t>9006-0654-00</t>
  </si>
  <si>
    <t>CO-582</t>
  </si>
  <si>
    <t>COIL 85mm. DENSO/WIRADENSO/WIRA (RHD.) (FIN 22mm.)</t>
  </si>
  <si>
    <t>9005-2066-00</t>
  </si>
  <si>
    <t>CO-583</t>
  </si>
  <si>
    <t>COIL 100mm. KIA (L.H.D)B-6008 LASER (FIN 20mm.)</t>
  </si>
  <si>
    <t>9006-0656-00</t>
  </si>
  <si>
    <t>CO-586</t>
  </si>
  <si>
    <t>COIL 85mm. PROTONWIRA O-SD (134a) (FIN 16mm.)</t>
  </si>
  <si>
    <t>9006-0657-00</t>
  </si>
  <si>
    <t>CO-588</t>
  </si>
  <si>
    <t>COIL 85mm. MAZDA 323 (L.H.D) W/PIPE,VALVE (FIN 16mm.)</t>
  </si>
  <si>
    <t>9008-2006-00</t>
  </si>
  <si>
    <t>CO-590</t>
  </si>
  <si>
    <t>COIL 70mm. PREGIO(FIN 13mm.) (RHD)</t>
  </si>
  <si>
    <t>9005-2069-00</t>
  </si>
  <si>
    <t>CO-591</t>
  </si>
  <si>
    <t>COIL 100mm. HI-BESTA 2.7(FIN 19mm.)</t>
  </si>
  <si>
    <t>9006-0658-00</t>
  </si>
  <si>
    <t>CO-592</t>
  </si>
  <si>
    <t>COIL  85mm. NISSANVANETTE (FIN 13mm.)</t>
  </si>
  <si>
    <t>9005-2070-00</t>
  </si>
  <si>
    <t>CO-593</t>
  </si>
  <si>
    <t>COIL100mm. MITSUBISHI PAJERO R-12 (LHD) (FIN 13mm.)</t>
  </si>
  <si>
    <t>9008-2007-00</t>
  </si>
  <si>
    <t>CO-594</t>
  </si>
  <si>
    <t>แก้ไขเป็น LM-071</t>
  </si>
  <si>
    <t>9005-2071-00</t>
  </si>
  <si>
    <t>CO-595</t>
  </si>
  <si>
    <t xml:space="preserve"> COIL100mm.TOYOTA LANDCRUISER R-12 (RHD)</t>
  </si>
  <si>
    <t>9005-2067-00</t>
  </si>
  <si>
    <t>CO-597</t>
  </si>
  <si>
    <t>แก้ไขเป็น LM-165 COIL 100mm.WW-II (F")(FIN 13mm.)</t>
  </si>
  <si>
    <t>9005-2068-00</t>
  </si>
  <si>
    <t>CO-599</t>
  </si>
  <si>
    <t>COIL 100mm. MITSUBISHI PAJERO 134a (L.H.D.) (FIN 16mm</t>
  </si>
  <si>
    <t>9005-2074-00</t>
  </si>
  <si>
    <t>CO-602</t>
  </si>
  <si>
    <t>COIL 100mm.TOYOTA CROWNMS-132,133 [2.8] (RHD)</t>
  </si>
  <si>
    <t>9005-0160-00</t>
  </si>
  <si>
    <t>CO-602/H</t>
  </si>
  <si>
    <t>COIL 100mm.TOYOTA CROWN  (FIN 13mm.)</t>
  </si>
  <si>
    <t>9006-0662-00</t>
  </si>
  <si>
    <t>CO-603</t>
  </si>
  <si>
    <t>COIL 85mm.TOYOTA COROLLA 92 [RHD.] R-12 (FIN 13mm.)</t>
  </si>
  <si>
    <t>9005-2075-00</t>
  </si>
  <si>
    <t>CO-604</t>
  </si>
  <si>
    <t>COIL100mm. TOYOTA CRESSIDA [RHD.]R-12 FIN 13mm.</t>
  </si>
  <si>
    <t>9006-0161-00</t>
  </si>
  <si>
    <t>CO-1205</t>
  </si>
  <si>
    <t>COIL 85mm.SUZUKI SWIFT-90 AB 43/44 134a (RHD.)</t>
  </si>
  <si>
    <t>9005-2072-00</t>
  </si>
  <si>
    <t>CO-606</t>
  </si>
  <si>
    <t>COIL100mm. MITSUBISHI FUSO [RHD]134A (FIN 20mm.)</t>
  </si>
  <si>
    <t>9005-2073-00</t>
  </si>
  <si>
    <t>CO-607</t>
  </si>
  <si>
    <t>COIL 100mm. MITSUBISHI FUSO [LHD.]134A (FIN 20mm.)</t>
  </si>
  <si>
    <t>9006-0660-00</t>
  </si>
  <si>
    <t>CO-608</t>
  </si>
  <si>
    <t xml:space="preserve"> แก้ไขเป็น LM-075 </t>
  </si>
  <si>
    <t>9006-0661-00</t>
  </si>
  <si>
    <t>CO-609</t>
  </si>
  <si>
    <t>COIL 85mm.ISUZU 2.8NKR,4.3NQR/NPR L.H.D W./VALVE,PIPE</t>
  </si>
  <si>
    <t>9006-0242-00</t>
  </si>
  <si>
    <t>CO-1286</t>
  </si>
  <si>
    <t>COIL 85mm.SUZUKIVITARA 134a (RHD.)</t>
  </si>
  <si>
    <t>9006-0402-00</t>
  </si>
  <si>
    <t>CO-132</t>
  </si>
  <si>
    <t>COIL  85mm. SUZUKICB91(88-89) (RHD)</t>
  </si>
  <si>
    <t>9005-2077-00</t>
  </si>
  <si>
    <t>CO-618</t>
  </si>
  <si>
    <t>COIL 100mm.TOYOTALITEDCE [LHD.]134a</t>
  </si>
  <si>
    <t>9006-0664-00</t>
  </si>
  <si>
    <t>CO-620</t>
  </si>
  <si>
    <t>COIL 85mm.TOYOTA SOLUNA (R.H.D) 134a</t>
  </si>
  <si>
    <t>9006-0665-00</t>
  </si>
  <si>
    <t>CO-621</t>
  </si>
  <si>
    <t>COIL 85mm.TOYOTA STARLET (R.H.D) R-12 (FIN22mm)</t>
  </si>
  <si>
    <t>9006-0666-00</t>
  </si>
  <si>
    <t>CO-622</t>
  </si>
  <si>
    <t>COIL 85mm.HONDA CIVIC 94 (R.H.D) 134a(4DOORS) FIN16mm</t>
  </si>
  <si>
    <t>9006-0667-00</t>
  </si>
  <si>
    <t>CO-623</t>
  </si>
  <si>
    <t>COIL 85mm. MITSUBISHI GALANT 90 (R.H.D) (FIN 22mm)</t>
  </si>
  <si>
    <t>9005-2078-00</t>
  </si>
  <si>
    <t>CO-624</t>
  </si>
  <si>
    <t>COIL 100mm. MITSUBISHI GALANT 83 (O) R.H.D</t>
  </si>
  <si>
    <t>9005-2079-00</t>
  </si>
  <si>
    <t>CO-625</t>
  </si>
  <si>
    <t>COIL 100mm. HONDACIVIC 82 (F) R.H.D (FIN 20mm.)</t>
  </si>
  <si>
    <t>9006-0668-00</t>
  </si>
  <si>
    <t>CO-626</t>
  </si>
  <si>
    <t>COIL 85mm.TOYOTA CORONA ST-171 [RHD] FIN13 mm.</t>
  </si>
  <si>
    <t>9006-0669-00</t>
  </si>
  <si>
    <t>CO-627</t>
  </si>
  <si>
    <t>COIL 85mm.รุ่น NISSAN CEDRIC Y 32 RHD.</t>
  </si>
  <si>
    <t>9006-0670-00</t>
  </si>
  <si>
    <t>CO-628</t>
  </si>
  <si>
    <t>COIL 85mm. DAIHATSUMIRA [134a] RHD</t>
  </si>
  <si>
    <t>9006-0671-00</t>
  </si>
  <si>
    <t>CO-629</t>
  </si>
  <si>
    <t>COIL 85mm. HYUNDAI ELANTRA 1.6 LHD.</t>
  </si>
  <si>
    <t>9006-0672-00</t>
  </si>
  <si>
    <t>CO-632</t>
  </si>
  <si>
    <t>COIL 85mm.FORD TX5'93[R-12] LHD. FIN 13mm.</t>
  </si>
  <si>
    <t>9006-0674-00</t>
  </si>
  <si>
    <t>CO-634</t>
  </si>
  <si>
    <t>COIL 85mm.รุ่น FORD TX5'8 7 (LHD.)</t>
  </si>
  <si>
    <t>9006-0272-00</t>
  </si>
  <si>
    <t>CO-1367</t>
  </si>
  <si>
    <t>COIL 85mM.SUZUK BALENO YB1 1300CC RHD.&amp; LHD.</t>
  </si>
  <si>
    <t>9006-0677-00</t>
  </si>
  <si>
    <t>CO-637</t>
  </si>
  <si>
    <t>COIL 85mm TOYOTA COROLLA 1.6 LHD.</t>
  </si>
  <si>
    <t>9006-0678-00</t>
  </si>
  <si>
    <t>CO-638</t>
  </si>
  <si>
    <t>COIL 85mm.TOYOTA CORONA 1.6 R-12 (LHD)</t>
  </si>
  <si>
    <t>9006-0679-00</t>
  </si>
  <si>
    <t>CO-639</t>
  </si>
  <si>
    <t>COIL 85mm.TOYOTA CORONA 1.6 134A LHD.</t>
  </si>
  <si>
    <t>9006-0681-00</t>
  </si>
  <si>
    <t>CO-641</t>
  </si>
  <si>
    <t>COIL  85mm. FORD SABLELHD.</t>
  </si>
  <si>
    <t>9006-0682-00</t>
  </si>
  <si>
    <t>CO-643</t>
  </si>
  <si>
    <t>COIL 85mm.AUDI 100 LHD.</t>
  </si>
  <si>
    <t>9006-0683-00</t>
  </si>
  <si>
    <t>CO-644</t>
  </si>
  <si>
    <t>แก้ไขเป็น LM-224</t>
  </si>
  <si>
    <t>9006-0684-00</t>
  </si>
  <si>
    <t>CO-645</t>
  </si>
  <si>
    <t>COIL 85mm.FORD GLS LHD. R-12</t>
  </si>
  <si>
    <t>9005-2084-00</t>
  </si>
  <si>
    <t>CO-649</t>
  </si>
  <si>
    <t>COIL 100mm. CITROEN C15 LHD.</t>
  </si>
  <si>
    <t>9005-2082-00</t>
  </si>
  <si>
    <t>CO-650</t>
  </si>
  <si>
    <t>COIL 100mm. PAC-A6(R.H.D) FLARE</t>
  </si>
  <si>
    <t>9005-2083-00</t>
  </si>
  <si>
    <t>CO-651</t>
  </si>
  <si>
    <t>COIL 100mm. HONDA INTEGRA 92-93(RHD)</t>
  </si>
  <si>
    <t>9006-0685-00</t>
  </si>
  <si>
    <t>CO-652</t>
  </si>
  <si>
    <t>แก้ไขเป็น LM-227</t>
  </si>
  <si>
    <t>9005-2085-00</t>
  </si>
  <si>
    <t>CO-653</t>
  </si>
  <si>
    <t>COIL 100mm.MAZDA MPV 3.094 YR 134a (FIN 22mm.) (RHD)</t>
  </si>
  <si>
    <t>9008-2009-00</t>
  </si>
  <si>
    <t>CO-654</t>
  </si>
  <si>
    <t>แก้ไขเป็น LM-205  COIL 70MM.  NISSAN SERENAC23 92 YR R-12 (RHD)</t>
  </si>
  <si>
    <t>9006-0686-00</t>
  </si>
  <si>
    <t>CO-655</t>
  </si>
  <si>
    <t>แก้ไขเป็น LM-178</t>
  </si>
  <si>
    <t>9006-0687-00</t>
  </si>
  <si>
    <t>CO-657</t>
  </si>
  <si>
    <t>COIL 85MM. NISSAN MARCH/5.2 134a</t>
  </si>
  <si>
    <t>9006-0689-00</t>
  </si>
  <si>
    <t>CO-659</t>
  </si>
  <si>
    <t>COIL 85MM.  NISSAN 331 1.4 SD 134a</t>
  </si>
  <si>
    <t>9006-0690-00</t>
  </si>
  <si>
    <t>CO-660</t>
  </si>
  <si>
    <t>COIL85mm. NISSAN MARCH/7 134a</t>
  </si>
  <si>
    <t>9006-0691-00</t>
  </si>
  <si>
    <t>CO-661</t>
  </si>
  <si>
    <t>COIL 85mm.FORD TX5 94 134a LHD. (FIN 13mm.)</t>
  </si>
  <si>
    <t>9006-0693-00</t>
  </si>
  <si>
    <t>CO-666</t>
  </si>
  <si>
    <t xml:space="preserve"> แก้ไขเป็น LM-175</t>
  </si>
  <si>
    <t>9006-0694-00</t>
  </si>
  <si>
    <t>CO-671</t>
  </si>
  <si>
    <t>แก้ไขเป็น LM-258</t>
  </si>
  <si>
    <t>9006-0698-00</t>
  </si>
  <si>
    <t>CO-672</t>
  </si>
  <si>
    <t>COIL 85mm.  MITSUBISHI LANCER 96 (RHD)</t>
  </si>
  <si>
    <t>9008-2010-00</t>
  </si>
  <si>
    <t>CO-673</t>
  </si>
  <si>
    <t>COIL 70mm.RENAULT TWINGO (LHD)</t>
  </si>
  <si>
    <t>9006-0695-00</t>
  </si>
  <si>
    <t>CO-674</t>
  </si>
  <si>
    <t>COIL 85MM.  FIAT TIPO (L.H.D)</t>
  </si>
  <si>
    <t>9006-0696-00</t>
  </si>
  <si>
    <t>CO-675</t>
  </si>
  <si>
    <t>COIL 85MM. GM 2.0/6545 (LHD)</t>
  </si>
  <si>
    <t>9006-0697-00</t>
  </si>
  <si>
    <t>CO-676</t>
  </si>
  <si>
    <t>COIL 85MM. DAEWOO ESPERO(LHD)</t>
  </si>
  <si>
    <t>9005-2086-00</t>
  </si>
  <si>
    <t>CO-679</t>
  </si>
  <si>
    <t>COIL 100mm. MITSUBISHIL-300 HA (LHD)</t>
  </si>
  <si>
    <t>9006-0700-00</t>
  </si>
  <si>
    <t>CO-680</t>
  </si>
  <si>
    <t>COIL 85mm. HONDA CIVIC  K-600 (134a) L.H.D (FIN 16mm)</t>
  </si>
  <si>
    <t>9006-0701-00</t>
  </si>
  <si>
    <t>CO-681</t>
  </si>
  <si>
    <t>COIL  85MM.  HONDA CIVIC CV39P (LHD) (FIN 20mm.)</t>
  </si>
  <si>
    <t>9006-0702-00</t>
  </si>
  <si>
    <t>CO-689</t>
  </si>
  <si>
    <t>COIL 85mm.TOYOTA HILUX 134a (L.H.D)</t>
  </si>
  <si>
    <t>9006-0154-00</t>
  </si>
  <si>
    <t>CO-689/H</t>
  </si>
  <si>
    <t>COIL 85mm.TOYOTA HILUX 134a (LHD.)</t>
  </si>
  <si>
    <t>9006-0703-00</t>
  </si>
  <si>
    <t>CO-690</t>
  </si>
  <si>
    <t>COIL 85mm.TOYOTAHILUX R-12 (L.H.D)</t>
  </si>
  <si>
    <t>9005-2089-00</t>
  </si>
  <si>
    <t>CO-691</t>
  </si>
  <si>
    <t>COIL 100mm. MITSUBISHIFUSO R-12 (R.H.D) FIN20mm.</t>
  </si>
  <si>
    <t>9005-2090-00</t>
  </si>
  <si>
    <t>CO-692</t>
  </si>
  <si>
    <t>COIL 100mm.MITSUBISHI PAJERO 2500 (L.H.D)</t>
  </si>
  <si>
    <t>9005-2087-00</t>
  </si>
  <si>
    <t>CO-693</t>
  </si>
  <si>
    <t>COIL 100mm. HONDA CIVIC 88'[LHD.]EHOKK388</t>
  </si>
  <si>
    <t>9005-2088-00</t>
  </si>
  <si>
    <t>CO-694</t>
  </si>
  <si>
    <t>COIL100mm. VOLVO 740,960(TURBO)134a N/D (R.H.D)</t>
  </si>
  <si>
    <t>9005-2091-00</t>
  </si>
  <si>
    <t>CO-697</t>
  </si>
  <si>
    <t>COIL 100MM.  LHD. FORD FESTIVA 94</t>
  </si>
  <si>
    <t>9006-0704-00</t>
  </si>
  <si>
    <t>CO-698</t>
  </si>
  <si>
    <t>COIL 85mm. HONDA CIVIC EX 95-96 (134a) LHD</t>
  </si>
  <si>
    <t>9005-2092-00</t>
  </si>
  <si>
    <t>CO-707</t>
  </si>
  <si>
    <t>COIL 100mm. NISSAN CEFIRO (134a) RHD</t>
  </si>
  <si>
    <t>9006-0705-00</t>
  </si>
  <si>
    <t>CO-708</t>
  </si>
  <si>
    <t>COIL 85mm.HONDA CIVIC EX92 (R-12)L.H.D</t>
  </si>
  <si>
    <t>9005-2093-00</t>
  </si>
  <si>
    <t>CO-709</t>
  </si>
  <si>
    <t>COIL 100mm.MITSUBISHI PAJERO R-12 (R.H.D) REAR</t>
  </si>
  <si>
    <t>9006-0706-00</t>
  </si>
  <si>
    <t>CO-717</t>
  </si>
  <si>
    <t>แก้ไขเป็น LM-208</t>
  </si>
  <si>
    <t>9006-0708-00</t>
  </si>
  <si>
    <t>CO-719</t>
  </si>
  <si>
    <t>COIL 85MM. HYUNDAI EXCEL (LHD.)</t>
  </si>
  <si>
    <t>9006-0709-00</t>
  </si>
  <si>
    <t>CO-720</t>
  </si>
  <si>
    <t>COIL 85mm.FORD LIATA (LHD.)</t>
  </si>
  <si>
    <t>9006-0710-00</t>
  </si>
  <si>
    <t>CO-721</t>
  </si>
  <si>
    <t>COIL 85mm.TOYOTA TERCEL(LHD)</t>
  </si>
  <si>
    <t>9008-2011-00</t>
  </si>
  <si>
    <t>CO-722</t>
  </si>
  <si>
    <t>แก้ไขเป็น LM-265COIL 70mm.OPEL CORSA 1.4 (LHD)</t>
  </si>
  <si>
    <t>9008-2012-00</t>
  </si>
  <si>
    <t>CO-724</t>
  </si>
  <si>
    <t>COIL70mm. AUDI 80 (LHD)</t>
  </si>
  <si>
    <t>9008-2013-00</t>
  </si>
  <si>
    <t>CO-725</t>
  </si>
  <si>
    <t>COIL 70mm. CHRYSLERNEON (LHD.) FIN 13mm.</t>
  </si>
  <si>
    <t>9008-2014-00</t>
  </si>
  <si>
    <t>CO-726</t>
  </si>
  <si>
    <t>แก้ไขเป็น LM-032</t>
  </si>
  <si>
    <t>9006-0712-00</t>
  </si>
  <si>
    <t>CO-727</t>
  </si>
  <si>
    <t>แก้ไขเป็น LM-037</t>
  </si>
  <si>
    <t>9005-2094-00</t>
  </si>
  <si>
    <t>CO-728</t>
  </si>
  <si>
    <t>COIL 100mmHONDA INTEGRAL "O" 800 RBB 85A. (LHD)</t>
  </si>
  <si>
    <t>9008-2015-00</t>
  </si>
  <si>
    <t>CO-729</t>
  </si>
  <si>
    <t>COIL 70mm.NISSAN SUNNY B14 YR92 (L.H.D)</t>
  </si>
  <si>
    <t>9006-0713-00</t>
  </si>
  <si>
    <t>CO-730</t>
  </si>
  <si>
    <t>แก้ไขเป็น LM-159 COIL 85mm. JEEP CHEROKEE (R.H.D)</t>
  </si>
  <si>
    <t>9006-0714-00</t>
  </si>
  <si>
    <t>CO-731</t>
  </si>
  <si>
    <t>COIL 85mm. TOYOTA VAN (L.H.D)</t>
  </si>
  <si>
    <t>9005-2095-00</t>
  </si>
  <si>
    <t>CO-732</t>
  </si>
  <si>
    <t>COIL 100mm.TOYOTA CROWNMS-132,133 (LHD) FIN 13mm.</t>
  </si>
  <si>
    <t>9006-0715-00</t>
  </si>
  <si>
    <t>CO-733</t>
  </si>
  <si>
    <t>COIL 85mm.NISSANBLUEBIRD  (LHD) (FIN 13 mm.)</t>
  </si>
  <si>
    <t>9005-2096-00</t>
  </si>
  <si>
    <t>CO-734</t>
  </si>
  <si>
    <t>COIL 100mm.MITSUBISHI DELICA R-12 (LHD)</t>
  </si>
  <si>
    <t>9005-2097-00</t>
  </si>
  <si>
    <t>CO-739</t>
  </si>
  <si>
    <t>COIL 100mm. FORD LASER 83-84 /KIA (LHD)</t>
  </si>
  <si>
    <t>9006-0717-00</t>
  </si>
  <si>
    <t>CO-740</t>
  </si>
  <si>
    <t>COIL 85mm.HONDA ACCORD 90 R-12 (LHD)</t>
  </si>
  <si>
    <t>9008-2016-00</t>
  </si>
  <si>
    <t>CO-741</t>
  </si>
  <si>
    <t>แก้ไขเป็น LM-248</t>
  </si>
  <si>
    <t>9006-0718-00</t>
  </si>
  <si>
    <t>CO-742</t>
  </si>
  <si>
    <t>COIL 85mm. HONDA ACCORD 90/13P"U"[LHD.]</t>
  </si>
  <si>
    <t>9005-2099-00</t>
  </si>
  <si>
    <t>CO-743</t>
  </si>
  <si>
    <t>COIL 100mm.NISSAN F23/SD [LHD.]</t>
  </si>
  <si>
    <t>9005-2100-00</t>
  </si>
  <si>
    <t>CO-744</t>
  </si>
  <si>
    <t>COIL 100mm. NISSANCEFIRO 2.0 [LHD.]</t>
  </si>
  <si>
    <t>9006-0719-00</t>
  </si>
  <si>
    <t>CO-745</t>
  </si>
  <si>
    <t>COIL 85mm. HONDA CV3134a [LHD.]</t>
  </si>
  <si>
    <t>9006-0720-00</t>
  </si>
  <si>
    <t>CO-746</t>
  </si>
  <si>
    <t>แก้ไขเป็น LM-323 COIL 85mm.TOYOTA COROLLA92 (RHD) 134a (FIN 13mm.)</t>
  </si>
  <si>
    <t>9006-0249-00</t>
  </si>
  <si>
    <t>CO-746/H</t>
  </si>
  <si>
    <t>COIL 85mm.TOYOTA COROLLA 92"  FIN 13mm.</t>
  </si>
  <si>
    <t>9006-0721-00</t>
  </si>
  <si>
    <t>CO-747</t>
  </si>
  <si>
    <t>แก้ไขเป็น LM-338 COIL 85mm.TOYOTA COROLLA 92 (134A) LHD(FIN13mm)</t>
  </si>
  <si>
    <t>9006-0722-00</t>
  </si>
  <si>
    <t>CO-748</t>
  </si>
  <si>
    <t>แก้ไขเป็น LM-339 COIL 85mm.TOYOTA COROLLA"92 R-12 (LHD.) (FIN 13mm.)</t>
  </si>
  <si>
    <t>9005-2101-00</t>
  </si>
  <si>
    <t>CO-749</t>
  </si>
  <si>
    <t>COIL 100mm.MITSUBISHIPAJERO [RHD.] 134a(FIN 13 mm.)</t>
  </si>
  <si>
    <t>9005-2102-00</t>
  </si>
  <si>
    <t>CO-750</t>
  </si>
  <si>
    <t>COIL 100mm.MITSUBISHI PAJERO LHD (134a) FIN 13 mm.</t>
  </si>
  <si>
    <t>9006-0723-00</t>
  </si>
  <si>
    <t>CO-751</t>
  </si>
  <si>
    <t>แก้ไขเป็น LM-158</t>
  </si>
  <si>
    <t>9005-2103-00</t>
  </si>
  <si>
    <t>CO-753</t>
  </si>
  <si>
    <t>COIL 100mm.OPEL VECTRA [LHD.]</t>
  </si>
  <si>
    <t>9005-2104-00</t>
  </si>
  <si>
    <t>CO-754</t>
  </si>
  <si>
    <t>COIL 100mm. MITSUBISHI SIMGA YR93[RHD.]134a</t>
  </si>
  <si>
    <t>9005-2105-00</t>
  </si>
  <si>
    <t>CO-755</t>
  </si>
  <si>
    <t>COIL 100mm. HONDAINTEGRA YR92[RHD.]R-12</t>
  </si>
  <si>
    <t>9008-2017-00</t>
  </si>
  <si>
    <t>CO-756</t>
  </si>
  <si>
    <t>COIL 70mm CHRYSLER SPIRIT[LHD.]</t>
  </si>
  <si>
    <t>9005-2107-00</t>
  </si>
  <si>
    <t>CO-757</t>
  </si>
  <si>
    <t>COIL 100mm SUBARUVIVO 134A (RHD&amp;LHD)</t>
  </si>
  <si>
    <t>9005-2106-00</t>
  </si>
  <si>
    <t>CO-758</t>
  </si>
  <si>
    <t>COIL100mm TOYOTA ESTIMA R-12 (LHD)</t>
  </si>
  <si>
    <t>9006-0258-00</t>
  </si>
  <si>
    <t>CO-761</t>
  </si>
  <si>
    <t>9006-0724-00</t>
  </si>
  <si>
    <t>CO-763</t>
  </si>
  <si>
    <t>COIL 85mm.ROVER 623[134A] RHD. (FIN13mm.)</t>
  </si>
  <si>
    <t>9006-0726-00</t>
  </si>
  <si>
    <t>CO-764</t>
  </si>
  <si>
    <t>COIL 85mm. TOYOTA MR-2 RHD R.12 (FIN 13mm.)</t>
  </si>
  <si>
    <t>9006-0725-00</t>
  </si>
  <si>
    <t>CO-765</t>
  </si>
  <si>
    <t>COIL 85mm.TOYOTA PASEO RHD R.12</t>
  </si>
  <si>
    <t>9008-2018-00</t>
  </si>
  <si>
    <t>CO-771</t>
  </si>
  <si>
    <t xml:space="preserve"> แก้ไขเป็น LM-093</t>
  </si>
  <si>
    <t>9006-0741-00</t>
  </si>
  <si>
    <t>CO-773</t>
  </si>
  <si>
    <t>COIL 85mm. HONDA ODYSSEY 134a  (RHD)</t>
  </si>
  <si>
    <t>9006-0745-00</t>
  </si>
  <si>
    <t>CO-776</t>
  </si>
  <si>
    <t>COIL  85 MM MIT. CANTER 96 (RHD) 134a</t>
  </si>
  <si>
    <t>9006-0735-00</t>
  </si>
  <si>
    <t>CO-777</t>
  </si>
  <si>
    <t>COIL 85mm.  HONDA SR-3(92-93)  (RHD)</t>
  </si>
  <si>
    <t>9005-2117-00</t>
  </si>
  <si>
    <t>CO-779</t>
  </si>
  <si>
    <t>COIL 100mm. LEXUSLS-400 R.12 (RHD) 89-92Y</t>
  </si>
  <si>
    <t>9005-2118-00</t>
  </si>
  <si>
    <t>CO-780</t>
  </si>
  <si>
    <t>COIL 100mm. LEXUSLS-400 R.12 (LHD) 89-92Y</t>
  </si>
  <si>
    <t>9008-2019-00</t>
  </si>
  <si>
    <t>CO-781</t>
  </si>
  <si>
    <t>แก้ไขเป็น LM-091</t>
  </si>
  <si>
    <t>9005-2128-00</t>
  </si>
  <si>
    <t>CO-782</t>
  </si>
  <si>
    <t>COIL 100mm.HONDA CITY 134a (RHD) (FIN 20 mm.)</t>
  </si>
  <si>
    <t>9006-0502-00</t>
  </si>
  <si>
    <t>CO-157</t>
  </si>
  <si>
    <t>COIL 85mm. SUZUKI GT (RHD)</t>
  </si>
  <si>
    <t>9006-0727-00</t>
  </si>
  <si>
    <t>CO-786</t>
  </si>
  <si>
    <t>9005-2112-00</t>
  </si>
  <si>
    <t>CO-787</t>
  </si>
  <si>
    <t>COIL 100mm.MAZDA MPV.(RHD) 134a (FIN 22mm.)</t>
  </si>
  <si>
    <t>9006-0744-00</t>
  </si>
  <si>
    <t>CO-789</t>
  </si>
  <si>
    <t>COIL 85mm..MITSUBISHI   EXCEED  RHD</t>
  </si>
  <si>
    <t>9008-2025-00</t>
  </si>
  <si>
    <t>CO-790</t>
  </si>
  <si>
    <t>9008-2024-00</t>
  </si>
  <si>
    <t>CO-791</t>
  </si>
  <si>
    <t>แก้ไขเป็น LM-054</t>
  </si>
  <si>
    <t>9006-0747-00</t>
  </si>
  <si>
    <t>CO-792</t>
  </si>
  <si>
    <t>COIL85mm.  MIT.EXCEED L400(R.H.D)</t>
  </si>
  <si>
    <t>9006-0749-00</t>
  </si>
  <si>
    <t>CO-793</t>
  </si>
  <si>
    <t>COIL  85mm.MAZDA 323 (SEDAN)95-98 (RHD)</t>
  </si>
  <si>
    <t>9005-2129-00</t>
  </si>
  <si>
    <t>CO-794</t>
  </si>
  <si>
    <t>COIL 100 MM HONDA PRELUDE (RHD) R-12</t>
  </si>
  <si>
    <t>9008-2026-00</t>
  </si>
  <si>
    <t>CO-795</t>
  </si>
  <si>
    <t xml:space="preserve"> แก้ไขเป็น LM-069</t>
  </si>
  <si>
    <t>9008-0338-00</t>
  </si>
  <si>
    <t>CO-795/H</t>
  </si>
  <si>
    <t>แก้ไขเป็น LM-069</t>
  </si>
  <si>
    <t>9006-0750-00</t>
  </si>
  <si>
    <t>CO-796</t>
  </si>
  <si>
    <t>COIL 85 MM COOLER FOR VANETTE (RHD&amp;LHD)</t>
  </si>
  <si>
    <t>9006-0748-00</t>
  </si>
  <si>
    <t>CO-797</t>
  </si>
  <si>
    <t xml:space="preserve"> แก้ไขเป็น LM-077 </t>
  </si>
  <si>
    <t>9005-2130-00</t>
  </si>
  <si>
    <t>CO-798</t>
  </si>
  <si>
    <t>COIL 100mm.BENZ M-100 (VAN) ตู้หลัง (RHD&amp;LHD)</t>
  </si>
  <si>
    <t>9006-0728-00</t>
  </si>
  <si>
    <t>CO-802</t>
  </si>
  <si>
    <t>แก้ไขเป็น LM-029</t>
  </si>
  <si>
    <t>9006-0729-00</t>
  </si>
  <si>
    <t>CO-803</t>
  </si>
  <si>
    <t>COIL  85MM  NISSAN CEDRICY 32 (134A) RHD.</t>
  </si>
  <si>
    <t>9006-0730-00</t>
  </si>
  <si>
    <t>CO-804</t>
  </si>
  <si>
    <t>COIL 85mm  SANTENA'(L.HD.)</t>
  </si>
  <si>
    <t>9005-2127-00</t>
  </si>
  <si>
    <t>CO-807</t>
  </si>
  <si>
    <t>COIL 100mm. BENZ  M-100 LHD.</t>
  </si>
  <si>
    <t>9006-0731-00</t>
  </si>
  <si>
    <t>CO-808</t>
  </si>
  <si>
    <t>COIL 85mm.ROVER 820 (RHD)134a W/PIPE</t>
  </si>
  <si>
    <t>แก้ไขเป็น LM-207 COIL 85mm.ROVER 820 (RHD)134a W/PIPE</t>
  </si>
  <si>
    <t>9006-0732-00</t>
  </si>
  <si>
    <t>CO-809</t>
  </si>
  <si>
    <t>COIL 85mm.TOYOTA CELICA 97 RHD (134a)</t>
  </si>
  <si>
    <t>9008-2023-00</t>
  </si>
  <si>
    <t>CO-810</t>
  </si>
  <si>
    <t>แก้ไขเป็น LM-297</t>
  </si>
  <si>
    <t>9006-0733-00</t>
  </si>
  <si>
    <t>CO-811</t>
  </si>
  <si>
    <t>COIL 85 MM  LEXUS LS-400 RHD (134a)</t>
  </si>
  <si>
    <t>9006-0734-00</t>
  </si>
  <si>
    <t>CO-812</t>
  </si>
  <si>
    <t>COIL 85 MM  LEXUS LS-400 LHD (R.134a)</t>
  </si>
  <si>
    <t>9005-1102-00</t>
  </si>
  <si>
    <t>CO-813</t>
  </si>
  <si>
    <t>COIL100mm. VOLVO 940 (RHD)134a</t>
  </si>
  <si>
    <t>9006-0213-00</t>
  </si>
  <si>
    <t>CO-282</t>
  </si>
  <si>
    <t>COIL 85mm.SUZUKIFORSA 047600-4070 (RHD)</t>
  </si>
  <si>
    <t>9006-0214-00</t>
  </si>
  <si>
    <t>CO-283</t>
  </si>
  <si>
    <t>COIL 85mm.SUZUKIJIMMY 407600-4421 (RHD)</t>
  </si>
  <si>
    <t>9006-0738-00</t>
  </si>
  <si>
    <t>CO-819</t>
  </si>
  <si>
    <t>COIL 85mm. DAIHATSU(FIN 22mm.) RHD&amp;LHD</t>
  </si>
  <si>
    <t>9006-0739-00</t>
  </si>
  <si>
    <t>CO-821</t>
  </si>
  <si>
    <t>COIL  85mm MITSUBISHI LANCER89 (LHD)FLARE</t>
  </si>
  <si>
    <t>9005-2120-00</t>
  </si>
  <si>
    <t>CO-822</t>
  </si>
  <si>
    <t>COIL 100mm.TOYOTA LANDNCRUISER (134a) RHD</t>
  </si>
  <si>
    <t>9005-2121-00</t>
  </si>
  <si>
    <t>CO-823</t>
  </si>
  <si>
    <t>COIL 100mm.TOYOTA LANDNCRUISER (134a)RHD (REAR)</t>
  </si>
  <si>
    <t>9006-0740-00</t>
  </si>
  <si>
    <t>CO-825</t>
  </si>
  <si>
    <t>COIL 85mm. DAEWOO ESPERO (RHD)</t>
  </si>
  <si>
    <t>9005-2131-00</t>
  </si>
  <si>
    <t>CO-828</t>
  </si>
  <si>
    <t>COIL 100mm.TOYOTA CRESSIDA 92 (LHD) R-12</t>
  </si>
  <si>
    <t>9006-0122-00</t>
  </si>
  <si>
    <t>CO-829</t>
  </si>
  <si>
    <t>COIL 85mm HYUNDAI  ELANTRA '94 (134a) RHD</t>
  </si>
  <si>
    <t>9006-0430-00</t>
  </si>
  <si>
    <t>CO-352</t>
  </si>
  <si>
    <t>COIL 85mm.SUZUKI VITARA (RHD)</t>
  </si>
  <si>
    <t>9006-0121-00</t>
  </si>
  <si>
    <t>CO-831</t>
  </si>
  <si>
    <t>แก้ไขเป็น LM-264</t>
  </si>
  <si>
    <t>9005-0222-00</t>
  </si>
  <si>
    <t>CO-832</t>
  </si>
  <si>
    <t>COIL100mm. MITSUBISHI SPACE WAGON LHD R-12</t>
  </si>
  <si>
    <t>9005-0223-00</t>
  </si>
  <si>
    <t>CO-833</t>
  </si>
  <si>
    <t>COIL 100MM. MITSUBISHI  SPACE WAGON LHD R-134a</t>
  </si>
  <si>
    <t>9005-0528-00</t>
  </si>
  <si>
    <t>CO-835</t>
  </si>
  <si>
    <t>COIL 100mm NISSAN CEFERO2.0/5.2 (LHD)</t>
  </si>
  <si>
    <t>9005-0529-00</t>
  </si>
  <si>
    <t>CO-836</t>
  </si>
  <si>
    <t>COIL 100mm. TOYOTA 4.4T-6.8T(134a)  LHD.</t>
  </si>
  <si>
    <t>9006-0124-00</t>
  </si>
  <si>
    <t>CO-837</t>
  </si>
  <si>
    <t>9006-0126-00</t>
  </si>
  <si>
    <t>CO-839</t>
  </si>
  <si>
    <t>COIL 85mm. MITSUBISHI</t>
  </si>
  <si>
    <t>9005-2132-00</t>
  </si>
  <si>
    <t>CO-844</t>
  </si>
  <si>
    <t>COIL 100mm. MAZDA 3.0 1993 (RHD) R-12 (FONT) FIN 22mm.</t>
  </si>
  <si>
    <t>9005-2133-00</t>
  </si>
  <si>
    <t>CO-845</t>
  </si>
  <si>
    <t>COIL 100mm. MAZDA MPV3.0(RHD) R-12 (REAR) FIN 22 mm.</t>
  </si>
  <si>
    <t>9005-0533-00</t>
  </si>
  <si>
    <t>CO-846</t>
  </si>
  <si>
    <t>แก้ไขเป็น LM-335</t>
  </si>
  <si>
    <t>9005-0166-00</t>
  </si>
  <si>
    <t>CO-846/H</t>
  </si>
  <si>
    <t>แก้ไขเป็น LM-235</t>
  </si>
  <si>
    <t>9008-2027-00</t>
  </si>
  <si>
    <t>CO-847</t>
  </si>
  <si>
    <t>COIL 70mm. NISSAN CEFIRO 94 A23 (LHD) FIN 13mm.</t>
  </si>
  <si>
    <t>9006-0128-00</t>
  </si>
  <si>
    <t>CO-848</t>
  </si>
  <si>
    <t>COIL 85mm.HONDA ACCORD 90 (LHD)R.12</t>
  </si>
  <si>
    <t>9005-0534-00</t>
  </si>
  <si>
    <t>CO-849</t>
  </si>
  <si>
    <t>COIL 100 MM TOYOTA LANDCRUISER 134A (LHD)</t>
  </si>
  <si>
    <t>9006-0129-00</t>
  </si>
  <si>
    <t>CO-850</t>
  </si>
  <si>
    <t>แก้ไขเป็น LM-263</t>
  </si>
  <si>
    <t>9006-0659-00</t>
  </si>
  <si>
    <t>CO-605</t>
  </si>
  <si>
    <t>COIL 85mm. SUZUKI JEEP VITARA 94 YR (134a) (FIN13mm.)</t>
  </si>
  <si>
    <t>9008-2028-00</t>
  </si>
  <si>
    <t>CO-852</t>
  </si>
  <si>
    <t>COIL 70mm.  HONDA VIOR 94" (134a) RHD</t>
  </si>
  <si>
    <t>9006-0753-00</t>
  </si>
  <si>
    <t>CO-853</t>
  </si>
  <si>
    <t>COIL 85 MM MAZDA DEMIO 96" (134a) RHD</t>
  </si>
  <si>
    <t>9005-2134-00</t>
  </si>
  <si>
    <t>CO-854</t>
  </si>
  <si>
    <t>COIL  100 MM RENAULT  R-19 (LHD)134a</t>
  </si>
  <si>
    <t>9006-0752-00</t>
  </si>
  <si>
    <t>CO-856</t>
  </si>
  <si>
    <t>COIL  85mm. MITSUBISHI L200 (RHD)</t>
  </si>
  <si>
    <t>9006-0756-00</t>
  </si>
  <si>
    <t>CO-858</t>
  </si>
  <si>
    <t>แก้ไขเป็น LM-112</t>
  </si>
  <si>
    <t>9005-1005-00</t>
  </si>
  <si>
    <t>CO-859</t>
  </si>
  <si>
    <t>COIL 100mm A7E (LHD) O-RING ZS-0390E</t>
  </si>
  <si>
    <t>9005-1006-00</t>
  </si>
  <si>
    <t>CO-860</t>
  </si>
  <si>
    <t>COIL 100mm. A7E (LHD) FLARE  ZS-0390E</t>
  </si>
  <si>
    <t>9005-1007-00</t>
  </si>
  <si>
    <t>CO-861</t>
  </si>
  <si>
    <t>COIL 100mm (RHD) O-RING ZS-0210E</t>
  </si>
  <si>
    <t>9005-1008-00</t>
  </si>
  <si>
    <t>CO-862</t>
  </si>
  <si>
    <t>COIL 100mm A7E (RHD) FLARE  ZS-0210E</t>
  </si>
  <si>
    <t>9005-1009-00</t>
  </si>
  <si>
    <t>CO-863</t>
  </si>
  <si>
    <t>9005-1010-00</t>
  </si>
  <si>
    <t>CO-864</t>
  </si>
  <si>
    <t xml:space="preserve">แก้ไขเป็น LM-159 </t>
  </si>
  <si>
    <t>CO-865</t>
  </si>
  <si>
    <t>9005-1012-00</t>
  </si>
  <si>
    <t>CO-866</t>
  </si>
  <si>
    <t>แก้ไขเป็น LM-168</t>
  </si>
  <si>
    <t>9005-1013-00</t>
  </si>
  <si>
    <t>CO-867</t>
  </si>
  <si>
    <t>แก้ไขเป็น LM-140</t>
  </si>
  <si>
    <t>9005-1004-00</t>
  </si>
  <si>
    <t>CO-868</t>
  </si>
  <si>
    <t xml:space="preserve">แก้ไขเป็น LM-171 </t>
  </si>
  <si>
    <t>9006-0754-00</t>
  </si>
  <si>
    <t>CO-871</t>
  </si>
  <si>
    <t>COIL 85mm.HONDA CIVIC (LHD) 134a (FIN 16 mm.)</t>
  </si>
  <si>
    <t>9006-0755-00</t>
  </si>
  <si>
    <t>CO-872</t>
  </si>
  <si>
    <t>COIL 85 MM  TOYOTA CROW 96" 134a (RHD)</t>
  </si>
  <si>
    <t>9005-2135-00</t>
  </si>
  <si>
    <t>CO-873</t>
  </si>
  <si>
    <t>COIL 100mm.TOYOTA CRESSI DA 92 134a (LHD)</t>
  </si>
  <si>
    <t>9006-0757-00</t>
  </si>
  <si>
    <t>CO-874</t>
  </si>
  <si>
    <t>แก้ไขเป็น LM-262</t>
  </si>
  <si>
    <t>9006-0243-00</t>
  </si>
  <si>
    <t>CO-874/H</t>
  </si>
  <si>
    <t>9006-0758-00</t>
  </si>
  <si>
    <t>CO-875</t>
  </si>
  <si>
    <t>COIL 85mm.AUDI 100/AUDI A6 (RHD) R-12 94</t>
  </si>
  <si>
    <t>9005-1514-00</t>
  </si>
  <si>
    <t>CO-878</t>
  </si>
  <si>
    <t>COIL 100mm.HYUNDAI H.100 (LHD)</t>
  </si>
  <si>
    <t>9006-0760-00</t>
  </si>
  <si>
    <t>CO-879</t>
  </si>
  <si>
    <t>COIL 85mm.HYUNDAI EXCEL 92 (SPINGLOOCK)LHD</t>
  </si>
  <si>
    <t>9006-0762-00</t>
  </si>
  <si>
    <t>CO-880</t>
  </si>
  <si>
    <t>COIL 85mm.HYUNDAI EXCEL 93 LHD</t>
  </si>
  <si>
    <t>9006-0761-00</t>
  </si>
  <si>
    <t>CO-881</t>
  </si>
  <si>
    <t>COIL 85mm. HYUNDAI SONATA 93 (SPINGLOOCK) LHD FIN13mm.</t>
  </si>
  <si>
    <t>9008-2030-00</t>
  </si>
  <si>
    <t>CO-884</t>
  </si>
  <si>
    <t>COIL 70mm. AUDI 80 (LHD) 134a</t>
  </si>
  <si>
    <t>9008-2059-00</t>
  </si>
  <si>
    <t>CO-884/H</t>
  </si>
  <si>
    <t>COIL70mm.มีร่อง AUDI 80 (LHD.) 134a</t>
  </si>
  <si>
    <t>9006-0759-00</t>
  </si>
  <si>
    <t>CO-885</t>
  </si>
  <si>
    <t>COIL 85mm.FIATPUNTO (LHD) 134a</t>
  </si>
  <si>
    <t>9006-0763-00</t>
  </si>
  <si>
    <t>CO-886</t>
  </si>
  <si>
    <t>COIL 85 MM  MAZDA 121 (RHD) R-12</t>
  </si>
  <si>
    <t>9006-0765-00</t>
  </si>
  <si>
    <t>CO-888</t>
  </si>
  <si>
    <t>COIL 85 MM  ISUZU PANTHER</t>
  </si>
  <si>
    <t>9008-2032-00</t>
  </si>
  <si>
    <t>CO-889</t>
  </si>
  <si>
    <t>แก้ไขเป็น LM-084 COIL 70mm. HONDA K-800 (134a) LHD. FIN 13 mm.</t>
  </si>
  <si>
    <t>9008-2031-00</t>
  </si>
  <si>
    <t>CO-890</t>
  </si>
  <si>
    <t>แก้ไขเป็น LM-020</t>
  </si>
  <si>
    <t>9006-0764-00</t>
  </si>
  <si>
    <t>CO-891</t>
  </si>
  <si>
    <t>COIL 85 MM  MITSUBISHI LANCER '90 RHD</t>
  </si>
  <si>
    <t>9006-0767-00</t>
  </si>
  <si>
    <t>CO-892</t>
  </si>
  <si>
    <t>COIL 85 MM TOYOTA TORNACE</t>
  </si>
  <si>
    <t>9006-0766-00</t>
  </si>
  <si>
    <t>CO-893</t>
  </si>
  <si>
    <t>COIL 85 MM  NISSAN SENTRA</t>
  </si>
  <si>
    <t>9005-2136-00</t>
  </si>
  <si>
    <t>CO-894</t>
  </si>
  <si>
    <t>COIL100 MM SUZUKI 1000 (RHD)</t>
  </si>
  <si>
    <t>9008-2008-00</t>
  </si>
  <si>
    <t>CO-611</t>
  </si>
  <si>
    <t>COIL 70mm. SUZUKI AMENDER W/VALVE,PIPE[134A] RHD</t>
  </si>
  <si>
    <t>9006-0769-00</t>
  </si>
  <si>
    <t>CO-897</t>
  </si>
  <si>
    <t>COIL 85mm. DAEWOO ESPERO (RHD)134a</t>
  </si>
  <si>
    <t>9005-2141-00</t>
  </si>
  <si>
    <t>CO-906</t>
  </si>
  <si>
    <t>COIL 100 mm. HONDA CITY 134a</t>
  </si>
  <si>
    <t>9006-0770-00</t>
  </si>
  <si>
    <t>CO-907</t>
  </si>
  <si>
    <t>9005-2143-00</t>
  </si>
  <si>
    <t>CO-910</t>
  </si>
  <si>
    <t>COIL 100mm.KOMATSU R-12 (EKO 12) RHD.&amp;LHD. FIN20</t>
  </si>
  <si>
    <t>9005-2137-00</t>
  </si>
  <si>
    <t>CO-911</t>
  </si>
  <si>
    <t>COIL 100mm. A-7E(RHD) FLARE(SANDEN)</t>
  </si>
  <si>
    <t>9005-2138-00</t>
  </si>
  <si>
    <t>CO-912</t>
  </si>
  <si>
    <t xml:space="preserve"> แก้ไขเป็น LM-179 COIL100mm. ZS-0230E RHD.</t>
  </si>
  <si>
    <t>9005-2139-00</t>
  </si>
  <si>
    <t>CO-913</t>
  </si>
  <si>
    <t>COIL 100 mm. ZS-0210E LHD.FLARE FIN 13mm.</t>
  </si>
  <si>
    <t>9005-2140-00</t>
  </si>
  <si>
    <t>CO-914</t>
  </si>
  <si>
    <t>COIL 100 mm. ZS-0230E LHD.</t>
  </si>
  <si>
    <t>9006-0778-00</t>
  </si>
  <si>
    <t>CO-915</t>
  </si>
  <si>
    <t>แก้ไขเป็น LM-210</t>
  </si>
  <si>
    <t>9006-0773-00</t>
  </si>
  <si>
    <t>CO-917</t>
  </si>
  <si>
    <t>COIL 85mm.HINO 10.4T 134a LHD. (FIN13mm.)</t>
  </si>
  <si>
    <t>9006-0221-00</t>
  </si>
  <si>
    <t>CO-920</t>
  </si>
  <si>
    <t xml:space="preserve"> แก้ไขเป็น LM-330 COIL 85mm. TOYOTA CORONAST-190 RHD. 134a</t>
  </si>
  <si>
    <t>9006-0222-00</t>
  </si>
  <si>
    <t>CO-921</t>
  </si>
  <si>
    <t>แก้ไขเป็น LM COIL 85mm.TOYOTA COROLLAAE-101 RHD. 134a</t>
  </si>
  <si>
    <t>9006-0775-00</t>
  </si>
  <si>
    <t>CO-922</t>
  </si>
  <si>
    <t>COIL 85 MM. HYUNDAI ELANTRA94" (134A)</t>
  </si>
  <si>
    <t>9005-2145-00</t>
  </si>
  <si>
    <t>CO-924</t>
  </si>
  <si>
    <t>COIL 100mm.FORD LESER 85-86 134A RHD. (FIN 22mm.)</t>
  </si>
  <si>
    <t>9005-0256-00</t>
  </si>
  <si>
    <t>CO-928</t>
  </si>
  <si>
    <t>COIL 100mmGAZ COIL 100mm FIN 13</t>
  </si>
  <si>
    <t>9006-0663-00</t>
  </si>
  <si>
    <t>CO-616</t>
  </si>
  <si>
    <t>COIL 85mm.SUZUKI ESCUDO134a (RHD)</t>
  </si>
  <si>
    <t>9006-0776-00</t>
  </si>
  <si>
    <t>CO-936</t>
  </si>
  <si>
    <t>COIL 90mm.VW T4 SD 134a 12W LHD. (FIN 16mm.)</t>
  </si>
  <si>
    <t>9008-2033-00</t>
  </si>
  <si>
    <t>CO-937</t>
  </si>
  <si>
    <t>COIL 70mm. NISSAN SENTRA93-94 (RHD)</t>
  </si>
  <si>
    <t>9095-0103-00</t>
  </si>
  <si>
    <t>CO-951</t>
  </si>
  <si>
    <t>COIL 95mm.PATCO/SAGA [RHD]</t>
  </si>
  <si>
    <t>9095-0102-00</t>
  </si>
  <si>
    <t>CO-952</t>
  </si>
  <si>
    <t>COIL 95mm  PATCO/WIRA (70922-65110) (RHD)</t>
  </si>
  <si>
    <t>9095-0101-00</t>
  </si>
  <si>
    <t>CO-953</t>
  </si>
  <si>
    <t>COIL 95mm. PATCO/PERDANA (RHD)</t>
  </si>
  <si>
    <t>9090-0102-00</t>
  </si>
  <si>
    <t>CO-954</t>
  </si>
  <si>
    <t>COIL 90mm. PROTON/WIVA O-SD 134a RHD.  FIN 16 mm.</t>
  </si>
  <si>
    <t>9090-0101-00</t>
  </si>
  <si>
    <t>CO-955</t>
  </si>
  <si>
    <t>COIL 90 MM.  NISSAN SUNNYRHD.</t>
  </si>
  <si>
    <t>9006-0782-00</t>
  </si>
  <si>
    <t>CO-956</t>
  </si>
  <si>
    <t>COIL 85mm. DENSO/KANCIL (RHD.)</t>
  </si>
  <si>
    <t>9006-0781-00</t>
  </si>
  <si>
    <t>CO-960</t>
  </si>
  <si>
    <t>COIL 85mm.  JEEP CHEROKEE N/D134a RHD.</t>
  </si>
  <si>
    <t>9008-2035-00</t>
  </si>
  <si>
    <t>CO-961</t>
  </si>
  <si>
    <t>แก้ไขเป็น LM-057   COIL  70mmFORD RANGER134a PICK UP 2500DI RHD</t>
  </si>
  <si>
    <t>9005-2147-00</t>
  </si>
  <si>
    <t>CO-962</t>
  </si>
  <si>
    <t>COIL 100mm.  NISSAN TERRANO (RHD)</t>
  </si>
  <si>
    <t>9006-0783-00</t>
  </si>
  <si>
    <t>CO-963</t>
  </si>
  <si>
    <t>COIL 85mm.DAIHATSU CUORE 134a 850CC. RHD&amp;LHD</t>
  </si>
  <si>
    <t>9006-0225-00</t>
  </si>
  <si>
    <t>CO-964</t>
  </si>
  <si>
    <t>COIL 85mm.TOYOTA LITE ACE (LHD) R134a</t>
  </si>
  <si>
    <t>9006-0784-00</t>
  </si>
  <si>
    <t>CO-965</t>
  </si>
  <si>
    <t>COIL 85mm. KIA SPORTAGE (RHD) 134a</t>
  </si>
  <si>
    <t>9006-0224-00</t>
  </si>
  <si>
    <t>CO-966</t>
  </si>
  <si>
    <t>COIL 85mm. TOYOTA HILUX SPORT RIDER 3.0D RHD 134a</t>
  </si>
  <si>
    <t>9006-0223-00</t>
  </si>
  <si>
    <t>CO-967</t>
  </si>
  <si>
    <t>9006-0785-00</t>
  </si>
  <si>
    <t>CO-969</t>
  </si>
  <si>
    <t>COIL 85mm.AR MUNNA(RHD) R-12</t>
  </si>
  <si>
    <t>9006-0786-00</t>
  </si>
  <si>
    <t>CO-970</t>
  </si>
  <si>
    <t>แก้ไขเป็น LM-257</t>
  </si>
  <si>
    <t>9008-2037-00</t>
  </si>
  <si>
    <t>CO-971</t>
  </si>
  <si>
    <t>แก้ไขเป็น LM-082</t>
  </si>
  <si>
    <t>9006-0787-00</t>
  </si>
  <si>
    <t>CO-975</t>
  </si>
  <si>
    <t>แก้ไขเป็น LM-157</t>
  </si>
  <si>
    <t>9005-0307-00</t>
  </si>
  <si>
    <t>CO-977</t>
  </si>
  <si>
    <t>COIL 100mm.CHRYSLER NEON N/D (RHD)</t>
  </si>
  <si>
    <t>9006-0675-00</t>
  </si>
  <si>
    <t>CO-635</t>
  </si>
  <si>
    <t>COIL 85mm.SUZUKICULTUS 1.3 (FIN 13mm.)</t>
  </si>
  <si>
    <t>9006-0789-00</t>
  </si>
  <si>
    <t>CO-984</t>
  </si>
  <si>
    <t>COIL 85mm.NISSAN Y32 (RHD)</t>
  </si>
  <si>
    <t>9006-0226-00</t>
  </si>
  <si>
    <t>CO-985</t>
  </si>
  <si>
    <t>COIL 85mm TOYOTA LITEACE (LHD) R-12 FIN 22mm.</t>
  </si>
  <si>
    <t>9006-0790-00</t>
  </si>
  <si>
    <t>CO-986</t>
  </si>
  <si>
    <t>COIL 85mm.CHEVY VANR134a</t>
  </si>
  <si>
    <t>9006-0791-00</t>
  </si>
  <si>
    <t>CO-987</t>
  </si>
  <si>
    <t>COIL 85 mm  NISSAN BLUE BIRD U12 (LHD)</t>
  </si>
  <si>
    <t>9008-2038-00</t>
  </si>
  <si>
    <t>CO-988</t>
  </si>
  <si>
    <t xml:space="preserve">COIL 70mm.OPEL VETRA (RHD) </t>
  </si>
  <si>
    <t>9006-0433-00</t>
  </si>
  <si>
    <t>CO-990</t>
  </si>
  <si>
    <t>COIL 85mm  SCANIA 114(LHD) ESC114 (FIN 20mm.)</t>
  </si>
  <si>
    <t>9008-2039-00</t>
  </si>
  <si>
    <t>CO-993</t>
  </si>
  <si>
    <t>แก้ไขเป็น LM-070</t>
  </si>
  <si>
    <t>9008-2040-00</t>
  </si>
  <si>
    <t>CO-997</t>
  </si>
  <si>
    <t>แก้ไขเป็น LM-056 COIL  70mm. ISUZU MODEL 140 (98.5) RHD</t>
  </si>
  <si>
    <t>9006-0793-00</t>
  </si>
  <si>
    <t>CO-1000</t>
  </si>
  <si>
    <t>COIL  85 mm  AUDI A6 LHD (R134a)</t>
  </si>
  <si>
    <t>9005-0535-00</t>
  </si>
  <si>
    <t>CO-1002</t>
  </si>
  <si>
    <t>COIL 100mm. NISSAN EAGLE LHD. (FIN16mm.)</t>
  </si>
  <si>
    <t>9005-0152-00</t>
  </si>
  <si>
    <t>CO-1002/H</t>
  </si>
  <si>
    <t>COIL100mm NISSAN PICK-UP D-21 LHD. FIN 16mm.</t>
  </si>
  <si>
    <t>9005-0538-00</t>
  </si>
  <si>
    <t>CO-1006</t>
  </si>
  <si>
    <t>COIL 100mm. NISSAN341 97' LHD (ENI341/97)</t>
  </si>
  <si>
    <t>9005-0537-00</t>
  </si>
  <si>
    <t>CO-1007</t>
  </si>
  <si>
    <t>COIL 100mm. VOLVO 940 R-12 RHD N/D 1030</t>
  </si>
  <si>
    <t>9005-0536-00</t>
  </si>
  <si>
    <t>CO-1008</t>
  </si>
  <si>
    <t>COIL 100mm. NISSAN CEFIRO 98'134a RHD (NEW 2.0)</t>
  </si>
  <si>
    <t>9006-0437-00</t>
  </si>
  <si>
    <t>CO-1012</t>
  </si>
  <si>
    <t>COIL 85mm ISUZU ELFRHD. 134a (447600-0270)</t>
  </si>
  <si>
    <t>9006-0438-00</t>
  </si>
  <si>
    <t>CO-1013</t>
  </si>
  <si>
    <t>แก้ไขเป็น LM-449 COIL 85mm MITSUBISHI  CANTER RHD.(CDC.311A017)</t>
  </si>
  <si>
    <t>9008-2042-00</t>
  </si>
  <si>
    <t>CO-1014</t>
  </si>
  <si>
    <t>แก้ไขเป็น LM-128</t>
  </si>
  <si>
    <t>9008-2043-00</t>
  </si>
  <si>
    <t>CO-1015</t>
  </si>
  <si>
    <t>แก้ไขเป็น LM-127</t>
  </si>
  <si>
    <t>9006-0245-00</t>
  </si>
  <si>
    <t>CO-1016</t>
  </si>
  <si>
    <t>COIL 85mm.SAGA ISWARA RHD. 134a  FIN20mm</t>
  </si>
  <si>
    <t>9006-0246-00</t>
  </si>
  <si>
    <t>CO-1017</t>
  </si>
  <si>
    <t>COIL 85mm.SAGA ISWARA RHD. R-12  FIN20mm</t>
  </si>
  <si>
    <t>9006-0247-00</t>
  </si>
  <si>
    <t>CO-1018</t>
  </si>
  <si>
    <t>COIL 85mm. SAGA (SANDEN) RHD. 134a FIN22mm.</t>
  </si>
  <si>
    <t>9008-2044-00</t>
  </si>
  <si>
    <t>CO-1020</t>
  </si>
  <si>
    <t>COIL 70 mm  AUDI A4 LHD. FIN13mm.</t>
  </si>
  <si>
    <t>9006-0439-00</t>
  </si>
  <si>
    <t>CO-1021</t>
  </si>
  <si>
    <t>COIL  85mm TOYOTA TONACE</t>
  </si>
  <si>
    <t>9006-0676-00</t>
  </si>
  <si>
    <t>CO-636</t>
  </si>
  <si>
    <t>COIL 85mm. SUZUKI  ES CUDO</t>
  </si>
  <si>
    <t>9006-0743-00</t>
  </si>
  <si>
    <t>CO-784</t>
  </si>
  <si>
    <t>COIL 85mm. SUZUKI ESTEEM (134a) RHD</t>
  </si>
  <si>
    <t>CO-1025</t>
  </si>
  <si>
    <t>9008-2058-00</t>
  </si>
  <si>
    <t>COIL 70 mm. NISSANFRONTIER LHD. (FIN 13mm.)</t>
  </si>
  <si>
    <t>9008-2046-00</t>
  </si>
  <si>
    <t>CO-1026</t>
  </si>
  <si>
    <t xml:space="preserve"> แก้ไขเป็น LM-354 COIL 70mm.OPE.VECTRA 96 EOPVE 96 LHD</t>
  </si>
  <si>
    <t>9006-0802-00</t>
  </si>
  <si>
    <t>CO-1030</t>
  </si>
  <si>
    <t>COIL 85mm. FUSO 8.6T-8.8T '96'(EFU8.8T '96')LHD.</t>
  </si>
  <si>
    <t>9005-2156-00</t>
  </si>
  <si>
    <t>CO-1031</t>
  </si>
  <si>
    <t>COIL 100mm. FUSO 10.4T-15T "96"(EFU15T96) LHD.</t>
  </si>
  <si>
    <t>9005-2152-00</t>
  </si>
  <si>
    <t>CO-1033</t>
  </si>
  <si>
    <t>COIL 100mm. FUSO O-RING (EFUSO) LHD.</t>
  </si>
  <si>
    <t>9090-0103-00</t>
  </si>
  <si>
    <t>CO-1039</t>
  </si>
  <si>
    <t>COIL 90mm.NISSAN SUNNY B.11 (RHD)</t>
  </si>
  <si>
    <t>9006-0795-00</t>
  </si>
  <si>
    <t>CO-1040</t>
  </si>
  <si>
    <t>COIL 85mm.HINO HITECH R-12 (RHD)</t>
  </si>
  <si>
    <t>9006-0796-00</t>
  </si>
  <si>
    <t>CO-1041</t>
  </si>
  <si>
    <t>COIL 85mm.ZS-0210E(RHD.) FLARE FIN 13mm.</t>
  </si>
  <si>
    <t>9006-0797-00</t>
  </si>
  <si>
    <t>CO-1042</t>
  </si>
  <si>
    <t>COIL 85 mm ZS-0230F</t>
  </si>
  <si>
    <t>9006-0798-00</t>
  </si>
  <si>
    <t>CO-1044</t>
  </si>
  <si>
    <t>COIL 85mm.MITSUBISHI  L200 (LHD.)134a</t>
  </si>
  <si>
    <t>9006-0799-00</t>
  </si>
  <si>
    <t>CO-1045</t>
  </si>
  <si>
    <t>COIL 85mm.MITSUBISHI  SPACE WAGON (LHD.)134a</t>
  </si>
  <si>
    <t>9006-0800-00</t>
  </si>
  <si>
    <t>CO-1046</t>
  </si>
  <si>
    <t>COIL 85mm.TOYOTA HILUX LHD.(WILLIAM)</t>
  </si>
  <si>
    <t>9006-0801-00</t>
  </si>
  <si>
    <t>CO-1047</t>
  </si>
  <si>
    <t>COIL 85mm.LEXUSLS-400 LHD.134a (WILLIAM)</t>
  </si>
  <si>
    <t>9005-2148-00</t>
  </si>
  <si>
    <t>CO-1048</t>
  </si>
  <si>
    <t>COIL 100mm.LEXUS LS-400 LHD. R-12 89-92(WILLIAM)</t>
  </si>
  <si>
    <t>9005-2149-00</t>
  </si>
  <si>
    <t>CO-1049</t>
  </si>
  <si>
    <t>COIL 100mm.MAZDAMPV 3.0 (R-12) LHD. FIN 22mm.</t>
  </si>
  <si>
    <t>9005-2150-00</t>
  </si>
  <si>
    <t>CO-1050</t>
  </si>
  <si>
    <t>COIL 100mm.MAZDA MPV  3.0 (R134a) LHD. FIN 22mm.</t>
  </si>
  <si>
    <t>9006-0803-00</t>
  </si>
  <si>
    <t>CO-1054</t>
  </si>
  <si>
    <t>COIL 85mm.TOYOTAHILUX TIGER (134a) RHD.</t>
  </si>
  <si>
    <t>9006-0804-00</t>
  </si>
  <si>
    <t>CO-1055</t>
  </si>
  <si>
    <t>COIL 85mm.HONDAODYSSEY (134a) LHD.</t>
  </si>
  <si>
    <t>9005-2154-00</t>
  </si>
  <si>
    <t>CO-1056</t>
  </si>
  <si>
    <t>COIL 100mm.A 6E RHD.FLARE (INDIA)</t>
  </si>
  <si>
    <t>9006-0807-00</t>
  </si>
  <si>
    <t>CO-1057</t>
  </si>
  <si>
    <t>COIL 85mm.PREGIO (LHD.)</t>
  </si>
  <si>
    <t>9006-0808-00</t>
  </si>
  <si>
    <t>CO-1058</t>
  </si>
  <si>
    <t>COIL 85mm.MAZDAE2000 VAN (LHD.)</t>
  </si>
  <si>
    <t>9006-0809-00</t>
  </si>
  <si>
    <t>CO-1059</t>
  </si>
  <si>
    <t>COIL 85mm.MAZDA E2000 VAN (RHD.)</t>
  </si>
  <si>
    <t>9005-2157-00</t>
  </si>
  <si>
    <t>CO-1060</t>
  </si>
  <si>
    <t>COIL 100mm.DARUMA ZS-0220E. (RHD) FLARE, FIN 20mm.</t>
  </si>
  <si>
    <t>9005-2158-00</t>
  </si>
  <si>
    <t>CO-1061</t>
  </si>
  <si>
    <t>COIL 100mm.DARUMA ZS-0220E. (RHD) FLARE ,FIN 13mm.</t>
  </si>
  <si>
    <t>9006-0811-00</t>
  </si>
  <si>
    <t>CO-1064</t>
  </si>
  <si>
    <t>COIL 85mm.AUDI 100(RHD) 134a</t>
  </si>
  <si>
    <t>9095-0104-00</t>
  </si>
  <si>
    <t>CO-1066</t>
  </si>
  <si>
    <t>COIL 95mm. PATCO WIRA/SATRIA (FIN 16mm.) RHD</t>
  </si>
  <si>
    <t>9008-2047-00</t>
  </si>
  <si>
    <t>CO-1067</t>
  </si>
  <si>
    <t>แก้ไขเป็น LM-254</t>
  </si>
  <si>
    <t>9090-0104-00</t>
  </si>
  <si>
    <t>CO-1068</t>
  </si>
  <si>
    <t>COIL 90mm.ISUZU HIGHLANDER (FRONT) R-134A LHD</t>
  </si>
  <si>
    <t>9006-0131-00</t>
  </si>
  <si>
    <t>CO-1069</t>
  </si>
  <si>
    <t>COIL 85mm. NISSAN CEFIRO LHD. (134a)</t>
  </si>
  <si>
    <t>COIL 85mm. NISSANCEFIRO LHD. (134a)</t>
  </si>
  <si>
    <t>9006-0267-00</t>
  </si>
  <si>
    <t>CO-1069/H</t>
  </si>
  <si>
    <t>COIL 85mm. NISSAN CEFIRO (LHD.) 134a</t>
  </si>
  <si>
    <t>9008-2048-00</t>
  </si>
  <si>
    <t>CO-1070</t>
  </si>
  <si>
    <t>แก้ไขเป็น LM-252</t>
  </si>
  <si>
    <t>9005-2159-00</t>
  </si>
  <si>
    <t>CO-1071</t>
  </si>
  <si>
    <t>COIL 100mm.NISSAN BIG-M (KIKI) NEW "98-2000" RHD</t>
  </si>
  <si>
    <t>9006-0130-00</t>
  </si>
  <si>
    <t>CO-1072</t>
  </si>
  <si>
    <t>COIL 85mm.ISUZU (KIKSUPER DRAGON EYES 2000 RHD</t>
  </si>
  <si>
    <t>9008-2049-00</t>
  </si>
  <si>
    <t>CO-1079</t>
  </si>
  <si>
    <t xml:space="preserve"> แก้ไขเป็น LM-067 COIL 70mm.รุ่นM/B SPRINTER CDi 2000 LHD.</t>
  </si>
  <si>
    <t>9005-0231-00</t>
  </si>
  <si>
    <t>CO-1080</t>
  </si>
  <si>
    <t>COIL 100mm.TOYOTA TOWN ACE 7860 (RHD.) R-12</t>
  </si>
  <si>
    <t>9006-0132-00</t>
  </si>
  <si>
    <t>CO-1081</t>
  </si>
  <si>
    <t>COIL 85mm.MITSUBISHIL-200 "94" (RHD.)</t>
  </si>
  <si>
    <t>9005-0226-00</t>
  </si>
  <si>
    <t>CO-1082</t>
  </si>
  <si>
    <t>COIL 100mm.รุ่น WW-9 (RHD.) O-RING</t>
  </si>
  <si>
    <t>9005-0227-00</t>
  </si>
  <si>
    <t>CO-1083</t>
  </si>
  <si>
    <t>COIL 100mm. MITSUBISHISIMGA "95" (RHD)</t>
  </si>
  <si>
    <t>9006-0736-00</t>
  </si>
  <si>
    <t>CO-817</t>
  </si>
  <si>
    <t>COIL 85mm.SUZUKI JIMMY(134a) RHD.</t>
  </si>
  <si>
    <t>9005-0228-00</t>
  </si>
  <si>
    <t>CO-1085</t>
  </si>
  <si>
    <t>COIL100mm.TOYOTA CELICA (RHD.) R-12</t>
  </si>
  <si>
    <t>9005-0229-00</t>
  </si>
  <si>
    <t>CO-1086</t>
  </si>
  <si>
    <t>แก้ไขเป็น LM-309 COIL 100mm.DARUMAZS-230E (O-RING) RHD.</t>
  </si>
  <si>
    <t>9006-0133-00</t>
  </si>
  <si>
    <t>CO-1088</t>
  </si>
  <si>
    <t>COIL 85mm.VW CITI GOLF "99" (RHD.)</t>
  </si>
  <si>
    <t>9008-0310-00</t>
  </si>
  <si>
    <t>CO-1090</t>
  </si>
  <si>
    <t>แก้ไขเป็น LM-092</t>
  </si>
  <si>
    <t>9006-0815-00</t>
  </si>
  <si>
    <t>CO-1091</t>
  </si>
  <si>
    <t>COIL 85mm.CHRYSLER"96-99" (LHD.)</t>
  </si>
  <si>
    <t>9006-0816-00</t>
  </si>
  <si>
    <t>CO-1092</t>
  </si>
  <si>
    <t>9009-0103-00</t>
  </si>
  <si>
    <t>CO-1093</t>
  </si>
  <si>
    <t>แก้ไขเป็น LM-013</t>
  </si>
  <si>
    <t>9005-0230-00</t>
  </si>
  <si>
    <t>CO-1095</t>
  </si>
  <si>
    <t>COIL 100mm.MITSUBISHI ADVENTURE 134a LHD.</t>
  </si>
  <si>
    <t>9006-0737-00</t>
  </si>
  <si>
    <t>CO-818</t>
  </si>
  <si>
    <t>COIL 85mm.SUZUKI ARMINTY(134a) RHD.</t>
  </si>
  <si>
    <t>9006-0814-00</t>
  </si>
  <si>
    <t>CO-1097</t>
  </si>
  <si>
    <t>COIL 85mm.MITSUBISHI LANCER "89" (LHD.)</t>
  </si>
  <si>
    <t>9008-0309-00</t>
  </si>
  <si>
    <t>CO-1098</t>
  </si>
  <si>
    <t xml:space="preserve"> COIL 70mm SAAB "900 RHD. 134a W/PIPE</t>
  </si>
  <si>
    <t>9090-0105-00</t>
  </si>
  <si>
    <t>CO-1104</t>
  </si>
  <si>
    <t>COIL 90mm.NISSAN VANETTE (RHD.)</t>
  </si>
  <si>
    <t>9009-0104-00</t>
  </si>
  <si>
    <t>CO-1107</t>
  </si>
  <si>
    <t>COIL 60mm. M/B W-210 (OEM. 210-830-03-58 L) RHD&amp;LHD</t>
  </si>
  <si>
    <t>9008-0311-00</t>
  </si>
  <si>
    <t>CO-1108</t>
  </si>
  <si>
    <t>COIL 70mm. RENAULT SERIE "19 (LHD.)</t>
  </si>
  <si>
    <t>9006-0817-00</t>
  </si>
  <si>
    <t>CO-1109</t>
  </si>
  <si>
    <t>COIL 85mm. FUSO GREAT(RHD.) (OEM. CD A311 A024)</t>
  </si>
  <si>
    <t>9006-0818-00</t>
  </si>
  <si>
    <t>CO-1110</t>
  </si>
  <si>
    <t>COIL 85mm.ISUZU BIG(OEM. 503700-1660) RHD</t>
  </si>
  <si>
    <t>9006-0139-00</t>
  </si>
  <si>
    <t>CO-1111</t>
  </si>
  <si>
    <t>COIL 85mm.FUSO FIGHTER RHD.</t>
  </si>
  <si>
    <t>9006-0141-00</t>
  </si>
  <si>
    <t>CO-1112</t>
  </si>
  <si>
    <t>แก้ไขเป็น LM-408 COIL 85mm.MIRA 447600-1590  R134a  (RHD.)</t>
  </si>
  <si>
    <t>แก้ไขเป็น LM-408 COIL 85mm.  MILA447600-1590  R134a  (RHD.)</t>
  </si>
  <si>
    <t>9006-0140-00</t>
  </si>
  <si>
    <t>CO-1113</t>
  </si>
  <si>
    <t>COIL 85mm.MIRA 047600-7020  R-12  (RHD.)</t>
  </si>
  <si>
    <t>9008-2050-00</t>
  </si>
  <si>
    <t>CO-1114</t>
  </si>
  <si>
    <t>COIL 70mm.FORD FIESTA '98-00 L.H.D.</t>
  </si>
  <si>
    <t>9090-0106-00</t>
  </si>
  <si>
    <t>CO-1115</t>
  </si>
  <si>
    <t>COIL 90mm.NISSAN CABSTER (RHD.)</t>
  </si>
  <si>
    <t>9006-0136-00</t>
  </si>
  <si>
    <t>CO-1116</t>
  </si>
  <si>
    <t>COIL 85mm.HOLDENVR CALAIS (RHD.)</t>
  </si>
  <si>
    <t>9005-0232-00</t>
  </si>
  <si>
    <t>CO-1117</t>
  </si>
  <si>
    <t>COIL 100mm.ISUZUPICK-UP (RHD.)</t>
  </si>
  <si>
    <t>9006-0821-00</t>
  </si>
  <si>
    <t>CO-1120</t>
  </si>
  <si>
    <t>COIL 85mm. HONDA CIVIC "94-96"  (LHD.)</t>
  </si>
  <si>
    <t>9006-0819-00</t>
  </si>
  <si>
    <t>CO-1121</t>
  </si>
  <si>
    <t>COIL 85mm.HONDA ACCORD 2.0 (LHD.)</t>
  </si>
  <si>
    <t>9006-0820-00</t>
  </si>
  <si>
    <t>CO-1122</t>
  </si>
  <si>
    <t>COIL 85mm.HONDAACCORD ( A)  (LHD.)</t>
  </si>
  <si>
    <t>9009-0105-00</t>
  </si>
  <si>
    <t>CO-1123</t>
  </si>
  <si>
    <t>COIL 60mm.  R.056(LHD)(FIN 10mm.</t>
  </si>
  <si>
    <t>9009-0106-00</t>
  </si>
  <si>
    <t>CO-1124</t>
  </si>
  <si>
    <t>COIL 60mm.รุ่น J-607 (LHD) (FIN 10 mm.)</t>
  </si>
  <si>
    <t>9081-0108-00</t>
  </si>
  <si>
    <t>CO-1125</t>
  </si>
  <si>
    <t>COIL 81mm. 505294 BE(LHD.)</t>
  </si>
  <si>
    <t>9008-2051-00</t>
  </si>
  <si>
    <t>CO-1126</t>
  </si>
  <si>
    <t>COIL 70mm.799601 PM(LHD.)</t>
  </si>
  <si>
    <t>9006-0823-00</t>
  </si>
  <si>
    <t>CO-1127</t>
  </si>
  <si>
    <t>COIL 85mm.103214 PM (LHD.)</t>
  </si>
  <si>
    <t>9006-0822-00</t>
  </si>
  <si>
    <t>CO-1128</t>
  </si>
  <si>
    <t>COIL 85mm. 002214 BE(LHD.) (HONDA PRELUDE)</t>
  </si>
  <si>
    <t>9005-2160-00</t>
  </si>
  <si>
    <t>CO-1133</t>
  </si>
  <si>
    <t>COIL 100mm.NISSANSAFARI (LHD.)</t>
  </si>
  <si>
    <t>COIL 100mm  NISSANSAFARI (LHD.)</t>
  </si>
  <si>
    <t>9006-0825-00</t>
  </si>
  <si>
    <t>CO-1135</t>
  </si>
  <si>
    <t>COIL 85mm.SCANIA 114(RHD.)</t>
  </si>
  <si>
    <t>9006-0824-00</t>
  </si>
  <si>
    <t>CO-1136</t>
  </si>
  <si>
    <t>COIL 85mm.NISSAN CEDRIC Y31 (134A) (RHD)</t>
  </si>
  <si>
    <t>9006-0227-00</t>
  </si>
  <si>
    <t>CO-1142</t>
  </si>
  <si>
    <t>COIL 85mm.TOYOTA REVO (RHD.) 134A</t>
  </si>
  <si>
    <t>9005-0120-00</t>
  </si>
  <si>
    <t>CO-1143</t>
  </si>
  <si>
    <t>COIL 100mm.SAGA(SNDEN) RHD</t>
  </si>
  <si>
    <t>9006-0142-00</t>
  </si>
  <si>
    <t>CO-1145</t>
  </si>
  <si>
    <t>แก้ไขเป็น LM-267 COIL 85mm.HYUNDAI STALEX (LHD.)</t>
  </si>
  <si>
    <t>9006-0151-00</t>
  </si>
  <si>
    <t>CO-1146</t>
  </si>
  <si>
    <t>COIL 85mm.MITSUBISHI L-200 (RHD.) 134a</t>
  </si>
  <si>
    <t>9006-0440-00</t>
  </si>
  <si>
    <t>CO-1148</t>
  </si>
  <si>
    <t>COIL 85mm.R 059(LHD.)</t>
  </si>
  <si>
    <t>9008-0312-00</t>
  </si>
  <si>
    <t>CO-1152</t>
  </si>
  <si>
    <t>แก้ไขเป็น LM-256</t>
  </si>
  <si>
    <t>9006-0152-00</t>
  </si>
  <si>
    <t>CO-1153</t>
  </si>
  <si>
    <t>COIL 85mm.ZS-0230E (RHD.) O-RING</t>
  </si>
  <si>
    <t>9008-0363-00</t>
  </si>
  <si>
    <t>CO-1154</t>
  </si>
  <si>
    <t>COIL 70mm.FIAT DOBLO FIN 13mm.</t>
  </si>
  <si>
    <t>9009-0107-00</t>
  </si>
  <si>
    <t>CO-1155</t>
  </si>
  <si>
    <t>แก้ไขเป็น LM-203</t>
  </si>
  <si>
    <t>9005-0129-00</t>
  </si>
  <si>
    <t>CO-1156</t>
  </si>
  <si>
    <t>COIL 100mm.MAZDA MPV3.0 "96 (RHD.)</t>
  </si>
  <si>
    <t>9005-0130-00</t>
  </si>
  <si>
    <t>CO-1157</t>
  </si>
  <si>
    <t>COIL 100mm.MAZDA MPV3.0 "96 (LHD.)</t>
  </si>
  <si>
    <t>9005-0136-00</t>
  </si>
  <si>
    <t>CO-1161</t>
  </si>
  <si>
    <t>COIL100mm. TOYOTA ACE '7860 (RHD.) 134A (047600-7860</t>
  </si>
  <si>
    <t>9006-0157-00</t>
  </si>
  <si>
    <t>CO-1162</t>
  </si>
  <si>
    <t>COIL 85mm.TOYOTA LN145 (RHD.)</t>
  </si>
  <si>
    <t>9005-0133-00</t>
  </si>
  <si>
    <t>CO-1168</t>
  </si>
  <si>
    <t>COIL 100mm.HONDA CITY 134A (RHD.)</t>
  </si>
  <si>
    <t>9005-0134-00</t>
  </si>
  <si>
    <t>CO-1169</t>
  </si>
  <si>
    <t>COIL 100mm.NISSANTERRANO (RHD.)</t>
  </si>
  <si>
    <t>9005-0137-00</t>
  </si>
  <si>
    <t>CO-1174</t>
  </si>
  <si>
    <t>COIL 100mm.TOYOTA CR"41 (RHD.) 134A</t>
  </si>
  <si>
    <t>9005-0135-00</t>
  </si>
  <si>
    <t>CO-1176</t>
  </si>
  <si>
    <t>COIL 100mm. MITSUBISHI GTO (RHD.) 134A</t>
  </si>
  <si>
    <t>9006-0158-00</t>
  </si>
  <si>
    <t>CO-1178</t>
  </si>
  <si>
    <t>COIL 85mm.MIT.CANTER W/VALVE, PIPE (LHD.)</t>
  </si>
  <si>
    <t>9008-3001-00</t>
  </si>
  <si>
    <t>CO-1180</t>
  </si>
  <si>
    <t>COIL 70mm.TOYOTALUCIDA (RHD&amp;LHD)</t>
  </si>
  <si>
    <t>9006-0159-00</t>
  </si>
  <si>
    <t>CO-1181</t>
  </si>
  <si>
    <t>COIL 85mm.ROVER 820 RHD. R-12 W/PIPE</t>
  </si>
  <si>
    <t>9005-0138-00</t>
  </si>
  <si>
    <t>CO-1185</t>
  </si>
  <si>
    <t>COIL 100mm.TOYOTA LANDCRUISER LHD ' 80-90</t>
  </si>
  <si>
    <t>9008-2053-00</t>
  </si>
  <si>
    <t>CO-1189</t>
  </si>
  <si>
    <t>COIL 70mm. NISSAN CEFIRO '97 A32 LHD.</t>
  </si>
  <si>
    <t>9008-0328-00</t>
  </si>
  <si>
    <t>CO-1189/H</t>
  </si>
  <si>
    <t>COIL 70mm. NISSAN CEFIRO 97 A32  FIN 13mm</t>
  </si>
  <si>
    <t>9008-2054-00</t>
  </si>
  <si>
    <t>CO-1190</t>
  </si>
  <si>
    <t>COIL 70mm.DAWOO DAMAS LHD. 134A</t>
  </si>
  <si>
    <t>9005-0139-00</t>
  </si>
  <si>
    <t>CO-1191</t>
  </si>
  <si>
    <t>COIL 100mm.FORD FESTIVE LHD.</t>
  </si>
  <si>
    <t>9005-0140-00</t>
  </si>
  <si>
    <t>CO-1192</t>
  </si>
  <si>
    <t>COIL 100mm.TOYOTA COROLLA 134A LHD.</t>
  </si>
  <si>
    <t>9005-0141-00</t>
  </si>
  <si>
    <t>CO-1193</t>
  </si>
  <si>
    <t>แก้ไขเป็น LM-008</t>
  </si>
  <si>
    <t>9008-2055-00</t>
  </si>
  <si>
    <t>CO-1195</t>
  </si>
  <si>
    <t>COIL 70mm.NISSAN N-16 ALMERA RHD.</t>
  </si>
  <si>
    <t>9008-0317-00</t>
  </si>
  <si>
    <t>CO-1197</t>
  </si>
  <si>
    <t>COIL 70mm. OPEL BLAZER RHD.</t>
  </si>
  <si>
    <t>9009-0108-00</t>
  </si>
  <si>
    <t>CO-1198</t>
  </si>
  <si>
    <t>9090-0107-00</t>
  </si>
  <si>
    <t>CO-1199</t>
  </si>
  <si>
    <t>COIL 90mM.NISSANVRVAN RHD.</t>
  </si>
  <si>
    <t>9009-0109-00</t>
  </si>
  <si>
    <t>CO-1200</t>
  </si>
  <si>
    <t>COIL 60mm.NISSANPRIMERA 20 98 RHD. 134A</t>
  </si>
  <si>
    <t>9008-0319-00</t>
  </si>
  <si>
    <t>CO-1201</t>
  </si>
  <si>
    <t>แก้ไขเป็น LM-024</t>
  </si>
  <si>
    <t>9006-0162-00</t>
  </si>
  <si>
    <t>CO-1202</t>
  </si>
  <si>
    <t>COIL 85mm. SEAT ALHAMBRA (RHD.)</t>
  </si>
  <si>
    <t>9006-0123-00</t>
  </si>
  <si>
    <t>CO-830</t>
  </si>
  <si>
    <t>แก้ไขเป็น LM-314</t>
  </si>
  <si>
    <t>9006-0780-00</t>
  </si>
  <si>
    <t>CO-851</t>
  </si>
  <si>
    <t>แก้ไขเป็น LM-037 COIL 85 MM. SUZUKI WAGON 97"(RHD.)</t>
  </si>
  <si>
    <t>9008-0313-00</t>
  </si>
  <si>
    <t>CO-1206</t>
  </si>
  <si>
    <t>COIL 70mm.A6ERHD. O-RING</t>
  </si>
  <si>
    <t>9008-0316-00</t>
  </si>
  <si>
    <t>CO-1209</t>
  </si>
  <si>
    <t>COIL 70mm.A6ELHD. FLARE</t>
  </si>
  <si>
    <t>9005-0142-00</t>
  </si>
  <si>
    <t>CO-1210</t>
  </si>
  <si>
    <t>COIL 100mm.TOYOTA CROWN MS-132 RHD. R-12 FIN16mm</t>
  </si>
  <si>
    <t>9005-0143-00</t>
  </si>
  <si>
    <t>CO-1211</t>
  </si>
  <si>
    <t>COIL 100mm.TOYOTA CROWN MS-132 RHD. 134a FIN16mm</t>
  </si>
  <si>
    <t>9005-0144-00</t>
  </si>
  <si>
    <t>CO-1212</t>
  </si>
  <si>
    <t>COIL 100mm. TOYOTA CROWN MS-132 LHD. R-12 FIN16mm</t>
  </si>
  <si>
    <t>9006-0163-00</t>
  </si>
  <si>
    <t>CO-1214</t>
  </si>
  <si>
    <t>COIL 85mm.TOYOTA COROLLA "92 RHD. R-12 FIN16mm.</t>
  </si>
  <si>
    <t>9006-0164-00</t>
  </si>
  <si>
    <t>CO-1215</t>
  </si>
  <si>
    <t>COIL 85mm. TOYOTACOROLLA "92 RHD. 134a FIN16mm.</t>
  </si>
  <si>
    <t>9006-0165-00</t>
  </si>
  <si>
    <t>CO-1216</t>
  </si>
  <si>
    <t>COIL 85mm.TOYOTA COROLLA "92 LHD. R-12 FIN 16mm</t>
  </si>
  <si>
    <t>9006-0166-00</t>
  </si>
  <si>
    <t>CO-1217</t>
  </si>
  <si>
    <t>COIL 85mm.TOYOTACOROLLA "92 LHD. 134a FIN 16mm</t>
  </si>
  <si>
    <t>COIL 85mm.TOYOTA COROLLA "92 LHD. 134a FIN 16mm</t>
  </si>
  <si>
    <t>9006-0187-00</t>
  </si>
  <si>
    <t>CO-1218</t>
  </si>
  <si>
    <t>COIL 85mm. MAZDA 323 LANTIS NEW "96 RHD. FIN 16mm.</t>
  </si>
  <si>
    <t>9006-0167-00</t>
  </si>
  <si>
    <t>CO-1219</t>
  </si>
  <si>
    <t>COIL 85mm. NISSAN CEFIRO RHD. (FIN 16mm.)</t>
  </si>
  <si>
    <t>9008-0318-00</t>
  </si>
  <si>
    <t>CO-1220</t>
  </si>
  <si>
    <t>COIL 70mm.NISSAN SERNA C-23 '92 YR RHD.R-12 FIN 16</t>
  </si>
  <si>
    <t>9006-0168-00</t>
  </si>
  <si>
    <t>CO-1221</t>
  </si>
  <si>
    <t>COIL 85mm.MIT.GALANTULIMA 93-94 R-12 (RHD)</t>
  </si>
  <si>
    <t>9006-0169-00</t>
  </si>
  <si>
    <t>CO-1222</t>
  </si>
  <si>
    <t>แก้ไขเป็น LM-080 COIL 85mm. MIT.GALANTULIMA 93-94 134a (RHD)</t>
  </si>
  <si>
    <t>9006-0170-00</t>
  </si>
  <si>
    <t>CO-1223</t>
  </si>
  <si>
    <t>แก้ไขเป็น LM-320 COIL 85mm.MITSUBISHI CANTER RHD. 134a (FIN 13mm.)</t>
  </si>
  <si>
    <t>9006-0171-00</t>
  </si>
  <si>
    <t>CO-1224</t>
  </si>
  <si>
    <t>แก้ไขเป็น LM-330 COIL 85mm.TOYOTA CORONA  RHD. 134a (FIN 13mm.)</t>
  </si>
  <si>
    <t>9009-0110-00</t>
  </si>
  <si>
    <t>CO-1225</t>
  </si>
  <si>
    <t>แก้ไขเป็น LM-348 COIL 60mm.ISUZU ELFRHD. 134a (FIN 10mm.)</t>
  </si>
  <si>
    <t>9006-0172-00</t>
  </si>
  <si>
    <t>CO-1226</t>
  </si>
  <si>
    <t>แก้ไขเป็น LM-114 COIL 85mm. WW-150901 RHD. 134a (FIN 13mm.)</t>
  </si>
  <si>
    <t>9006-0173-00</t>
  </si>
  <si>
    <t>CO-1227</t>
  </si>
  <si>
    <t>COIL 85mm. DAIHATSUTERIOU "97 RHD.134a</t>
  </si>
  <si>
    <t>9008-0323-00</t>
  </si>
  <si>
    <t>CO-1229</t>
  </si>
  <si>
    <t>COIL 70mm. SCAANIA 114 (BLOCK VALVE) RHD. (FIN 16mm.)</t>
  </si>
  <si>
    <t>9006-0175-00</t>
  </si>
  <si>
    <t>CO-1230</t>
  </si>
  <si>
    <t>COIL 85mm.SCANIA"114 NUT RHD. (FIN 22mm.)</t>
  </si>
  <si>
    <t>9006-0178-00</t>
  </si>
  <si>
    <t>CO-1231</t>
  </si>
  <si>
    <t>COIL 85mm.TOYOTARAV-4 (LHD.) 134a (FIN 13mm.)</t>
  </si>
  <si>
    <t>9006-0176-00</t>
  </si>
  <si>
    <t>CO-1233</t>
  </si>
  <si>
    <t>COIL 85mm.TOYOTACAMRY 88-90 (LHD.) (FIN 22mm.)</t>
  </si>
  <si>
    <t>9006-0177-00</t>
  </si>
  <si>
    <t>CO-1234</t>
  </si>
  <si>
    <t>COIL 85mm.TOYOTA CAMRY 88-90 (RHD.) (FIN 22mm.)</t>
  </si>
  <si>
    <t>9008-0320-00</t>
  </si>
  <si>
    <t>CO-1236</t>
  </si>
  <si>
    <t>COIL 70mm. AUDI A4(RHD.) (FIN 13mm.)</t>
  </si>
  <si>
    <t>9006-0264-00</t>
  </si>
  <si>
    <t>CO-1237</t>
  </si>
  <si>
    <t>COIL 85mm. DAEWOO ESPERO (RHD.) 134a (FIN 16mm.)</t>
  </si>
  <si>
    <t>9006-0180-00</t>
  </si>
  <si>
    <t>CO-1238</t>
  </si>
  <si>
    <t>แก้ไขเป็น LM-294 COIL 85mm.HYUNDAI ACCENT (RHD.) (FIN 16mm.)</t>
  </si>
  <si>
    <t>9006-0181-00</t>
  </si>
  <si>
    <t>CO-1239</t>
  </si>
  <si>
    <t>แก้ไขเป็น LM-213 COIL 85mm.HYUNDAI ELANTRA "94 (RHD.) (FIN 16mm.)</t>
  </si>
  <si>
    <t>9006-0182-00</t>
  </si>
  <si>
    <t>CO-1240</t>
  </si>
  <si>
    <t>COIL 85mm. MAZDAE2000 "VAN (RHD.) (FIN 16mm.)</t>
  </si>
  <si>
    <t>9006-0183-00</t>
  </si>
  <si>
    <t>CO-1241</t>
  </si>
  <si>
    <t>COIL 85mm.MAZDA E2000 "VAN (LHD.) (FIN 16mm.)</t>
  </si>
  <si>
    <t>9008-0321-00</t>
  </si>
  <si>
    <t>CO-1244</t>
  </si>
  <si>
    <t>COIL 70mm.รุ่น CITROEN ZM '97-2000  LHD.</t>
  </si>
  <si>
    <t>9008-0322-00</t>
  </si>
  <si>
    <t>CO-1245</t>
  </si>
  <si>
    <t>แก้ไขเป็น LM-026 COIL 70mm. MAZDALANTIS '99 LHD. (FIN 13mm.)</t>
  </si>
  <si>
    <t>9006-0190-00</t>
  </si>
  <si>
    <t>CO-1247/H</t>
  </si>
  <si>
    <t>COIL 85mm. FORD KATLAS  (FIN 13mm.) LHD.</t>
  </si>
  <si>
    <t>9006-0189-00</t>
  </si>
  <si>
    <t>CO-1248</t>
  </si>
  <si>
    <t>COIL 85mm.MITSUBISHI L5 LHD. FIN 16mm.</t>
  </si>
  <si>
    <t>9005-0149-00</t>
  </si>
  <si>
    <t>CO-1250</t>
  </si>
  <si>
    <t>COIL 100mm.A-10E ISUZU (FIN 20mm.)</t>
  </si>
  <si>
    <t>9005-0147-00</t>
  </si>
  <si>
    <t>CO-1251</t>
  </si>
  <si>
    <t>COIL 100mm. NISSAN321 LHD. FIN 16mm.</t>
  </si>
  <si>
    <t>9006-0184-00</t>
  </si>
  <si>
    <t>CO-1252</t>
  </si>
  <si>
    <t>COIL 85mm.TOYOTA HI-LUX LN-145 134a LHD.FIN 22mm</t>
  </si>
  <si>
    <t>9005-0148-00</t>
  </si>
  <si>
    <t>CO-1254</t>
  </si>
  <si>
    <t>COIL 100mm.TOYOTA CROWN MS-122 R-12 LHD FIN 22mm</t>
  </si>
  <si>
    <t>9006-0186-00</t>
  </si>
  <si>
    <t>CO-1255</t>
  </si>
  <si>
    <t>COIL 85mm. HYUNDAI SONATA 94 LHD. FIN13mm</t>
  </si>
  <si>
    <t>9006-0231-00</t>
  </si>
  <si>
    <t>CO-1255/H</t>
  </si>
  <si>
    <t>9005-0151-00</t>
  </si>
  <si>
    <t>CO-1256</t>
  </si>
  <si>
    <t>COIL 100mm.TOYOTA COROLA "9 (134a) LHD. FIN 20mm</t>
  </si>
  <si>
    <t>9006-0188-00</t>
  </si>
  <si>
    <t>CO-1257</t>
  </si>
  <si>
    <t>COIL 85mm.HOND CRV.134a LHD. FIN 20mm.</t>
  </si>
  <si>
    <t>9090-0108-00</t>
  </si>
  <si>
    <t>CO-1258</t>
  </si>
  <si>
    <t>COIL 90mm.  VW T4 SD134a 12W LHD. (FIN 16mm.)</t>
  </si>
  <si>
    <t>9090-0109-00</t>
  </si>
  <si>
    <t>CO-1259</t>
  </si>
  <si>
    <t>COIL 90mm.VW T4/GP'97 LHD. (FIN 16mm.)</t>
  </si>
  <si>
    <t>9006-0191-00</t>
  </si>
  <si>
    <t>CO-1260</t>
  </si>
  <si>
    <t>COIL 85mm. WIRA (UCM) RHD.134a</t>
  </si>
  <si>
    <t>9008-0324-00</t>
  </si>
  <si>
    <t>CO-1266</t>
  </si>
  <si>
    <t>COIL 70mm.FORD LYNXLHD. (FIN 13mm.)</t>
  </si>
  <si>
    <t>9006-0192-00</t>
  </si>
  <si>
    <t>CO-1267</t>
  </si>
  <si>
    <t>COIL 85mm.AR MUNNA(LHD.) R-12 (FIN 13mm.)</t>
  </si>
  <si>
    <t>9006-0198-00</t>
  </si>
  <si>
    <t>CO-1269/H</t>
  </si>
  <si>
    <t>COIL 85mm. SANTENA "2000 LHD.</t>
  </si>
  <si>
    <t>9008-0326-00</t>
  </si>
  <si>
    <t>CO-1270</t>
  </si>
  <si>
    <t>แก้ไขเป็น LM-120</t>
  </si>
  <si>
    <t>9006-0234-00</t>
  </si>
  <si>
    <t>CO-1271</t>
  </si>
  <si>
    <t>แก้ไขเป็น LM-175</t>
  </si>
  <si>
    <t>9006-0235-00</t>
  </si>
  <si>
    <t>CO-1272</t>
  </si>
  <si>
    <t>แก้ไขเป็น LM-172</t>
  </si>
  <si>
    <t>9005-0163-00</t>
  </si>
  <si>
    <t>CO-1273</t>
  </si>
  <si>
    <t>COIL 100mm.A6E.(RHD.)  FLARE FIN 16mm.</t>
  </si>
  <si>
    <t>9005-0164-00</t>
  </si>
  <si>
    <t>CO-1274</t>
  </si>
  <si>
    <t>COIL 60mm.NISSAN PRIMERA '2.0 '98 LHD FIN 10mm.</t>
  </si>
  <si>
    <t>9006-0240-00</t>
  </si>
  <si>
    <t>CO-1275</t>
  </si>
  <si>
    <t>COIL 85mm.FIATPALIO RHD. FIN 16mm.</t>
  </si>
  <si>
    <t>9006-0238-00</t>
  </si>
  <si>
    <t>CO-1276</t>
  </si>
  <si>
    <t>COIL 85mm.FORD FIESTA  RHD. FIN 16mm.</t>
  </si>
  <si>
    <t>9006-0239-00</t>
  </si>
  <si>
    <t>CO-1277</t>
  </si>
  <si>
    <t>COIL 85mm. VW CITTGOLF '99 RHD.FIN 16mm.</t>
  </si>
  <si>
    <t>9006-0241-00</t>
  </si>
  <si>
    <t>CO-1278</t>
  </si>
  <si>
    <t>COIL 85mm.NEWCITI GOLF 2003 (RHD)</t>
  </si>
  <si>
    <t>9009-0112-00</t>
  </si>
  <si>
    <t>CO-1282</t>
  </si>
  <si>
    <t>9008-0329-00</t>
  </si>
  <si>
    <t>CO-1283</t>
  </si>
  <si>
    <t xml:space="preserve">COIL 70mm.KIA SPORTAGE (R-12) LHD. FIN 13mm. </t>
  </si>
  <si>
    <t>9005-0165-00</t>
  </si>
  <si>
    <t>CO-1284</t>
  </si>
  <si>
    <t>COIL 100.VW. CITIGOLF (OLD) (RHD.) FIN 20mm.</t>
  </si>
  <si>
    <t>9006-0768-00</t>
  </si>
  <si>
    <t>CO-895</t>
  </si>
  <si>
    <t>COIL 85 mm SUZUKI 1000(UFA-002) RHD</t>
  </si>
  <si>
    <t>9008-0331-00</t>
  </si>
  <si>
    <t>CO-1288</t>
  </si>
  <si>
    <t>แก้ไขเป็น LM-250</t>
  </si>
  <si>
    <t>9008-0332-00</t>
  </si>
  <si>
    <t>CO-1289</t>
  </si>
  <si>
    <t>9008-0333-00</t>
  </si>
  <si>
    <t>CO-1290</t>
  </si>
  <si>
    <t>แก้ไขเป็น LM-376 COIL 70mm.NISSAN CEFIRO '94 (LHD.)R-12 FIN 10mm</t>
  </si>
  <si>
    <t>9008-0334-00</t>
  </si>
  <si>
    <t>CO-1291</t>
  </si>
  <si>
    <t>แก้ไขเป็น LM-301 COIL 70mm.NISSAN CEFIRO '97 (LHD.)134a FIN 10mm</t>
  </si>
  <si>
    <t>9008-0335-00</t>
  </si>
  <si>
    <t>CO-1292</t>
  </si>
  <si>
    <t>แก้ไขเป็น LM-038 COIL 70mm. MAZDA 626'97 134a RHD. FIN 13mm.</t>
  </si>
  <si>
    <t>9006-0255-00</t>
  </si>
  <si>
    <t>CO-1298</t>
  </si>
  <si>
    <t>COIL 85mm.DAIHATSU APPLAVSE 134a  RHD. (FIN 13mm)</t>
  </si>
  <si>
    <t>9006-0250-00</t>
  </si>
  <si>
    <t>CO-1299</t>
  </si>
  <si>
    <t>COIL 85mm.TOYOTA COROLLA '86 LHD. (FIN 22mm.)</t>
  </si>
  <si>
    <t>9006-0251-00</t>
  </si>
  <si>
    <t>CO-1300</t>
  </si>
  <si>
    <t>COIL 85mm.HONDA ACCORD 134a LHD. (FIN 20mm.)</t>
  </si>
  <si>
    <t>9009-0113-00</t>
  </si>
  <si>
    <t>CO-1301</t>
  </si>
  <si>
    <t>แก้ไขเป็น LM-098</t>
  </si>
  <si>
    <t>9006-0252-00</t>
  </si>
  <si>
    <t>CO-1302</t>
  </si>
  <si>
    <t xml:space="preserve"> COIL 85mm.VW. T4 P-13 P-17-15 LHD. (FIN 16mm.)</t>
  </si>
  <si>
    <t>9006-0253-00</t>
  </si>
  <si>
    <t>CO-1303</t>
  </si>
  <si>
    <t>COIL 85mm. NISSAN K-11 '97 P-01-38/1 LHD FIN16mm</t>
  </si>
  <si>
    <t>9006-0254-00</t>
  </si>
  <si>
    <t>CO-1305</t>
  </si>
  <si>
    <t>COIL 85mm.VOLK CHARON RHD.(FIN 13mm)</t>
  </si>
  <si>
    <t>9009-0114-00</t>
  </si>
  <si>
    <t>CO-1308</t>
  </si>
  <si>
    <t xml:space="preserve">แก้ไขเป็น LM-006 </t>
  </si>
  <si>
    <t>9008-0336-00</t>
  </si>
  <si>
    <t>CO-1310</t>
  </si>
  <si>
    <t>แก้ไขเป็น LM-389 COIL 70mm.KIA SEPHIA (RHD.) FIN 13 mm.</t>
  </si>
  <si>
    <t>9006-0260-00</t>
  </si>
  <si>
    <t>CO-1311</t>
  </si>
  <si>
    <t>COIL 85mm.HYUNDAI EXCEL  LHD. FIN13mm</t>
  </si>
  <si>
    <t>9044-0101-00</t>
  </si>
  <si>
    <t>CO-1312</t>
  </si>
  <si>
    <t>แก้ไขเป็น PFE-022</t>
  </si>
  <si>
    <t>9005-0167-00</t>
  </si>
  <si>
    <t>CO-1315</t>
  </si>
  <si>
    <t>COIL 100mm.NISSAN SAFARI (LHD.) FIN 16mm.</t>
  </si>
  <si>
    <t>9005-0257-00</t>
  </si>
  <si>
    <t>CO-1316</t>
  </si>
  <si>
    <t>COIL 100mm.CHEVROLET LUV (LHD.)</t>
  </si>
  <si>
    <t>9009-0116-00</t>
  </si>
  <si>
    <t>CO-1317</t>
  </si>
  <si>
    <t>แก้ไขเป็น LM-096</t>
  </si>
  <si>
    <t>9006-0262-00</t>
  </si>
  <si>
    <t>CO-1323</t>
  </si>
  <si>
    <t xml:space="preserve">แก้ไขเป็น LM-161 </t>
  </si>
  <si>
    <t>9006-0263-00</t>
  </si>
  <si>
    <t>CO-1325</t>
  </si>
  <si>
    <t>COIL 85mm. MIT.STRADA GRANDIS 2800 CC RHD</t>
  </si>
  <si>
    <t>9005-0170-00</t>
  </si>
  <si>
    <t>CO-1326</t>
  </si>
  <si>
    <t>COIL 100mm.FUSO CANTER (R.H.D.) FIN 20mm.</t>
  </si>
  <si>
    <t>CO-1327</t>
  </si>
  <si>
    <t>COIL 85mm. ISUZUELF (RHD.)  FIN13mm</t>
  </si>
  <si>
    <t>9005-0171-00</t>
  </si>
  <si>
    <t>CO-1328</t>
  </si>
  <si>
    <t>COIL 100mm.TOYOTA MARK-2 R-12 (RHD.) FIN 13mm.</t>
  </si>
  <si>
    <t>9008-0339-00</t>
  </si>
  <si>
    <t>CO-1329</t>
  </si>
  <si>
    <t>แก้ไขเป็น LM-035</t>
  </si>
  <si>
    <t>9008-0340-00</t>
  </si>
  <si>
    <t>CO-1330</t>
  </si>
  <si>
    <t>แก้ไขเป็น LM-031</t>
  </si>
  <si>
    <t>9008-0341-00</t>
  </si>
  <si>
    <t>CO-1331</t>
  </si>
  <si>
    <t>แก้ไขเป็น LM-355 COIL 70mm.REN.MEGANE (LHD) FIN13mm.</t>
  </si>
  <si>
    <t>9008-0342-00</t>
  </si>
  <si>
    <t>CO-1332</t>
  </si>
  <si>
    <t>แก้ไขเป็น LM-090 COIL 70mm.VWGOLF "4 "IV (LHD) 134a</t>
  </si>
  <si>
    <t>9008-0343-00</t>
  </si>
  <si>
    <t>CO-1333</t>
  </si>
  <si>
    <t>แก้ไขเป็น LM-040</t>
  </si>
  <si>
    <t>9008-0344-00</t>
  </si>
  <si>
    <t>CO-1334</t>
  </si>
  <si>
    <t>แก้ไขเป็น LM-036</t>
  </si>
  <si>
    <t>9008-0345-00</t>
  </si>
  <si>
    <t>CO-1335</t>
  </si>
  <si>
    <t>แก้ไขเป็น LM-353 COIL 70mmPEU.'46 99-00 (LHD.) 134a</t>
  </si>
  <si>
    <t>9008-0346-00</t>
  </si>
  <si>
    <t>CO-1336</t>
  </si>
  <si>
    <t>แก้ไขเป็น LM-078</t>
  </si>
  <si>
    <t>9009-0117-00</t>
  </si>
  <si>
    <t>CO-1337</t>
  </si>
  <si>
    <t>แก้ไขเป็น LM-393 COIL 60mm.ISUZU TROOPER 98-99(LHD)134a FIN10mm</t>
  </si>
  <si>
    <t>9009-0118-00</t>
  </si>
  <si>
    <t>CO-1338</t>
  </si>
  <si>
    <t>แก้ไขเป็น LM-012</t>
  </si>
  <si>
    <t>9009-0119-00</t>
  </si>
  <si>
    <t>CO-1339</t>
  </si>
  <si>
    <t>COIL60mm.REN. SCENIC 98-99 (LHD.)</t>
  </si>
  <si>
    <t>9009-0120-00</t>
  </si>
  <si>
    <t>CO-1340</t>
  </si>
  <si>
    <t>COIL 60mm.VW. POLOPLAYA 1.4 i (RHD)</t>
  </si>
  <si>
    <t>9005-0172-00</t>
  </si>
  <si>
    <t>CO-1344</t>
  </si>
  <si>
    <t>COIL 100mm.SUBARULEON LHD.FIN 20mm.</t>
  </si>
  <si>
    <t>9005-0173-00</t>
  </si>
  <si>
    <t>CO-1348</t>
  </si>
  <si>
    <t>COIL 100mm. TOYOTA COROLLA AE 92 134a RHD FIN22mm</t>
  </si>
  <si>
    <t>9008-0347-00</t>
  </si>
  <si>
    <t>CO-1350</t>
  </si>
  <si>
    <t>แก้ไขเป็น LM-239</t>
  </si>
  <si>
    <t>9008-0348-00</t>
  </si>
  <si>
    <t>CO-1351</t>
  </si>
  <si>
    <t>แก้ไขเป็น LM-068</t>
  </si>
  <si>
    <t xml:space="preserve">แก้ไขเป็น LM-068 </t>
  </si>
  <si>
    <t>9008-0349-00</t>
  </si>
  <si>
    <t>CO-1352</t>
  </si>
  <si>
    <t>แก้ไขเป็น LM-083</t>
  </si>
  <si>
    <t>9009-0121-00</t>
  </si>
  <si>
    <t>CO-1353</t>
  </si>
  <si>
    <t>แก้ไขเป็น LM-145</t>
  </si>
  <si>
    <t>9008-0350-00</t>
  </si>
  <si>
    <t>CO-1359</t>
  </si>
  <si>
    <t>9006-0266-00</t>
  </si>
  <si>
    <t>CO-1361</t>
  </si>
  <si>
    <t>แก้ไขเป็น LM-330 COIL 85mm.TOYOTA CORONA 134a (RHD.) FIN16mm.</t>
  </si>
  <si>
    <t>9006-0269-00</t>
  </si>
  <si>
    <t>CO-1363</t>
  </si>
  <si>
    <t>COIL 85mm. CHRYSLERVOYAGER RHD. (FIN 13mm.)</t>
  </si>
  <si>
    <t>9006-0270-00</t>
  </si>
  <si>
    <t>CO-1364</t>
  </si>
  <si>
    <t>COIL 85mm.HONDA ODYSSEY 134a RHD. (FIN16mm)</t>
  </si>
  <si>
    <t>9006-0271-00</t>
  </si>
  <si>
    <t>CO-1365</t>
  </si>
  <si>
    <t>แก้ไขเป็น LM-159 COIL 85mm. JEEP CHEROKEE (RHD.) (FIN16mm)</t>
  </si>
  <si>
    <t>9006-0777-00</t>
  </si>
  <si>
    <t>CO-935</t>
  </si>
  <si>
    <t>COIL 85mm.SUZUKI BALENOY B1 1300 CC.</t>
  </si>
  <si>
    <t>9006-0274-00</t>
  </si>
  <si>
    <t>CO-1369</t>
  </si>
  <si>
    <t>COIL 100mm.TOYOTA ZACE "99" SURF (FRONT) LHD.</t>
  </si>
  <si>
    <t>9006-0273-00</t>
  </si>
  <si>
    <t>CO-1370</t>
  </si>
  <si>
    <t>COIL 85mm.MITSUBISHIVARICA "99" (LHD.) FIN 20mm.</t>
  </si>
  <si>
    <t>9008-0351-00</t>
  </si>
  <si>
    <t>CO-1372</t>
  </si>
  <si>
    <t>แก้ไขเป็น LM-135</t>
  </si>
  <si>
    <t>9008-0352-00</t>
  </si>
  <si>
    <t>CO-1373</t>
  </si>
  <si>
    <t>แก้ไขเป็น LM-103</t>
  </si>
  <si>
    <t>9008-0353-00</t>
  </si>
  <si>
    <t>CO-1375</t>
  </si>
  <si>
    <t>แก้ไขเป็น LM-045  COIL 70mm. ISUZU D-MAX2002 RHD. (2500 CC' TURBO)</t>
  </si>
  <si>
    <t>9006-0275-00</t>
  </si>
  <si>
    <t>CO-1376</t>
  </si>
  <si>
    <t>COIL 85mm. KOBE R-12P LHD. (P-34-01) (FIN16mm.)</t>
  </si>
  <si>
    <t>9005-0180-00</t>
  </si>
  <si>
    <t>CO-1377</t>
  </si>
  <si>
    <t>COIL 85mm.HYUNDAI ACCENT (RHD.) (FIN 16mm.)</t>
  </si>
  <si>
    <t>9009-0122-00</t>
  </si>
  <si>
    <t>CO-1378</t>
  </si>
  <si>
    <t>COIL  60mm. TOYOTADYNA (RHD.)  FIN 10mm.</t>
  </si>
  <si>
    <t>9005-0235-00</t>
  </si>
  <si>
    <t>CO-1381</t>
  </si>
  <si>
    <t>COIL 100mm.MAZDAMX-5 R-12 (RHD.) (FIN22mm.)</t>
  </si>
  <si>
    <t>9005-0236-00</t>
  </si>
  <si>
    <t>CO-1382</t>
  </si>
  <si>
    <t>COIL 100mm.MAZDAMX-5 134a (RHD.) (FIN22mm.)</t>
  </si>
  <si>
    <t>9005-0181-00</t>
  </si>
  <si>
    <t>CO-1383</t>
  </si>
  <si>
    <t>COIL 100mm.MAZDA FRIENDEE 97" R-12 (REAR)</t>
  </si>
  <si>
    <t>9005-0182-00</t>
  </si>
  <si>
    <t>CO-1384</t>
  </si>
  <si>
    <t>COIL 100mm.MAZDAFRIENDEE 97" 134a (REAR)</t>
  </si>
  <si>
    <t>9006-0276-00</t>
  </si>
  <si>
    <t>CO-1386</t>
  </si>
  <si>
    <t>COIL 85mm. WIRA (1.6) L.H.D. (P-24-01) (FIN 22mm.)</t>
  </si>
  <si>
    <t>9009-0123-00</t>
  </si>
  <si>
    <t>CO-1387</t>
  </si>
  <si>
    <t>แก้ไขเป็น LM-204 COIL 60mm. AUDI A62.4 RHD 134a (FIN 10mm.)</t>
  </si>
  <si>
    <t>9006-0278-00</t>
  </si>
  <si>
    <t>CO-1388</t>
  </si>
  <si>
    <t>COIL 85mm.HYUNDAI ACCENT (RHD.) (FIN16mm.)</t>
  </si>
  <si>
    <t>9006-0277-00</t>
  </si>
  <si>
    <t>CO-1389</t>
  </si>
  <si>
    <t>COIL 85mm.HYUNDAI ACCENT (LHD.) (FIN16mm.)</t>
  </si>
  <si>
    <t>9008-0356-00</t>
  </si>
  <si>
    <t>CO-1392</t>
  </si>
  <si>
    <t>แก้ไขเป็น LM-206  COIL 70mm.  NISSANSERENA '96-97 134a (RHD.)</t>
  </si>
  <si>
    <t>9009-0124-00</t>
  </si>
  <si>
    <t>CO-1394</t>
  </si>
  <si>
    <t>COIL  60mm. TOYOTACOROLLA 140i (RHD.)</t>
  </si>
  <si>
    <t>CO-1396</t>
  </si>
  <si>
    <t>แก้ไขเป็น LM-164 COIL 85mm.HYUNDAISONATA '94 LHD.FIN 13mm.</t>
  </si>
  <si>
    <t>CO-1397</t>
  </si>
  <si>
    <t>COIL 85mm. MAZDA 323LANTIS NEW "96 RHD. FIN 16mm.</t>
  </si>
  <si>
    <t>9005-0190-00</t>
  </si>
  <si>
    <t>CO-1400</t>
  </si>
  <si>
    <t>COIL 100mm.A7 ERHD. FLARE</t>
  </si>
  <si>
    <t>9005-0191-00</t>
  </si>
  <si>
    <t>CO-1401</t>
  </si>
  <si>
    <t>COIL 100mm.A7 ELHD. O-RING</t>
  </si>
  <si>
    <t>9005-0192-00</t>
  </si>
  <si>
    <t>CO-1402</t>
  </si>
  <si>
    <t>COIL 100mm.A7 ELHD. FLARE</t>
  </si>
  <si>
    <t>9006-0279-00</t>
  </si>
  <si>
    <t>CO-1414</t>
  </si>
  <si>
    <t>แก้ไขเป็น LM-315 COIL 85mM. MITSUBISHIKUDA 134a (RHD.)</t>
  </si>
  <si>
    <t>9005-0243-00</t>
  </si>
  <si>
    <t>CO-1415</t>
  </si>
  <si>
    <t>COIL 100mm. MIT.LANCER CEDIA (RHD.)</t>
  </si>
  <si>
    <t>9005-0240-00</t>
  </si>
  <si>
    <t>CO-1417</t>
  </si>
  <si>
    <t>แก้ไขเป็น LM-171 COIL 100mm.A10E(LHD.) FLARE (ZS-0410E)</t>
  </si>
  <si>
    <t>9005-0242-00</t>
  </si>
  <si>
    <t>CO-1418</t>
  </si>
  <si>
    <t>แก้ไขเป็น LM-139 COIL 100mm.A10E(RHD.) O-RING (ZS-0230E)</t>
  </si>
  <si>
    <t>9009-0126-00</t>
  </si>
  <si>
    <t>CO-1420</t>
  </si>
  <si>
    <t xml:space="preserve"> แก้ไขเป็น LM-002</t>
  </si>
  <si>
    <t>9009-0127-00</t>
  </si>
  <si>
    <t>CO-1430</t>
  </si>
  <si>
    <t>แก้ไขเป็น LM-137</t>
  </si>
  <si>
    <t>9008-0359-00</t>
  </si>
  <si>
    <t>CO-1432</t>
  </si>
  <si>
    <t>แก้ไขเป็น LM-356 COIL 70mm. RENAULT CLIO 97-99 LHD.</t>
  </si>
  <si>
    <t>9009-0129-00</t>
  </si>
  <si>
    <t>CO-1433</t>
  </si>
  <si>
    <t>แก้ไขเป็น LM-356 COIL 60mm.RENAULTCLIO 00-01 LHD.</t>
  </si>
  <si>
    <t>9006-0280-00</t>
  </si>
  <si>
    <t>CO-1434</t>
  </si>
  <si>
    <t>COIL 85mm. REN.CLIO '01-03 LHD W/PIPE</t>
  </si>
  <si>
    <t>9009-0130-00</t>
  </si>
  <si>
    <t>CO-1435</t>
  </si>
  <si>
    <t>COIL 60mm.RENAULTSCENIC 01-02</t>
  </si>
  <si>
    <t>9009-0132-00</t>
  </si>
  <si>
    <t>CO-1437</t>
  </si>
  <si>
    <t>แก้ไขเป็น LM-039 COIL 60mm.NISSAN PRIMERA '02 (LHD)</t>
  </si>
  <si>
    <t>9008-0357-00</t>
  </si>
  <si>
    <t>CO-1438</t>
  </si>
  <si>
    <t>COIL 70mm.NISSANTERRANO 99-01 LHD.</t>
  </si>
  <si>
    <t>COIL 70mm. NISSANTERRANO 99-01 LHD.</t>
  </si>
  <si>
    <t>9008-0360-00</t>
  </si>
  <si>
    <t xml:space="preserve">CO-1439 </t>
  </si>
  <si>
    <t>แก้ไขเป็น LM-039</t>
  </si>
  <si>
    <t>9009-0128-00</t>
  </si>
  <si>
    <t>CO-1441</t>
  </si>
  <si>
    <t>COIL 60mm. SCANIA 114 (RHD)</t>
  </si>
  <si>
    <t>9008-0361-00</t>
  </si>
  <si>
    <t>CO-1444</t>
  </si>
  <si>
    <t>COIL 70mm.ISUZU KB SERIES 2004 RHD.</t>
  </si>
  <si>
    <t>9009-0131-00</t>
  </si>
  <si>
    <t>CO-1446</t>
  </si>
  <si>
    <t>COIL 60mm.PEUGEO TPARTNER '2001' (LHD.)</t>
  </si>
  <si>
    <t>9009-0133-00</t>
  </si>
  <si>
    <t>CO-1447</t>
  </si>
  <si>
    <t>COIL 60mm.M/B A-140(LHD.)</t>
  </si>
  <si>
    <t>9005-2162-00</t>
  </si>
  <si>
    <t>CO-1448</t>
  </si>
  <si>
    <t>COIL 100mm. BENZ M-100 (REAR) RHD&amp;LHD.</t>
  </si>
  <si>
    <t>9044-0102-00</t>
  </si>
  <si>
    <t>CO-1449</t>
  </si>
  <si>
    <t>COIL 44mm.KOBELCOMARK VI</t>
  </si>
  <si>
    <t>9005-0248-00</t>
  </si>
  <si>
    <t>CO-1455</t>
  </si>
  <si>
    <t>COIL 100mm.TOYOTAB-21 LHD.</t>
  </si>
  <si>
    <t>9005-0247-00</t>
  </si>
  <si>
    <t>CO-1456</t>
  </si>
  <si>
    <t>COIL 100mm.CHEVYLUV (LHD.)</t>
  </si>
  <si>
    <t>9006-0281-00</t>
  </si>
  <si>
    <t>CO-1457</t>
  </si>
  <si>
    <t>COIL 85mm.FIAT UNO2001 (LHD.)</t>
  </si>
  <si>
    <t>9006-0282-00</t>
  </si>
  <si>
    <t>CO-1458</t>
  </si>
  <si>
    <t>COIL 85mm.AUDI A8"2000" RHD. 134a</t>
  </si>
  <si>
    <t>9008-2060-00</t>
  </si>
  <si>
    <t>CO-1460</t>
  </si>
  <si>
    <t>COIL 70mm.DAWOO DAMAS LHD. 134a</t>
  </si>
  <si>
    <t>9005-0249-00</t>
  </si>
  <si>
    <t>CO-1469</t>
  </si>
  <si>
    <t>COIL 100mm.TOYOTA B-21 LHD. R-12</t>
  </si>
  <si>
    <t>9006-0284-00</t>
  </si>
  <si>
    <t>CO-1472</t>
  </si>
  <si>
    <t>COIL 85mm.TOYOTA HILUX (RHD.)</t>
  </si>
  <si>
    <t>9009-0134-00</t>
  </si>
  <si>
    <t>CO-1473</t>
  </si>
  <si>
    <t>แก้ไขเป็น LM-324 COIL 60mm.ISUZUINVADER (RHD.) 134a</t>
  </si>
  <si>
    <t>9005-0250-00</t>
  </si>
  <si>
    <t>CO-1477</t>
  </si>
  <si>
    <t>COIL 100mm.TOYOTALAND CRUISER "00-04" (LHD.)</t>
  </si>
  <si>
    <t>9009-0135-00</t>
  </si>
  <si>
    <t>CO-1478</t>
  </si>
  <si>
    <t>COIL 60mm.BUS FRONT</t>
  </si>
  <si>
    <t>9005-0251-00</t>
  </si>
  <si>
    <t>CO-1480</t>
  </si>
  <si>
    <t xml:space="preserve"> COIL 100mm. MODEL GAZ III LHD</t>
  </si>
  <si>
    <t>9006-0285-00</t>
  </si>
  <si>
    <t>CO-1482</t>
  </si>
  <si>
    <t>แก้ไขเป็น LM-311 COIL 85mm.TOYOYA PRADO (134a) LHD</t>
  </si>
  <si>
    <t>9009-0136-00</t>
  </si>
  <si>
    <t>CO-1483</t>
  </si>
  <si>
    <t>แก้ไขเป็น LM-377 COIL 60mm.ISUZU TROOPER 2000 LHD</t>
  </si>
  <si>
    <t>9005-0253-00</t>
  </si>
  <si>
    <t>CO-1484</t>
  </si>
  <si>
    <t>COIL 100mm.NISSANFYAITA LHD.</t>
  </si>
  <si>
    <t>9009-0138-00</t>
  </si>
  <si>
    <t>CO-1486</t>
  </si>
  <si>
    <t>แก้ไขเป็น LM-399 COIL 60mm.VW. CADDY' 2005 (RHD.)</t>
  </si>
  <si>
    <t>9008-0362-00</t>
  </si>
  <si>
    <t>CO-1487</t>
  </si>
  <si>
    <t>แก้ไขเป็น LM-214 COIL 70mm. NISSANSB-13 134a RHD.</t>
  </si>
  <si>
    <t>9005-0254-00</t>
  </si>
  <si>
    <t>CO-1491</t>
  </si>
  <si>
    <t>COIL 100mm.IVECO FORNT (RHD.)</t>
  </si>
  <si>
    <t>9006-0287-00</t>
  </si>
  <si>
    <t>CO-1492</t>
  </si>
  <si>
    <t>แก้ไขเป็น LM-245</t>
  </si>
  <si>
    <t>9006-0288-00</t>
  </si>
  <si>
    <t>CO-1493</t>
  </si>
  <si>
    <t>COIL 85mm.TATA LDV 2.0 TDI</t>
  </si>
  <si>
    <t>9005-0255-00</t>
  </si>
  <si>
    <t>CO-1496</t>
  </si>
  <si>
    <t>COIL 100mm.HYUNDAI GALOPER (LHD.)</t>
  </si>
  <si>
    <t>9006-0289-00</t>
  </si>
  <si>
    <t>CO-1497</t>
  </si>
  <si>
    <t>COIL 85mm.FORD EXPEDITION (LHD.)</t>
  </si>
  <si>
    <t>9009-0141-00</t>
  </si>
  <si>
    <t>CO-1502</t>
  </si>
  <si>
    <t>แก้ไขเป็น PFE-067 COIL 60mm.TOYOTA INNOVA  RHD.FIN 10</t>
  </si>
  <si>
    <t>9006-0290-00</t>
  </si>
  <si>
    <t>CO-1503</t>
  </si>
  <si>
    <t>แก้ไขเป็น LM-173</t>
  </si>
  <si>
    <t>9044-0103-00</t>
  </si>
  <si>
    <t>CO-1505</t>
  </si>
  <si>
    <t>แก้ไขเป็น LM-054 COIL 44mm.TOYOTA QUANTUM</t>
  </si>
  <si>
    <t>9009-0142-00</t>
  </si>
  <si>
    <t>CO-1510</t>
  </si>
  <si>
    <t>COIL 60mm.HYUNDAI  LDV H-100 RHD</t>
  </si>
  <si>
    <t>9009-0143-00</t>
  </si>
  <si>
    <t>CO-1511</t>
  </si>
  <si>
    <t>COIL 60mm.KIA K2700LDV (RHD.)</t>
  </si>
  <si>
    <t>9006-0291-00</t>
  </si>
  <si>
    <t>CO-1513</t>
  </si>
  <si>
    <t>COIL 85mm. MIT. FUSO FM</t>
  </si>
  <si>
    <t>9009-0144-00</t>
  </si>
  <si>
    <t>CO-1514</t>
  </si>
  <si>
    <t>COIL 60mm. TOYOTADYNA TRUCK (RHD.)</t>
  </si>
  <si>
    <t>9006-0292-00</t>
  </si>
  <si>
    <t>CO-1515</t>
  </si>
  <si>
    <t>COIL 85mm.HYUNDAI TRUCK</t>
  </si>
  <si>
    <t>9008-0365-00</t>
  </si>
  <si>
    <t>CO-1516</t>
  </si>
  <si>
    <t>COIL 70mm.NISSAN PATROL "00" LHD.</t>
  </si>
  <si>
    <t>9006-0293-00</t>
  </si>
  <si>
    <t>CO-1517</t>
  </si>
  <si>
    <t xml:space="preserve"> แก้ไขเป็น LM-221 </t>
  </si>
  <si>
    <t>9005-0258-00</t>
  </si>
  <si>
    <t>CO-1518</t>
  </si>
  <si>
    <t>COIL 100mm.MITSUBISHI FUSO 330 (134a) L.H.D</t>
  </si>
  <si>
    <t>9006-0294-00</t>
  </si>
  <si>
    <t>CO-1519</t>
  </si>
  <si>
    <t>COIL 85mm. KOBE 134 LHD.</t>
  </si>
  <si>
    <t>9005-0259-00</t>
  </si>
  <si>
    <t>CO-1520</t>
  </si>
  <si>
    <t>COIL 100mm. MIT. DRLICA "99" LHD.</t>
  </si>
  <si>
    <t>9090-0111-00</t>
  </si>
  <si>
    <t>CO-1532</t>
  </si>
  <si>
    <t>COIL 90mm.ISUZU SANDEN 2000 (R.H.D</t>
  </si>
  <si>
    <t>9009-0145-00</t>
  </si>
  <si>
    <t>CO-1536</t>
  </si>
  <si>
    <t>แก้ไขเป็น LM-284</t>
  </si>
  <si>
    <t>9005-0261-00</t>
  </si>
  <si>
    <t>CO-1538</t>
  </si>
  <si>
    <t>COIL 100mm. NISSAN UD 60 TO S50 (RHD) (FIN 20mm)</t>
  </si>
  <si>
    <t>9006-0296-00</t>
  </si>
  <si>
    <t>CO-1539</t>
  </si>
  <si>
    <t>COIL 85mm. ISUZU FTR800 RHD. (FIN 13mm)</t>
  </si>
  <si>
    <t>9008-0367-00</t>
  </si>
  <si>
    <t>CO-1540</t>
  </si>
  <si>
    <t>COIL 70mm.NISSA UD20/35/40 (RHD.) (FIN 13mm</t>
  </si>
  <si>
    <t>9006-0297-00</t>
  </si>
  <si>
    <t>CO-1543</t>
  </si>
  <si>
    <t>COIL 85mm.KEMBARADENSO ND 134a RHD. (FIN 22mm)</t>
  </si>
  <si>
    <t>9006-0298-00</t>
  </si>
  <si>
    <t>CO-1544</t>
  </si>
  <si>
    <t>COIL 85mm.ISWARASUNCOOL R-12 RHD. (FIN 20mm.)</t>
  </si>
  <si>
    <t>9006-0299-00</t>
  </si>
  <si>
    <t>CO-1545</t>
  </si>
  <si>
    <t>COIL 85mm. PERDANADENSO (ND) 134a RHD.(FIN 22mm)</t>
  </si>
  <si>
    <t>9090-0112-00</t>
  </si>
  <si>
    <t>CO-1546</t>
  </si>
  <si>
    <t>COIL 90mm.KANCILSANDEN (SD) RHD. (FIN 16mm.)</t>
  </si>
  <si>
    <t>9090-0113-00</t>
  </si>
  <si>
    <t>CO-1547</t>
  </si>
  <si>
    <t>COIL 90mm.KELISASANDEN (SD) 134a RHD.(FIN 16mm</t>
  </si>
  <si>
    <t>9090-0114-00</t>
  </si>
  <si>
    <t>CO-1548</t>
  </si>
  <si>
    <t>COIL 90mm. ISWARASANDEN (SD) 134a RHD.(FIN 16mm</t>
  </si>
  <si>
    <t>COIL 90mm.SWARASANDEN (SD) 134a RHD.(FIN 16mm</t>
  </si>
  <si>
    <t>9095-0106-00</t>
  </si>
  <si>
    <t>CO-1549</t>
  </si>
  <si>
    <t>COIL 95mm. SWARADATCO RHD. (FIN 16mm)</t>
  </si>
  <si>
    <t>9005-0262-00</t>
  </si>
  <si>
    <t>CO-1550</t>
  </si>
  <si>
    <t>COIL 100mm.ISUZU KIKI(RHD.) (FIN 16mm)</t>
  </si>
  <si>
    <t>9009-0146-00</t>
  </si>
  <si>
    <t>CO-1552</t>
  </si>
  <si>
    <t>COIL 60mm.VW.TRANSPOTTER (FIN 10mm)</t>
  </si>
  <si>
    <t>9044-0105-00</t>
  </si>
  <si>
    <t>CO-1553</t>
  </si>
  <si>
    <t>COIL 44mm.TOYOTA YARIS (FIN 10mm)</t>
  </si>
  <si>
    <t>9005-2163-00</t>
  </si>
  <si>
    <t>CO-1558</t>
  </si>
  <si>
    <t>COIL 100mm. FUSO R-12W/VALUE,PIPE(LHD)FIN 20</t>
  </si>
  <si>
    <t>9005-2164-00</t>
  </si>
  <si>
    <t>CO-1559</t>
  </si>
  <si>
    <t>COIL 100mm.FUSO R-134a W/VALUE,PIPE(LHD)FIN 20</t>
  </si>
  <si>
    <t>9044-0106-00</t>
  </si>
  <si>
    <t>CO-1565</t>
  </si>
  <si>
    <t>ยกเลิกผลิตใช้ PFE-047แทนCOIL44mm.HINO HARRACK (FIN10mm)</t>
  </si>
  <si>
    <t>9006-0300-00</t>
  </si>
  <si>
    <t>CO-1572</t>
  </si>
  <si>
    <t>COIL 85mm.DAIHATSUCERIA (RHD)</t>
  </si>
  <si>
    <t>9009-0147-00</t>
  </si>
  <si>
    <t>CO-1581</t>
  </si>
  <si>
    <t>COIL 60mm.OPELCORSA RHD. (FIN 10mm)</t>
  </si>
  <si>
    <t>9009-0148-00</t>
  </si>
  <si>
    <t>CO-1588</t>
  </si>
  <si>
    <t>COIL 60mm.MIT,FUSOFP/FV/FS (FIN=10)</t>
  </si>
  <si>
    <t>9009-0149-00</t>
  </si>
  <si>
    <t>CO-1589</t>
  </si>
  <si>
    <t>COIL 60mm.VW.CRAFTER(FIN=10)</t>
  </si>
  <si>
    <t>9005-2165-00</t>
  </si>
  <si>
    <t>CO-1597</t>
  </si>
  <si>
    <t xml:space="preserve">  COIL100mm. BELIAL (LHD)</t>
  </si>
  <si>
    <t>9032-0001-00</t>
  </si>
  <si>
    <t>CO-1600</t>
  </si>
  <si>
    <t>COIL 32mm.MIT.TRITON  R.H.D</t>
  </si>
  <si>
    <t>9006-0301-00</t>
  </si>
  <si>
    <t>CO-1608</t>
  </si>
  <si>
    <t>COIL 85mm.SCANIA 114 PS260 LHD.</t>
  </si>
  <si>
    <t>9008-0369-00</t>
  </si>
  <si>
    <t>CO-1611</t>
  </si>
  <si>
    <t>COIL 70mm.ISUZU150-500  (RHD.) (FIN 16mm)</t>
  </si>
  <si>
    <t>9009-0150-00</t>
  </si>
  <si>
    <t>CO-1613</t>
  </si>
  <si>
    <t>แก้ไขเป็น LM-273</t>
  </si>
  <si>
    <t>9005-0263-00</t>
  </si>
  <si>
    <t>CO-1624</t>
  </si>
  <si>
    <t>COIL 100mm.  NISSAN CEFIRO A33 (RHD)</t>
  </si>
  <si>
    <t>9006-0302-00</t>
  </si>
  <si>
    <t>CO-1625</t>
  </si>
  <si>
    <t>COIL 85mm.MIT.FUSO FITHER (RHD)</t>
  </si>
  <si>
    <t>9006-0826-00</t>
  </si>
  <si>
    <t>CO-1628</t>
  </si>
  <si>
    <t>COIL 85mm.TOYOTA KE'70 (RHD) FLARE</t>
  </si>
  <si>
    <t>9005-0264-00</t>
  </si>
  <si>
    <t>CO-1630</t>
  </si>
  <si>
    <t>COIL 100mm.KOMATSU 200/6 (LHD)</t>
  </si>
  <si>
    <t>9005-2166-00</t>
  </si>
  <si>
    <t>CO-1633</t>
  </si>
  <si>
    <t>COIL 100mm. HYUNDAI GALOPER 134a (LHD)</t>
  </si>
  <si>
    <t>9005-2167-00</t>
  </si>
  <si>
    <t>CO-1645</t>
  </si>
  <si>
    <t>COIL 100mm.ZS-022OE (RHD)</t>
  </si>
  <si>
    <t>9005-2168-00</t>
  </si>
  <si>
    <t>CO-1648</t>
  </si>
  <si>
    <t>COIL 100mm.NISSAN B-14 YC (LHD)</t>
  </si>
  <si>
    <t>9005-2169-00</t>
  </si>
  <si>
    <t>CO-1651</t>
  </si>
  <si>
    <t>COIL 100mm. NISSAN CEDRIC (LHD)</t>
  </si>
  <si>
    <t>9005-2170-00</t>
  </si>
  <si>
    <t>CO-1652</t>
  </si>
  <si>
    <t>COIL 100mm. MAZDA 626 (LHD)</t>
  </si>
  <si>
    <t>9006-0827-00</t>
  </si>
  <si>
    <t>CO-1656</t>
  </si>
  <si>
    <t>COIL  85mm. NISSAN URVAN E-24  RHD.</t>
  </si>
  <si>
    <t>9005-2171-00</t>
  </si>
  <si>
    <t>CO-1681</t>
  </si>
  <si>
    <t>COIL 100mm. ISUZU 7.8T LHD.</t>
  </si>
  <si>
    <t>9005-2172-00</t>
  </si>
  <si>
    <t>CO-1682</t>
  </si>
  <si>
    <t>COIL 100mm. TOYOTA LANDCRUISER HJ60/FJ60 RHD.</t>
  </si>
  <si>
    <t>9005-2173-00</t>
  </si>
  <si>
    <t>CO-1683</t>
  </si>
  <si>
    <t>COIL 100mm. 401-06-001</t>
  </si>
  <si>
    <t>9005-2174-00</t>
  </si>
  <si>
    <t>CO-1684</t>
  </si>
  <si>
    <t>COIL 100mm. NISSAN SUNNY NEO (RHD.)</t>
  </si>
  <si>
    <t>9006-0838-00</t>
  </si>
  <si>
    <t>CO-1699</t>
  </si>
  <si>
    <t>COIL 85mm. CATTALVAILLA-140</t>
  </si>
  <si>
    <t>9005-2175-00</t>
  </si>
  <si>
    <t>CO-1700</t>
  </si>
  <si>
    <t>COIL 100mm. KOBELCO MARK II</t>
  </si>
  <si>
    <t>9009-0152-00</t>
  </si>
  <si>
    <t>CO-1701</t>
  </si>
  <si>
    <t>COIL 60mm. VW. T-5 '05 (REAR) NO.1</t>
  </si>
  <si>
    <t>9005-2176-00</t>
  </si>
  <si>
    <t>CO-1702</t>
  </si>
  <si>
    <t>COIL 100mm.TOYOTALAND CRUISER 92 R-12 RHD.</t>
  </si>
  <si>
    <t>CO-1712</t>
  </si>
  <si>
    <t>COIL 100 mm. VW.TDI T5 2005' RHD.(REAR)</t>
  </si>
  <si>
    <t>9006-0843-00</t>
  </si>
  <si>
    <t>CO-1720</t>
  </si>
  <si>
    <t>COIL 85mm. VOLVO TRUCK RHD.</t>
  </si>
  <si>
    <t>9006-0843-01</t>
  </si>
  <si>
    <t>CO-1720/A</t>
  </si>
  <si>
    <t>COIL 85mm. VOLVO TRUCK /W,VALVE</t>
  </si>
  <si>
    <t>9005-2179-00</t>
  </si>
  <si>
    <t>CO-1731</t>
  </si>
  <si>
    <t>COIL 100mm. MODEL. LS-5270</t>
  </si>
  <si>
    <t>9009-0154-00</t>
  </si>
  <si>
    <t>CO-1735</t>
  </si>
  <si>
    <t>COIL 60mm. CARRYBOY (REAR) (LHD)</t>
  </si>
  <si>
    <t>9005-2180-00</t>
  </si>
  <si>
    <t>CO-1736</t>
  </si>
  <si>
    <t>COIL 100mm. TRUCK D 85 SS (RHD)</t>
  </si>
  <si>
    <t>9006-0849-00</t>
  </si>
  <si>
    <t>CO-1744</t>
  </si>
  <si>
    <t>COIL 85mm. CATERPILLAR 140G/3</t>
  </si>
  <si>
    <t>9095-0107-00</t>
  </si>
  <si>
    <t>CO-1753</t>
  </si>
  <si>
    <t>COIL 95mm.NISSAN TRUCK UD 340 10.4T (LHD)</t>
  </si>
  <si>
    <t>9006-0850-00</t>
  </si>
  <si>
    <t>CO-1754</t>
  </si>
  <si>
    <t xml:space="preserve">COIL 85mm. PROTON JUMBUCK (L.H.D.) </t>
  </si>
  <si>
    <t>9005-2186-00</t>
  </si>
  <si>
    <t>CO-1770</t>
  </si>
  <si>
    <t>COIL 100mm. KOMATSU 20T (RHD)</t>
  </si>
  <si>
    <t>9006-0853-00</t>
  </si>
  <si>
    <t>CO-1778</t>
  </si>
  <si>
    <t xml:space="preserve">COIL 85mm. CAT 320 B (RHD.&amp; LHD.) </t>
  </si>
  <si>
    <t>9006-0854-00</t>
  </si>
  <si>
    <t>CO-1786</t>
  </si>
  <si>
    <t>COIL 85mm.  PROTON ( LHD.)</t>
  </si>
  <si>
    <t>9005-2189-00</t>
  </si>
  <si>
    <t>CO-1788</t>
  </si>
  <si>
    <t>COIL 100mm. CRANE 7250</t>
  </si>
  <si>
    <t>9005-2190-00</t>
  </si>
  <si>
    <t>CO-1792</t>
  </si>
  <si>
    <t>COIL 100mm. ZS-0230E 134a (R.H.D.)</t>
  </si>
  <si>
    <t>9008-2064-00</t>
  </si>
  <si>
    <t>CO-1808</t>
  </si>
  <si>
    <t>COIL 70mm. MITSUBISHI CANTER (RHD)</t>
  </si>
  <si>
    <t>9006-0860-AD</t>
  </si>
  <si>
    <t>CO-1809</t>
  </si>
  <si>
    <t>COIL 85mm. VOLVO TRUCK W,VALVE</t>
  </si>
  <si>
    <t>9006-0862-00</t>
  </si>
  <si>
    <t>CO-1813</t>
  </si>
  <si>
    <t>COIL 85mm. MIT.PAJERO (REAR)</t>
  </si>
  <si>
    <t>9009-0158-00</t>
  </si>
  <si>
    <t>CO-1814</t>
  </si>
  <si>
    <t>COIL 60mm. KOMATSU PC-120</t>
  </si>
  <si>
    <t>9090-0116-00</t>
  </si>
  <si>
    <t>CO-1815</t>
  </si>
  <si>
    <t>COIL 90mm. KUBOTA CULTVATOR</t>
  </si>
  <si>
    <t>9005-2192-00</t>
  </si>
  <si>
    <t>CO-1816</t>
  </si>
  <si>
    <t>COIL 100mm. MITSU.FUSO R-12 (LHD)</t>
  </si>
  <si>
    <t>9005-2193-00</t>
  </si>
  <si>
    <t>CO-1817</t>
  </si>
  <si>
    <t>COIL 100mm. MITSU.PAJERO 134a</t>
  </si>
  <si>
    <t>9005-2194-00</t>
  </si>
  <si>
    <t>CO-1818</t>
  </si>
  <si>
    <t>COIL 100mm. NISSAN SAFARI (RHD.)</t>
  </si>
  <si>
    <t>9005-2196-00</t>
  </si>
  <si>
    <t>CO-1820</t>
  </si>
  <si>
    <t>COIL 100mm.  KIA PRIDE (LHD)</t>
  </si>
  <si>
    <t>9005-2195-00</t>
  </si>
  <si>
    <t>CO-1819</t>
  </si>
  <si>
    <t>COIL 100mm. KOMATSU 138-228)</t>
  </si>
  <si>
    <t>9090-0117-00</t>
  </si>
  <si>
    <t>CO-1822</t>
  </si>
  <si>
    <t>COIL 90mm. KUBOTA CULTIVATOR (M22)</t>
  </si>
  <si>
    <t>9006-0232-00</t>
  </si>
  <si>
    <t>CO-1252/H</t>
  </si>
  <si>
    <t>COIL 85mm. TOYOTA HI-LUX LN-145 FIN22mm</t>
  </si>
  <si>
    <t>9005-2198-00</t>
  </si>
  <si>
    <t>CO-1823</t>
  </si>
  <si>
    <t>COIL 100mm. FOR  HONDA PRELUDE (RHD)</t>
  </si>
  <si>
    <t>9006-0788-00</t>
  </si>
  <si>
    <t>CO-980</t>
  </si>
  <si>
    <t>COIL 85mm.SUZUKI 1000 (RHD)</t>
  </si>
  <si>
    <t>9005-2199-00</t>
  </si>
  <si>
    <t>CO-1825</t>
  </si>
  <si>
    <t>COIL 100mm. KUBOTA CULTIVATOR</t>
  </si>
  <si>
    <t>9009-0159-00</t>
  </si>
  <si>
    <t>CO-1824</t>
  </si>
  <si>
    <t>COIL 60mm. KOMATSU  PC128 US-1</t>
  </si>
  <si>
    <t>9006-0863-00</t>
  </si>
  <si>
    <t>CO-1826</t>
  </si>
  <si>
    <t>COIL 85mm..FOR  MIT.TOWNY '800 (LHD)</t>
  </si>
  <si>
    <t>รุ่น</t>
  </si>
  <si>
    <t>9001-0302-00</t>
  </si>
  <si>
    <t>COF-1078</t>
  </si>
  <si>
    <t>MINI-BUS LHD (O-RING)</t>
  </si>
  <si>
    <t>9034-0001-00</t>
  </si>
  <si>
    <t>COF-1576</t>
  </si>
  <si>
    <t>GT-2 NEW (COPPER)</t>
  </si>
  <si>
    <t>9034-0002-00</t>
  </si>
  <si>
    <t>COF-1577</t>
  </si>
  <si>
    <t>GT-5 NEW (COPPER)</t>
  </si>
  <si>
    <t>9004-0633-00</t>
  </si>
  <si>
    <t>COF-1100</t>
  </si>
  <si>
    <t>PANTHER R134a '2000 (LHD&amp;RHD)</t>
  </si>
  <si>
    <t>9007-1197-00</t>
  </si>
  <si>
    <t>COF-1580</t>
  </si>
  <si>
    <t>MICRO BUS FLARE (RHD)COPPER</t>
  </si>
  <si>
    <t>9002-0609-00</t>
  </si>
  <si>
    <t>COF-1534</t>
  </si>
  <si>
    <t>MICRO BUS (LHD) O-RING</t>
  </si>
  <si>
    <t>9004-0203-00</t>
  </si>
  <si>
    <t>BENZì C-180 (RHD&amp;LHD)</t>
  </si>
  <si>
    <t>9003-1947-00</t>
  </si>
  <si>
    <t>COF-1445</t>
  </si>
  <si>
    <t>MIT.VARYCA ROOF (LHD)</t>
  </si>
  <si>
    <t>9007-0115-00</t>
  </si>
  <si>
    <t>COF-1379</t>
  </si>
  <si>
    <t>F-KING (RHD) O-RING</t>
  </si>
  <si>
    <t>9007-1192-00</t>
  </si>
  <si>
    <t xml:space="preserve">COF-1489 </t>
  </si>
  <si>
    <t>MICRO BUS (RHD) O-RING COPPER</t>
  </si>
  <si>
    <t>9003-1937-00</t>
  </si>
  <si>
    <t>COF-1368</t>
  </si>
  <si>
    <t>TOYOTA ZACE ROOF '99</t>
  </si>
  <si>
    <t>9007-1191-00</t>
  </si>
  <si>
    <t>COF-1476</t>
  </si>
  <si>
    <t>BUS REAR</t>
  </si>
  <si>
    <t>9003-1979-00</t>
  </si>
  <si>
    <t>COF-1602</t>
  </si>
  <si>
    <t>BENZ TRUCK ATEGO</t>
  </si>
  <si>
    <t>9003-1978-00</t>
  </si>
  <si>
    <t>COF-1601</t>
  </si>
  <si>
    <t>FIAT DUCATO '99 (RHD&amp;LHD)</t>
  </si>
  <si>
    <t>9002-1520-00</t>
  </si>
  <si>
    <t>COF-1306</t>
  </si>
  <si>
    <t>BUS III (RHD.)</t>
  </si>
  <si>
    <t>9002-1521-00</t>
  </si>
  <si>
    <t>COF-1307</t>
  </si>
  <si>
    <t>BUS III (LHD.)</t>
  </si>
  <si>
    <t>9034-0004-00</t>
  </si>
  <si>
    <t xml:space="preserve">COF-1579 </t>
  </si>
  <si>
    <t>GT-20 (NEW)</t>
  </si>
  <si>
    <t>9007-1187-00</t>
  </si>
  <si>
    <t>COF-1354</t>
  </si>
  <si>
    <t xml:space="preserve">GT-15D </t>
  </si>
  <si>
    <t>9007-1117-00</t>
  </si>
  <si>
    <t>COF-682</t>
  </si>
  <si>
    <t>WILLIAM ONE (RHD) O-RING</t>
  </si>
  <si>
    <t>9007-1118-00</t>
  </si>
  <si>
    <t>COF-683</t>
  </si>
  <si>
    <t>WILLIAM ONE (LHD) O-RING</t>
  </si>
  <si>
    <t>9029-0010-00</t>
  </si>
  <si>
    <t>COF-1604</t>
  </si>
  <si>
    <t>GOOD TEMP 128 (RHD)</t>
  </si>
  <si>
    <t>9029-0011-00</t>
  </si>
  <si>
    <t>COF-1605</t>
  </si>
  <si>
    <t>GOOD TEMP 128 (LHD)</t>
  </si>
  <si>
    <t>9007-1201-00</t>
  </si>
  <si>
    <t>COF-1599</t>
  </si>
  <si>
    <t>EV 20 WC</t>
  </si>
  <si>
    <t>9007-1162-00</t>
  </si>
  <si>
    <t>COF-1010</t>
  </si>
  <si>
    <t>B.M.W 316I RHD 134a</t>
  </si>
  <si>
    <t>9007-1164-00</t>
  </si>
  <si>
    <t>COF-1011</t>
  </si>
  <si>
    <t>BMW.E-38 (64 11 8 372 191) RHD</t>
  </si>
  <si>
    <t>9007-1167-00</t>
  </si>
  <si>
    <t>COF-1063</t>
  </si>
  <si>
    <t>VOLVO TRUCK</t>
  </si>
  <si>
    <t>9003-0602-00</t>
  </si>
  <si>
    <t>BENZ 500 SER(REAR)LHD.</t>
  </si>
  <si>
    <t>9001-1220-00</t>
  </si>
  <si>
    <t>COF-1137</t>
  </si>
  <si>
    <t>BMW E36 Z3 (LHD&amp;RHD)</t>
  </si>
  <si>
    <t>9004-0601-00</t>
  </si>
  <si>
    <t>BENZ W-126 RHD.</t>
  </si>
  <si>
    <t>9003-0501-00</t>
  </si>
  <si>
    <t>PSDN (KIA)</t>
  </si>
  <si>
    <t>9004-0644-00</t>
  </si>
  <si>
    <t>COF-1309</t>
  </si>
  <si>
    <t>BENZM/B TRUCK ACTROS (RHD&amp;LHD)</t>
  </si>
  <si>
    <t>9004-0205-00</t>
  </si>
  <si>
    <t>COF-140</t>
  </si>
  <si>
    <t>B.M.W. E-36 LHD.</t>
  </si>
  <si>
    <t>9008-0201-0V</t>
  </si>
  <si>
    <t>B.M.W. E-32 E-34 (E15-02-007) มีวาล์ว</t>
  </si>
  <si>
    <t>9004-0649-00</t>
  </si>
  <si>
    <t>B.M.W. E-32,E-34 LHD.</t>
  </si>
  <si>
    <t>9003-1959-00</t>
  </si>
  <si>
    <t>COF-1504</t>
  </si>
  <si>
    <t>BENZ G-CLASS (RHD&amp;LHD)</t>
  </si>
  <si>
    <t>9003-2009-00</t>
  </si>
  <si>
    <t>COF-1738</t>
  </si>
  <si>
    <t>9007-1168-00</t>
  </si>
  <si>
    <t>COF-1065</t>
  </si>
  <si>
    <t>GTD-11D (GOOD TEMP)</t>
  </si>
  <si>
    <t>9003-1982-00</t>
  </si>
  <si>
    <t>COF-1610</t>
  </si>
  <si>
    <t>COIL ISUZU (S/D)TURBO 134a (A)</t>
  </si>
  <si>
    <t>9003-1972-00</t>
  </si>
  <si>
    <t>COF-1561</t>
  </si>
  <si>
    <t>CITROEN XANTIA</t>
  </si>
  <si>
    <t>9001-1237-00</t>
  </si>
  <si>
    <t>COF-1817</t>
  </si>
  <si>
    <t>BENZ TRUCK 2631</t>
  </si>
  <si>
    <t>9034-0007-00</t>
  </si>
  <si>
    <t>COF-1612</t>
  </si>
  <si>
    <t>MIT.VARICA W-PIPE</t>
  </si>
  <si>
    <t>9034-0008-00</t>
  </si>
  <si>
    <t>COF-1614</t>
  </si>
  <si>
    <t>REF. TRUCK</t>
  </si>
  <si>
    <t>9007-1170-00</t>
  </si>
  <si>
    <t>COF-193</t>
  </si>
  <si>
    <t>4-4  COPPER  (RHD)</t>
  </si>
  <si>
    <t>9029-0004-00</t>
  </si>
  <si>
    <t>COF-1570</t>
  </si>
  <si>
    <t>GT-2 (NEW)</t>
  </si>
  <si>
    <t>9004-0618-00</t>
  </si>
  <si>
    <t>SCANIA 113 (E23-01-003)</t>
  </si>
  <si>
    <t>9002-1201-00</t>
  </si>
  <si>
    <t>MIT. VARICA R134a (LHD)</t>
  </si>
  <si>
    <t>9002-0501-00</t>
  </si>
  <si>
    <t>COF-176</t>
  </si>
  <si>
    <t>4-4(RHD) FLARE</t>
  </si>
  <si>
    <t>9002-0503-00</t>
  </si>
  <si>
    <t>COF-178</t>
  </si>
  <si>
    <t>4-4(LHD)</t>
  </si>
  <si>
    <t>9001-0301-00</t>
  </si>
  <si>
    <t>MINI-BUS (FLARE)(LHD)</t>
  </si>
  <si>
    <t>9001-0902-00</t>
  </si>
  <si>
    <t>CHRYSLER SPIRIT LHD.</t>
  </si>
  <si>
    <t>9003-2041-00</t>
  </si>
  <si>
    <t>COF-1834</t>
  </si>
  <si>
    <t>MINI AUSTIN 1.3 '94</t>
  </si>
  <si>
    <t>9003-0905-00</t>
  </si>
  <si>
    <t>OPEL VECTRA (RHD)</t>
  </si>
  <si>
    <t>9003-1701-00</t>
  </si>
  <si>
    <t>NATIONAL</t>
  </si>
  <si>
    <t>9002-0401-00</t>
  </si>
  <si>
    <t>3-3 (RHD.) FLARE</t>
  </si>
  <si>
    <t>9002-0201-02</t>
  </si>
  <si>
    <t>FORMULA KING (RHD) FLARE</t>
  </si>
  <si>
    <t>9003-0105-00</t>
  </si>
  <si>
    <t>VW.EUROVAN(R)(09Z,VWT4F) LHD.</t>
  </si>
  <si>
    <t>9002-0601-02</t>
  </si>
  <si>
    <t>MICRO BUS FLARE (RHD)</t>
  </si>
  <si>
    <t>9007-0116-00</t>
  </si>
  <si>
    <t>COF-1485</t>
  </si>
  <si>
    <t>TAXI INDIA</t>
  </si>
  <si>
    <t>9002-0414-00</t>
  </si>
  <si>
    <t>COF-1636</t>
  </si>
  <si>
    <t>MICRO BUS  (LHD.) O-RING  (ร้อน-เย็น)</t>
  </si>
  <si>
    <t>9001-0703-00</t>
  </si>
  <si>
    <t>COF-1635</t>
  </si>
  <si>
    <t>MINI BUS O-RING (RHD.) O-RING (ร้อน-เย็น)</t>
  </si>
  <si>
    <t>9007-1194-00</t>
  </si>
  <si>
    <t>COF-1522</t>
  </si>
  <si>
    <t>MICRO-BUS (LHD) O-RING (COPPER)</t>
  </si>
  <si>
    <t>9007-1202-00</t>
  </si>
  <si>
    <t>COF-1615</t>
  </si>
  <si>
    <t>MICRO-BUS (LHD) O-RING  (COPPER)</t>
  </si>
  <si>
    <t>9003-1970-00</t>
  </si>
  <si>
    <t>COF-1556</t>
  </si>
  <si>
    <t>PORSCHE 928 RHD.</t>
  </si>
  <si>
    <t>9003-1971-00</t>
  </si>
  <si>
    <t>COF-1560</t>
  </si>
  <si>
    <t>40A0138</t>
  </si>
  <si>
    <t>9003-1973-00</t>
  </si>
  <si>
    <t>COF-1562</t>
  </si>
  <si>
    <t>VW .T4 (REAR)</t>
  </si>
  <si>
    <t>9003-0104-00</t>
  </si>
  <si>
    <t>VENTO /PASSAT (GOLF) '93 134a</t>
  </si>
  <si>
    <t>9004-0403-00</t>
  </si>
  <si>
    <t>TOYOTA HIACE (N/D)R-12</t>
  </si>
  <si>
    <t>9004-0604-00</t>
  </si>
  <si>
    <t>BENZ C-180 (LHD)124  830-0285</t>
  </si>
  <si>
    <t>9003-0106-00</t>
  </si>
  <si>
    <t>VW. VENTO CL (RHD)</t>
  </si>
  <si>
    <t>9002-0510-00</t>
  </si>
  <si>
    <t>4-4(RHD) O-RING</t>
  </si>
  <si>
    <t>9002-0511-00</t>
  </si>
  <si>
    <t>4-4 (LHD) O-RING</t>
  </si>
  <si>
    <t>9002-0110-00</t>
  </si>
  <si>
    <t>9002-1504-00</t>
  </si>
  <si>
    <t>FORD YK .96 (E02-04-002)</t>
  </si>
  <si>
    <t>9003-0801-00</t>
  </si>
  <si>
    <t>BENZ W-140(500 SEL) RHD.</t>
  </si>
  <si>
    <t>9004-0611-00</t>
  </si>
  <si>
    <t>PEUGEOT 306 (94-95) LHD./RHD.</t>
  </si>
  <si>
    <t>9007-1113-00</t>
  </si>
  <si>
    <t>COF-667</t>
  </si>
  <si>
    <t>BENZ W-129 LHD.</t>
  </si>
  <si>
    <t>9004-0401-00</t>
  </si>
  <si>
    <t>COF-192</t>
  </si>
  <si>
    <t>BENZ#123 RHD</t>
  </si>
  <si>
    <t>9007-1120-00</t>
  </si>
  <si>
    <t>COF-686</t>
  </si>
  <si>
    <t>BUS ONE (LHD) FLARE</t>
  </si>
  <si>
    <t>9007-1121-00</t>
  </si>
  <si>
    <t>COF-687</t>
  </si>
  <si>
    <t>BUS  ONE (R.H.D) O-RING</t>
  </si>
  <si>
    <t>9002-1506-00</t>
  </si>
  <si>
    <t>3-3 (R.H.D) O-RING</t>
  </si>
  <si>
    <t>9004-0501-00</t>
  </si>
  <si>
    <t>BENZ W-129 (RHD&amp;LHD)</t>
  </si>
  <si>
    <t>9007-0901-00</t>
  </si>
  <si>
    <t>COF-220</t>
  </si>
  <si>
    <t>BENZ(รถบรรทุก) (RHD)</t>
  </si>
  <si>
    <t>9036-0101-00</t>
  </si>
  <si>
    <t>VOLVO รถบรรทุก</t>
  </si>
  <si>
    <t>9002-0702-00</t>
  </si>
  <si>
    <t>E-30(BMW-320) (RHD&amp;LHD)</t>
  </si>
  <si>
    <t>9003-1981-00</t>
  </si>
  <si>
    <t>COF-1609</t>
  </si>
  <si>
    <t>F-6100</t>
  </si>
  <si>
    <t>9003-0803-00</t>
  </si>
  <si>
    <t>BENZ W-140(94)(RHD)</t>
  </si>
  <si>
    <t>9002-1203-00</t>
  </si>
  <si>
    <t>VOLVO 940 (RHD)</t>
  </si>
  <si>
    <t>9002-0203-02</t>
  </si>
  <si>
    <t>F-KING (LHD) FLARE</t>
  </si>
  <si>
    <t>9002-0204-02</t>
  </si>
  <si>
    <t>F-KING (LHD) O-RING</t>
  </si>
  <si>
    <t>9002-0602-02</t>
  </si>
  <si>
    <t xml:space="preserve"> MICRO BUS O-RING (RHD)</t>
  </si>
  <si>
    <t>9002-0602-Q0</t>
  </si>
  <si>
    <t xml:space="preserve"> (ประกอบตู้)</t>
  </si>
  <si>
    <t>9007-1178-00</t>
  </si>
  <si>
    <t>COF-806</t>
  </si>
  <si>
    <t>MINI BUS O-RING (LHD.)</t>
  </si>
  <si>
    <t>9004-0404-00</t>
  </si>
  <si>
    <t>TOYOTA HIACE (134a) RHD</t>
  </si>
  <si>
    <t>9001-1213-00</t>
  </si>
  <si>
    <t>IVECO EUROTECH 98 (RHD&amp;LHD)</t>
  </si>
  <si>
    <t>9002-1204-00</t>
  </si>
  <si>
    <t>VOLVO 460 (SPRING LOCK) 134a</t>
  </si>
  <si>
    <t>9003-1958-00</t>
  </si>
  <si>
    <t>TOYOTA COMMUTER</t>
  </si>
  <si>
    <t>9007-1003-00</t>
  </si>
  <si>
    <t>COF-370</t>
  </si>
  <si>
    <t>BENZ TRUCK 2631 (RHD&amp;LHD)</t>
  </si>
  <si>
    <t>9003-1905-00</t>
  </si>
  <si>
    <t>BENZ E-230ROUND HEAD LIGHT LHD</t>
  </si>
  <si>
    <t>9003-0606-00</t>
  </si>
  <si>
    <t>NATIONAL (O-RING)</t>
  </si>
  <si>
    <t>9004-0206-00</t>
  </si>
  <si>
    <t xml:space="preserve"> BENZ 124 (RHD&amp;LHD)</t>
  </si>
  <si>
    <t>9004-0206-0V</t>
  </si>
  <si>
    <t xml:space="preserve"> BENZ W124 (RHD&amp;LHD)</t>
  </si>
  <si>
    <t>9007-0832-00</t>
  </si>
  <si>
    <t>COF-1022</t>
  </si>
  <si>
    <t>B.M.W E39(64 11 8 363 782) RHD</t>
  </si>
  <si>
    <t>9002-1507-00</t>
  </si>
  <si>
    <t>COF-1038</t>
  </si>
  <si>
    <t xml:space="preserve"> SANDEN 901 (RHD.) O-RING</t>
  </si>
  <si>
    <t>9001-0104-00</t>
  </si>
  <si>
    <t>COF-1074</t>
  </si>
  <si>
    <t>323(RHD) O-RING</t>
  </si>
  <si>
    <t>9001-1217-00</t>
  </si>
  <si>
    <t>COF-1132</t>
  </si>
  <si>
    <t>A2-R-12</t>
  </si>
  <si>
    <t>9002-0113-00</t>
  </si>
  <si>
    <t>COF-1138</t>
  </si>
  <si>
    <t>MIT. DELICA ROOF</t>
  </si>
  <si>
    <t>9001-1218-00</t>
  </si>
  <si>
    <t>COF-1140</t>
  </si>
  <si>
    <t>9003-0108-00</t>
  </si>
  <si>
    <t>COF-1149</t>
  </si>
  <si>
    <t>PORSCHE 993 (911) (RHD)</t>
  </si>
  <si>
    <t>9002-1508-00</t>
  </si>
  <si>
    <t>COF-1150</t>
  </si>
  <si>
    <t>F. CONCORD NEW 2001 (RHD.) ALU</t>
  </si>
  <si>
    <t>9002-1509-00</t>
  </si>
  <si>
    <t>COF-1151</t>
  </si>
  <si>
    <t>F. CONCORD NEW 2001 (R-12) ALU</t>
  </si>
  <si>
    <t>9002-0507-00</t>
  </si>
  <si>
    <t>COF-1165</t>
  </si>
  <si>
    <t>4-4 (RHD) O-RING H&amp;C</t>
  </si>
  <si>
    <t>9003-1993-00</t>
  </si>
  <si>
    <t>COF-1647</t>
  </si>
  <si>
    <t>BENTLEY CONTINENTAL</t>
  </si>
  <si>
    <t>9004-0617-00</t>
  </si>
  <si>
    <t>BENZ TRUCK 2631 LHD.</t>
  </si>
  <si>
    <t>9004-0605-00</t>
  </si>
  <si>
    <t>BENZ W-126 (L.H.D)</t>
  </si>
  <si>
    <t>9003-1936-00</t>
  </si>
  <si>
    <t>COF-1360</t>
  </si>
  <si>
    <t>VOLVO F-12/NH</t>
  </si>
  <si>
    <t>9007-1163-00</t>
  </si>
  <si>
    <t>COF-948</t>
  </si>
  <si>
    <t xml:space="preserve">OPEL OMEGA </t>
  </si>
  <si>
    <t>9001-0905-00</t>
  </si>
  <si>
    <t>COF-1003</t>
  </si>
  <si>
    <t>VW VOCK RHD (FRONT)</t>
  </si>
  <si>
    <t>9001-0101-00</t>
  </si>
  <si>
    <t>323 (RHD) FLARE</t>
  </si>
  <si>
    <t>9003-0908-00</t>
  </si>
  <si>
    <t>COF-1009</t>
  </si>
  <si>
    <t>(ขายTHREE COLD + 5%)</t>
  </si>
  <si>
    <t>9002-0608-02</t>
  </si>
  <si>
    <t xml:space="preserve"> MICRO BUS O-RING (LHD)</t>
  </si>
  <si>
    <t>9003-0909-00</t>
  </si>
  <si>
    <t>COF-1811</t>
  </si>
  <si>
    <t xml:space="preserve"> MICRO BUS O-RING (LHD) +VALVE</t>
  </si>
  <si>
    <t>9007-1101-00</t>
  </si>
  <si>
    <t>COF-258</t>
  </si>
  <si>
    <t>JAGUAR DAMLER (RHD)</t>
  </si>
  <si>
    <t>9007-1114-00</t>
  </si>
  <si>
    <t>COF-668</t>
  </si>
  <si>
    <t>BENZ 500 SEL. (REAR) LHD.</t>
  </si>
  <si>
    <t>9002-0114-00</t>
  </si>
  <si>
    <t>COF-1203</t>
  </si>
  <si>
    <t>TOYOTA CROWN MS-132-133</t>
  </si>
  <si>
    <t>9004-0204-00</t>
  </si>
  <si>
    <t>BENZ 190E (RHD&amp;LHD)</t>
  </si>
  <si>
    <t>9001-1224-00</t>
  </si>
  <si>
    <t>COF-1186</t>
  </si>
  <si>
    <t>PEUGEOT'406 RHD.</t>
  </si>
  <si>
    <t>9003-1801-00</t>
  </si>
  <si>
    <t>PEUGEOT 605 (A) 134a</t>
  </si>
  <si>
    <t>9004-0302-00</t>
  </si>
  <si>
    <t>PEUGEOT 405 (RHD&amp;LHD)</t>
  </si>
  <si>
    <t>9004-0303-00</t>
  </si>
  <si>
    <t>PEUGEOT 405 SRI,GRI (R-12,134A)</t>
  </si>
  <si>
    <t>9002-1528-00</t>
  </si>
  <si>
    <t>COF-1646</t>
  </si>
  <si>
    <t>432 (RHD) SEAL O-RING</t>
  </si>
  <si>
    <t>9002-0120-00</t>
  </si>
  <si>
    <t>432(RHD) SEAL O-RING (APV)</t>
  </si>
  <si>
    <t>9004-0642-00</t>
  </si>
  <si>
    <t>COF-1285</t>
  </si>
  <si>
    <t>VOLK CARAVELLE V.6 (134A)</t>
  </si>
  <si>
    <t>9003-0107-00</t>
  </si>
  <si>
    <t>VOLK PASSAT '95 (134a)</t>
  </si>
  <si>
    <t>9003-1009-00</t>
  </si>
  <si>
    <t>BENZ SPRINTER (312D) RHD</t>
  </si>
  <si>
    <t>9004-0616-00</t>
  </si>
  <si>
    <t>9003-1991-00</t>
  </si>
  <si>
    <t>COF-1642</t>
  </si>
  <si>
    <t>MODEL: 11</t>
  </si>
  <si>
    <t>9002-0101-00</t>
  </si>
  <si>
    <t>9002-0301-00</t>
  </si>
  <si>
    <t>202 F-STAR (RHD)FLARE</t>
  </si>
  <si>
    <t>9007-1126-00</t>
  </si>
  <si>
    <t>COF-706</t>
  </si>
  <si>
    <t xml:space="preserve">BUS TWO (LHD)  </t>
  </si>
  <si>
    <t>9004-0101-00</t>
  </si>
  <si>
    <t>6-6 (สำหรับตู้รุ่น A-4)RHD.</t>
  </si>
  <si>
    <t>9007-1004-00</t>
  </si>
  <si>
    <t>COF-472</t>
  </si>
  <si>
    <t>BENZ TRUCK 2631 (RHD)</t>
  </si>
  <si>
    <t>9004-0634-00</t>
  </si>
  <si>
    <t>COF-1102</t>
  </si>
  <si>
    <t>TOYOTA GRANVIA '97 2700CC.</t>
  </si>
  <si>
    <t>9001-1202-00</t>
  </si>
  <si>
    <t>BENZ SPRINTER 312D (RHD)</t>
  </si>
  <si>
    <t>9003-1912-00</t>
  </si>
  <si>
    <t>9003-1914-00</t>
  </si>
  <si>
    <t>ISUZU (K.K) TURBO 134a (RHD)</t>
  </si>
  <si>
    <t>9003-1921-00</t>
  </si>
  <si>
    <t>ISUZU (K.K) R-12</t>
  </si>
  <si>
    <t>9004-0641-00</t>
  </si>
  <si>
    <t>COF-1170</t>
  </si>
  <si>
    <t>VOLK.CARAVELLE R-12 (FLARE) (RHD.)</t>
  </si>
  <si>
    <t>9003-1942-00</t>
  </si>
  <si>
    <t>COF-1424</t>
  </si>
  <si>
    <t>FORD PRZ/ROOF (E02-11-003)</t>
  </si>
  <si>
    <t>9003-1964-00</t>
  </si>
  <si>
    <t>COF-1528</t>
  </si>
  <si>
    <t>BUS GOODTEMP 56 (RHD.)</t>
  </si>
  <si>
    <t>9003-1963-00</t>
  </si>
  <si>
    <t>COF-1529</t>
  </si>
  <si>
    <t>BUS GOODTEMP 56 (LHD.)</t>
  </si>
  <si>
    <t>9001-1001-00</t>
  </si>
  <si>
    <t>INDO KIJANG R-12</t>
  </si>
  <si>
    <t>9001-1002-00</t>
  </si>
  <si>
    <t>N/D INDO KIJANG (134a)</t>
  </si>
  <si>
    <t>9007-1184-00</t>
  </si>
  <si>
    <t>COF-1184</t>
  </si>
  <si>
    <t>F-STAR (LHD) ROOF TOP</t>
  </si>
  <si>
    <t>9007-1182-00</t>
  </si>
  <si>
    <t>COF-1182</t>
  </si>
  <si>
    <t>W-9010346</t>
  </si>
  <si>
    <t>9003-0804-00</t>
  </si>
  <si>
    <t>BENZ W-140(94) (LHD)</t>
  </si>
  <si>
    <t>9004-0647-00</t>
  </si>
  <si>
    <t>COF-1341</t>
  </si>
  <si>
    <t>CITROENEVASION (MPV) (LHD&amp;RHD)</t>
  </si>
  <si>
    <t>9001-1203-00</t>
  </si>
  <si>
    <t>BENZ TRUCK 2631 W/VALVE</t>
  </si>
  <si>
    <t>9002-0411-00</t>
  </si>
  <si>
    <t>COF-1293</t>
  </si>
  <si>
    <t>F-KING O-RING (RHD) ร้อน-เย็น</t>
  </si>
  <si>
    <t>9001-1228-00</t>
  </si>
  <si>
    <t>COF-1265</t>
  </si>
  <si>
    <t>A2 134a RHD.</t>
  </si>
  <si>
    <t>9003-1977-00</t>
  </si>
  <si>
    <t>COF-1574</t>
  </si>
  <si>
    <t>VW. T3 (REAR)</t>
  </si>
  <si>
    <t>9004-0646-00</t>
  </si>
  <si>
    <t>COF-1324</t>
  </si>
  <si>
    <t>VOLVO TRUCK (RHD)</t>
  </si>
  <si>
    <t>9003-1948-00</t>
  </si>
  <si>
    <t>COF-1451</t>
  </si>
  <si>
    <t>UNIVERSAL DOBLE</t>
  </si>
  <si>
    <t>9001-1223-00</t>
  </si>
  <si>
    <t>COF-1173</t>
  </si>
  <si>
    <t>VW GOLF IT (LHD)</t>
  </si>
  <si>
    <t>9004-0643-00</t>
  </si>
  <si>
    <t>COF-1171</t>
  </si>
  <si>
    <t>TOYOTA HIACE 98 3.0 (REAR)</t>
  </si>
  <si>
    <t>9002-1510-00</t>
  </si>
  <si>
    <t>COF-1194</t>
  </si>
  <si>
    <t>FORMULA CONCORD NEW 2001 134A</t>
  </si>
  <si>
    <t>9001-1226-00</t>
  </si>
  <si>
    <t>COF-1187</t>
  </si>
  <si>
    <t>VW POLO (E12-07-001)</t>
  </si>
  <si>
    <t>9001-0704-00</t>
  </si>
  <si>
    <t>COF-1639</t>
  </si>
  <si>
    <t>323 O-RING (RHD) H&amp;C</t>
  </si>
  <si>
    <t>9034-0010-00</t>
  </si>
  <si>
    <t>COF-1641</t>
  </si>
  <si>
    <t>GT-20 (NEW) 2008</t>
  </si>
  <si>
    <t>9001-0705-00</t>
  </si>
  <si>
    <t>COF-1640</t>
  </si>
  <si>
    <t>323 O-RING (LHD) ร้อน-เย็น</t>
  </si>
  <si>
    <t>9029-0016-00</t>
  </si>
  <si>
    <t>COF-1671</t>
  </si>
  <si>
    <t>SUPER BUS (RHD)</t>
  </si>
  <si>
    <t>9003-1994-00</t>
  </si>
  <si>
    <t>COF-1649</t>
  </si>
  <si>
    <t>TOYOTA HIACE LAO I  (LHD)</t>
  </si>
  <si>
    <t>9003-1995-00</t>
  </si>
  <si>
    <t>COF-1650</t>
  </si>
  <si>
    <t>TOYOTA  LAO-TWO (LHD)</t>
  </si>
  <si>
    <t>9003-1946-00</t>
  </si>
  <si>
    <t>COF-1442</t>
  </si>
  <si>
    <t>PEUGEOT 106 (17-111)</t>
  </si>
  <si>
    <t>9002-0412-00</t>
  </si>
  <si>
    <t>COF-1524</t>
  </si>
  <si>
    <t>BUS ONE LHD O-RING</t>
  </si>
  <si>
    <t>9034-0006-00</t>
  </si>
  <si>
    <t>COF-1586</t>
  </si>
  <si>
    <t>F-SUPER BUS (LHD)</t>
  </si>
  <si>
    <t>9034-0005-00</t>
  </si>
  <si>
    <t>COF-1587</t>
  </si>
  <si>
    <t>F-SUPER BUS (RHD)</t>
  </si>
  <si>
    <t>9003-1909-00</t>
  </si>
  <si>
    <t>BENZ 500 SEL. (RHD&amp;LHD)</t>
  </si>
  <si>
    <t>9001-1212-00</t>
  </si>
  <si>
    <t xml:space="preserve"> BENZ VITO'98 (L.H.D)</t>
  </si>
  <si>
    <t>9001-1211-00</t>
  </si>
  <si>
    <t xml:space="preserve"> BENZ SPRINTER '98 (L.H.D)</t>
  </si>
  <si>
    <t>9001-0203-00</t>
  </si>
  <si>
    <t>747 (LHD) O-RING</t>
  </si>
  <si>
    <t>9001-0202-00</t>
  </si>
  <si>
    <t>747 (LHD) FLARE</t>
  </si>
  <si>
    <t>9004-0603-00</t>
  </si>
  <si>
    <t>BENZ W-126 (LHD)</t>
  </si>
  <si>
    <t>9003-1917-00</t>
  </si>
  <si>
    <t>AUDI A4 (LHD)</t>
  </si>
  <si>
    <t>9007-1140-00</t>
  </si>
  <si>
    <t>COF-785</t>
  </si>
  <si>
    <t xml:space="preserve">PEUGEOT 605 </t>
  </si>
  <si>
    <t>9007-1131-00</t>
  </si>
  <si>
    <t>COF-714</t>
  </si>
  <si>
    <t>9004-0613-00</t>
  </si>
  <si>
    <t>BENZ TRUCK (1983)</t>
  </si>
  <si>
    <t>9003-1908-00</t>
  </si>
  <si>
    <t>FORD MAXI   R134a (LHD)</t>
  </si>
  <si>
    <t>9003-1907-00</t>
  </si>
  <si>
    <t>FORD MAXI   R-12 (LHD)</t>
  </si>
  <si>
    <t>9003-1906-00</t>
  </si>
  <si>
    <t>MIT.VARICA R134a (LHD) O-RING</t>
  </si>
  <si>
    <t>9002-1503-00</t>
  </si>
  <si>
    <t>ISUZU PANTER(134A)</t>
  </si>
  <si>
    <t>9003-1910-00</t>
  </si>
  <si>
    <t>AUDI 80 (RHD) R-12</t>
  </si>
  <si>
    <t>9003-0601-00</t>
  </si>
  <si>
    <t xml:space="preserve"> KIJANG (FIN&amp;TUBE)</t>
  </si>
  <si>
    <t>9003-0103-00</t>
  </si>
  <si>
    <t>O9Z . PASSAT</t>
  </si>
  <si>
    <t>9003-1911-00</t>
  </si>
  <si>
    <t>AUDI A4 (RHD)</t>
  </si>
  <si>
    <t>9002-0604-02</t>
  </si>
  <si>
    <t>9001-0102-00</t>
  </si>
  <si>
    <t>323 (LHD) FLARE</t>
  </si>
  <si>
    <t>9007-1188-00</t>
  </si>
  <si>
    <t>COF-1421</t>
  </si>
  <si>
    <t>F.CONCORD 134a LHD. (TOYOTA AVANZA)</t>
  </si>
  <si>
    <t>9002-0119-00</t>
  </si>
  <si>
    <t>COF-1498</t>
  </si>
  <si>
    <t>MICRO-BUS (RHD) SEAL O-RING</t>
  </si>
  <si>
    <t>9002-0410-00</t>
  </si>
  <si>
    <t>9002-0115-00</t>
  </si>
  <si>
    <t>432 (LHD) O-RING (90)</t>
  </si>
  <si>
    <t>9007-1122-00</t>
  </si>
  <si>
    <t>COF-688</t>
  </si>
  <si>
    <t>BUS ONE (LHD) O-RING</t>
  </si>
  <si>
    <t>9002-1533-00</t>
  </si>
  <si>
    <t xml:space="preserve">COF-1657 </t>
  </si>
  <si>
    <t>(432 FLARE)  ยกเลิก</t>
  </si>
  <si>
    <t>9002-1532-00</t>
  </si>
  <si>
    <t>COF-1661</t>
  </si>
  <si>
    <t>F.CONCORD T5 NEW 134a LHD</t>
  </si>
  <si>
    <t>9002-1531-00</t>
  </si>
  <si>
    <t>COF-1660</t>
  </si>
  <si>
    <t>F.CONCORD T5 NEW 134a RHD</t>
  </si>
  <si>
    <t>9002-1530-00</t>
  </si>
  <si>
    <t>COF-1655</t>
  </si>
  <si>
    <t>F.CONCORD T5 NEW  LHD</t>
  </si>
  <si>
    <t>9002-1529-00</t>
  </si>
  <si>
    <t>COF-1654</t>
  </si>
  <si>
    <t>F.CONCORD T5 NEW  RHD.</t>
  </si>
  <si>
    <t>9002-0103-00</t>
  </si>
  <si>
    <t>432 (LHD) FLARE</t>
  </si>
  <si>
    <t>9007-1196-00</t>
  </si>
  <si>
    <t>COF-1535</t>
  </si>
  <si>
    <t>MASERATI</t>
  </si>
  <si>
    <t>9007-1119-00</t>
  </si>
  <si>
    <t>COF-685</t>
  </si>
  <si>
    <t>BUSONE (R.H.D) FLARE( ประกอบตู้)</t>
  </si>
  <si>
    <t>9007-1125-00</t>
  </si>
  <si>
    <t>COF-705</t>
  </si>
  <si>
    <t xml:space="preserve">BUS TWO (RHD)  </t>
  </si>
  <si>
    <t>9002-1534-00</t>
  </si>
  <si>
    <t>COF-1658</t>
  </si>
  <si>
    <t>4-4 FLARE RHD.TUBE OD5mm.</t>
  </si>
  <si>
    <t>9001-1222-00</t>
  </si>
  <si>
    <t>COF-1160</t>
  </si>
  <si>
    <t>MINI-BUS (RHD) O-RING</t>
  </si>
  <si>
    <t>9002-0106-00</t>
  </si>
  <si>
    <t>432(RHD) O-RING</t>
  </si>
  <si>
    <t>9002-0304-00</t>
  </si>
  <si>
    <t>COF-1076</t>
  </si>
  <si>
    <t>F-STAR (RHD) O-RING</t>
  </si>
  <si>
    <t>9004-0650-00</t>
  </si>
  <si>
    <t>FORD SIERRA (LHD)</t>
  </si>
  <si>
    <t>9004-0606-00</t>
  </si>
  <si>
    <t>B.M.W.316I.[RHD.]</t>
  </si>
  <si>
    <t>9001-0106-00</t>
  </si>
  <si>
    <t>COF-1075</t>
  </si>
  <si>
    <t>323 (LHD)O-RING</t>
  </si>
  <si>
    <t>9001-1219-00</t>
  </si>
  <si>
    <t>COF-1139</t>
  </si>
  <si>
    <t>9001-1225-00</t>
  </si>
  <si>
    <t>COF-1188</t>
  </si>
  <si>
    <t>CITROEN SAXO 1.6 '97 (LHD)</t>
  </si>
  <si>
    <t>9003-1933-00</t>
  </si>
  <si>
    <t>COF-1321</t>
  </si>
  <si>
    <t>RENAULT EXPRESS (E07-05-003)</t>
  </si>
  <si>
    <t>9003-1934-00</t>
  </si>
  <si>
    <t>COF-1322</t>
  </si>
  <si>
    <t>MIT.VARICA '98 (CM99)</t>
  </si>
  <si>
    <t>9003-1943-00</t>
  </si>
  <si>
    <t>COF-1422</t>
  </si>
  <si>
    <t>MIT.FREECA (RHD)</t>
  </si>
  <si>
    <t>9003-1960-00</t>
  </si>
  <si>
    <t>COF-1509</t>
  </si>
  <si>
    <t>TRACTOR</t>
  </si>
  <si>
    <t>9003-1962-00</t>
  </si>
  <si>
    <t>COF-1527</t>
  </si>
  <si>
    <t>KUBOTA (E39-01-002)</t>
  </si>
  <si>
    <t>9003-1965-00</t>
  </si>
  <si>
    <t>COF-1537</t>
  </si>
  <si>
    <t>TRACTOR 134a</t>
  </si>
  <si>
    <t>9003-0701-00</t>
  </si>
  <si>
    <t>THEMA/164 (09Z.THEMA)</t>
  </si>
  <si>
    <t>9003-1968-00</t>
  </si>
  <si>
    <t>COF-1554</t>
  </si>
  <si>
    <t>TRACTORS' 01</t>
  </si>
  <si>
    <t>9003-1598-00</t>
  </si>
  <si>
    <t>COF-1598</t>
  </si>
  <si>
    <t>MIT. SPACE GEAR/ROOF</t>
  </si>
  <si>
    <t>9003-1990-00</t>
  </si>
  <si>
    <t>COF-1632</t>
  </si>
  <si>
    <t>9004-0402-00</t>
  </si>
  <si>
    <t>BENZ 123(LHD)</t>
  </si>
  <si>
    <t>9003-0802-00</t>
  </si>
  <si>
    <t>BENZ W-140(500 SEL)LHD</t>
  </si>
  <si>
    <t>9004-0609-00</t>
  </si>
  <si>
    <t>VOLVO 740 (RHD)</t>
  </si>
  <si>
    <t>9001-0903-00</t>
  </si>
  <si>
    <t>V.W. EUROVAN (F) (09Z.VW T4F)</t>
  </si>
  <si>
    <t>9001-0602-00</t>
  </si>
  <si>
    <t>PRINCE 747</t>
  </si>
  <si>
    <t>9004-0301-00</t>
  </si>
  <si>
    <t>FIAT UNO (LHD)</t>
  </si>
  <si>
    <t>9001-0701-00</t>
  </si>
  <si>
    <t>COF-163</t>
  </si>
  <si>
    <t xml:space="preserve">FIAT UNO/I </t>
  </si>
  <si>
    <t>9007-1115-00</t>
  </si>
  <si>
    <t>COF-669</t>
  </si>
  <si>
    <t>9004-0607-00</t>
  </si>
  <si>
    <t>VOLVO 960 (LHD) 92-88</t>
  </si>
  <si>
    <t>9004-0608-00</t>
  </si>
  <si>
    <t>VOLVO 940 (LHD)</t>
  </si>
  <si>
    <t>9001-1205-00</t>
  </si>
  <si>
    <t>FIAT TIPO (LHD)</t>
  </si>
  <si>
    <t>9001-1231-00</t>
  </si>
  <si>
    <t>COF-1659</t>
  </si>
  <si>
    <t>MINI-BUS NEW 228 LHD</t>
  </si>
  <si>
    <t>9003-1949-00</t>
  </si>
  <si>
    <t>COF-1453</t>
  </si>
  <si>
    <t>BUS N/D ALU RHD (เวียดนาม)</t>
  </si>
  <si>
    <t>9003-1950-00</t>
  </si>
  <si>
    <t>COF-1454</t>
  </si>
  <si>
    <t>BUS N/D ALU LHD (เวียดนาม)</t>
  </si>
  <si>
    <t>9001-1221-00</t>
  </si>
  <si>
    <t>COF-1159</t>
  </si>
  <si>
    <t>MINI-BUS RHD. FLARE (ALU)</t>
  </si>
  <si>
    <t>9003-1602-00</t>
  </si>
  <si>
    <t>COF-1668</t>
  </si>
  <si>
    <t>FIAT DUCATO BELIAL LHD</t>
  </si>
  <si>
    <t>9002-1535-00</t>
  </si>
  <si>
    <t>COF-1669</t>
  </si>
  <si>
    <t>432 O-RING RHD. TUBE OD0.6mm.</t>
  </si>
  <si>
    <t>9004-0648-00</t>
  </si>
  <si>
    <t>COF-1670</t>
  </si>
  <si>
    <t xml:space="preserve">6-6 RHD O-RING </t>
  </si>
  <si>
    <t>9029-0017-00</t>
  </si>
  <si>
    <t>COF-1672</t>
  </si>
  <si>
    <t>9001-1207-00</t>
  </si>
  <si>
    <t>GM 2.0/6545 (LHD)</t>
  </si>
  <si>
    <t>9001-1206-00</t>
  </si>
  <si>
    <t>DAEWOO ESPERO (EDVES) LHD</t>
  </si>
  <si>
    <t>9001-1208-00</t>
  </si>
  <si>
    <t>RENAULT TWINGO (ERETW) LHD</t>
  </si>
  <si>
    <t>9004-0610-00</t>
  </si>
  <si>
    <t>SAAB '9000 '94 (134A)</t>
  </si>
  <si>
    <t>9003-1918-00</t>
  </si>
  <si>
    <t>AUDI 80 (LHD) 134a</t>
  </si>
  <si>
    <t>9007-1133-00</t>
  </si>
  <si>
    <t>COF-716</t>
  </si>
  <si>
    <t>BENZ  C-180  (LHD)</t>
  </si>
  <si>
    <t>9007-0413-00</t>
  </si>
  <si>
    <t>COF-876</t>
  </si>
  <si>
    <t>PORSCHE 911 (RHD)</t>
  </si>
  <si>
    <t>9001-1210-00</t>
  </si>
  <si>
    <t>IVECO R134a  (LHD)</t>
  </si>
  <si>
    <t>9002-0802-00</t>
  </si>
  <si>
    <t>VW/T4 SANDEN LHD</t>
  </si>
  <si>
    <t>9004-0619-00</t>
  </si>
  <si>
    <t>SCANIA 113 (E23-02-004)(OXF) LHD</t>
  </si>
  <si>
    <t>9001-1214-00</t>
  </si>
  <si>
    <t>FORD PRONTO R-12 (LHD)</t>
  </si>
  <si>
    <t>9004-0631-00</t>
  </si>
  <si>
    <t>OMEGA 2,500cc. V6 R134a (LHD)</t>
  </si>
  <si>
    <t>9004-0627-00</t>
  </si>
  <si>
    <t>PORSCHE 911 (LHD) (E37-01-001)</t>
  </si>
  <si>
    <t>9004-0629-00</t>
  </si>
  <si>
    <t>PORSCHE 928 LHD (E37-02-001)</t>
  </si>
  <si>
    <t>9004-0628-00</t>
  </si>
  <si>
    <t>PORSCHE 928 LHD (E37 02-002)</t>
  </si>
  <si>
    <t>9003-1599-00</t>
  </si>
  <si>
    <t>COF-1667</t>
  </si>
  <si>
    <t>MIT. ZINGER</t>
  </si>
  <si>
    <t>9007-1171-00</t>
  </si>
  <si>
    <t>COF-003</t>
  </si>
  <si>
    <t>6-6 (RHD.) FLARE</t>
  </si>
  <si>
    <t>9003-1941-00</t>
  </si>
  <si>
    <t>COF-1423</t>
  </si>
  <si>
    <t>MIT. SAVRIN RF. (LHD&amp;RHD)</t>
  </si>
  <si>
    <t>9002-1101-00</t>
  </si>
  <si>
    <t>RENAULT R9/H (LHD)</t>
  </si>
  <si>
    <t>9003-0102-00</t>
  </si>
  <si>
    <t xml:space="preserve">VW JETTA </t>
  </si>
  <si>
    <t>9002-1501-00</t>
  </si>
  <si>
    <t>PEUGEOT 205,309 (LHD)</t>
  </si>
  <si>
    <t>9004-0207-00</t>
  </si>
  <si>
    <t>FIAT UNO/TURBO LHD</t>
  </si>
  <si>
    <t>9002-1103-00</t>
  </si>
  <si>
    <t>CITROEN AX 1.1/1.4 LHD</t>
  </si>
  <si>
    <t>9001-0603-00</t>
  </si>
  <si>
    <t>ALFA ROMEO SPRINT 1.7 LHD</t>
  </si>
  <si>
    <t>9002-1105-00</t>
  </si>
  <si>
    <t>FIAT UNO/I  LHD</t>
  </si>
  <si>
    <t>9001-0801-00</t>
  </si>
  <si>
    <t>COF-172</t>
  </si>
  <si>
    <t>RENAULT R-9 (O-RING) LHD</t>
  </si>
  <si>
    <t>9007-1203-00</t>
  </si>
  <si>
    <t>COF-1691</t>
  </si>
  <si>
    <t>MODEL DERA BV</t>
  </si>
  <si>
    <t>9003-1998-00</t>
  </si>
  <si>
    <t>COF-1685</t>
  </si>
  <si>
    <t>SUZUKI  ALU</t>
  </si>
  <si>
    <t>9002-0801-00</t>
  </si>
  <si>
    <t>SANDEN 901 (RHD) FLARE</t>
  </si>
  <si>
    <t>9004-0651-00</t>
  </si>
  <si>
    <t>COF-1687</t>
  </si>
  <si>
    <t>CHEVROLET ZAFIRA REAR</t>
  </si>
  <si>
    <t>9004-0652-00</t>
  </si>
  <si>
    <t>COF-1688</t>
  </si>
  <si>
    <t>MITSUBISHI TRITON 134a (FIN&amp;TUBE)</t>
  </si>
  <si>
    <t>9003-2000-00</t>
  </si>
  <si>
    <t>COF-1689</t>
  </si>
  <si>
    <t>KIA SPORTAGE '95 (LHD)</t>
  </si>
  <si>
    <t>9002-1536-00</t>
  </si>
  <si>
    <t>COF-1690</t>
  </si>
  <si>
    <t>MICRO-BUS (RHD) O-RING</t>
  </si>
  <si>
    <t>9007-1108-00</t>
  </si>
  <si>
    <t>COF-585</t>
  </si>
  <si>
    <t>MICRO-BUS (สหกล) LHD.</t>
  </si>
  <si>
    <t>9001-0201-00</t>
  </si>
  <si>
    <t>747(RHD) FLARE</t>
  </si>
  <si>
    <t>9007-1150-00</t>
  </si>
  <si>
    <t>COF-946</t>
  </si>
  <si>
    <t>FORMULA CONCORD (134a)</t>
  </si>
  <si>
    <t>BENZ C-180 (L.H.D)</t>
  </si>
  <si>
    <t>9002-0202-02</t>
  </si>
  <si>
    <t>FORMULA KING (RHD) O-RING</t>
  </si>
  <si>
    <t>9007-1177-00</t>
  </si>
  <si>
    <t>COF-007</t>
  </si>
  <si>
    <t xml:space="preserve">4-4 LHD. O-RING </t>
  </si>
  <si>
    <t>COF-1162</t>
  </si>
  <si>
    <t>9029-0018-00</t>
  </si>
  <si>
    <t>COF-1705</t>
  </si>
  <si>
    <t>MODEL GT-2 2010</t>
  </si>
  <si>
    <t>9007-1210-00</t>
  </si>
  <si>
    <t>COF-1723</t>
  </si>
  <si>
    <t>4-4 LHD. O-RING (HEAT &amp; COOL)</t>
  </si>
  <si>
    <t>9003-2010-00</t>
  </si>
  <si>
    <t>COF-1740</t>
  </si>
  <si>
    <t>VANDE</t>
  </si>
  <si>
    <t>9007-1116-00</t>
  </si>
  <si>
    <t>COF-670</t>
  </si>
  <si>
    <t>BENZ W-124 (RHD&amp;LHD)</t>
  </si>
  <si>
    <t>9007-1116-0V</t>
  </si>
  <si>
    <t>COF-670/BV</t>
  </si>
  <si>
    <t>BENZ W-124 W/BLOCK VALVE</t>
  </si>
  <si>
    <t>9007-1127-00</t>
  </si>
  <si>
    <t>COF-710</t>
  </si>
  <si>
    <t>BENZ W-140(500SEL) R.H.Dตู้หน้า</t>
  </si>
  <si>
    <t>9002-0521-00</t>
  </si>
  <si>
    <t>COF-1507</t>
  </si>
  <si>
    <t>BUS III LHD  ร้อน-เย็น</t>
  </si>
  <si>
    <t>9029-0003-00</t>
  </si>
  <si>
    <t>COF-1567</t>
  </si>
  <si>
    <t>HTZ</t>
  </si>
  <si>
    <t>9034-0011-00</t>
  </si>
  <si>
    <t>COF-1643</t>
  </si>
  <si>
    <t>COIL FIN&amp;TUBE (TUBE 9.5) รุ่น MODEL FTE- 2000 (COPPER)</t>
  </si>
  <si>
    <t>9003-2001-00</t>
  </si>
  <si>
    <t>COF-1695</t>
  </si>
  <si>
    <t>CARRYBOY CB-555</t>
  </si>
  <si>
    <t>COF-1711</t>
  </si>
  <si>
    <t>COIL JCB JS 200</t>
  </si>
  <si>
    <t>9007-1209-00</t>
  </si>
  <si>
    <t>COF-1717</t>
  </si>
  <si>
    <t>BUS III LHD  ร้อน-เย็น(ทองแดง)</t>
  </si>
  <si>
    <t>9007-1211-00</t>
  </si>
  <si>
    <t>COF-1724</t>
  </si>
  <si>
    <t>F-KING LHD. O-RING (H &amp; C)</t>
  </si>
  <si>
    <t>9003-2005-00</t>
  </si>
  <si>
    <t>COF-1730</t>
  </si>
  <si>
    <t>CHEVROLET CADILLAC (REAR)</t>
  </si>
  <si>
    <t>9007-1128-00</t>
  </si>
  <si>
    <t>COF-711</t>
  </si>
  <si>
    <t>BENZ W-140(500SEL) L.H.Dตู้หน้า</t>
  </si>
  <si>
    <t>9007-1129-00</t>
  </si>
  <si>
    <t>COF-712</t>
  </si>
  <si>
    <t>BENZ W-140 (94) L.H.D</t>
  </si>
  <si>
    <t>9007-1149-00</t>
  </si>
  <si>
    <t>COF-939</t>
  </si>
  <si>
    <t xml:space="preserve">PEUGEOT 405 SRI,GRI </t>
  </si>
  <si>
    <t>9091-0105-00</t>
  </si>
  <si>
    <t>HT-005</t>
  </si>
  <si>
    <t>323 RHD. Copper</t>
  </si>
  <si>
    <t>9007-1130-00</t>
  </si>
  <si>
    <t>COF-713</t>
  </si>
  <si>
    <t>BENZ W-126 (R.H.D)</t>
  </si>
  <si>
    <t>9001-0702-00</t>
  </si>
  <si>
    <t>COF-1634</t>
  </si>
  <si>
    <t>MINIBUS LHD. ร้อน-เย็น</t>
  </si>
  <si>
    <t>9007-1205-00</t>
  </si>
  <si>
    <t>COF-1697</t>
  </si>
  <si>
    <t>MACERATI 222</t>
  </si>
  <si>
    <t>9034-0012-00</t>
  </si>
  <si>
    <t>COF-1707</t>
  </si>
  <si>
    <t>COIL FIN&amp;TUBE  (COPPER) รุ่น MODEL GT-5 2010</t>
  </si>
  <si>
    <t>9007-1207-00</t>
  </si>
  <si>
    <t>COF-1715</t>
  </si>
  <si>
    <t>MINIBUS LHD. ร้อน-เย็น (ทองแดง)</t>
  </si>
  <si>
    <t>9003-2006-00</t>
  </si>
  <si>
    <t>COF-1732</t>
  </si>
  <si>
    <t>MODEL MEC-01</t>
  </si>
  <si>
    <t>9007-1214-00</t>
  </si>
  <si>
    <t>COF-1741</t>
  </si>
  <si>
    <t>MODEL 405-06-620</t>
  </si>
  <si>
    <t>9029-0023-00</t>
  </si>
  <si>
    <t>COF-1748</t>
  </si>
  <si>
    <t>BUS 9 M. RHD</t>
  </si>
  <si>
    <t>9004-0654-00</t>
  </si>
  <si>
    <t>COF-1768</t>
  </si>
  <si>
    <t>FIAT TRUCK</t>
  </si>
  <si>
    <t>9007-1102-00</t>
  </si>
  <si>
    <t>COF-312</t>
  </si>
  <si>
    <t>SCANIA  (RHD&amp;LHD)</t>
  </si>
  <si>
    <t>9007-1132-00</t>
  </si>
  <si>
    <t>COF-715</t>
  </si>
  <si>
    <t>BENZC-180/220 (R.H.D) 134A</t>
  </si>
  <si>
    <t>9007-1155-00</t>
  </si>
  <si>
    <t>COF-968</t>
  </si>
  <si>
    <t>FOR  CRISP-AIR BUS O-RING (RHD)</t>
  </si>
  <si>
    <t>9007-1161-00</t>
  </si>
  <si>
    <t>COF-995</t>
  </si>
  <si>
    <t>VW PASSAT (RHD)</t>
  </si>
  <si>
    <t>9002-1522-00</t>
  </si>
  <si>
    <t>COF-1459</t>
  </si>
  <si>
    <t>F. CONCORD PANTHER LHD</t>
  </si>
  <si>
    <t>9029-0013-00</t>
  </si>
  <si>
    <t>COF-1621</t>
  </si>
  <si>
    <t>GT-11 (NEW)</t>
  </si>
  <si>
    <t>9002-0415-00</t>
  </si>
  <si>
    <t>COF-1637</t>
  </si>
  <si>
    <t>MICROBUS (RHD.) ร้อน-เย็น</t>
  </si>
  <si>
    <t>9003-1992-00</t>
  </si>
  <si>
    <t>COF-1644</t>
  </si>
  <si>
    <t xml:space="preserve"> MODEL 11 พร้อมประกอบวาล์ว</t>
  </si>
  <si>
    <t>9007-1204-00</t>
  </si>
  <si>
    <t>COF-1696</t>
  </si>
  <si>
    <t>COMBI HEAT&amp;COOL COPPER</t>
  </si>
  <si>
    <t>9007-1208-00</t>
  </si>
  <si>
    <t>COF-1716</t>
  </si>
  <si>
    <t>MICROBUS (RHD.) ร้อน-เย็น(ทองแดง)</t>
  </si>
  <si>
    <t>9029-0020-00</t>
  </si>
  <si>
    <t>COF-1729</t>
  </si>
  <si>
    <t>TOYOTA COASTER</t>
  </si>
  <si>
    <t>9029-0024-00</t>
  </si>
  <si>
    <t>COF-1749</t>
  </si>
  <si>
    <t>BUS 9 M. LHD</t>
  </si>
  <si>
    <t>9007-1138-00</t>
  </si>
  <si>
    <t>COF-752</t>
  </si>
  <si>
    <t xml:space="preserve"> B.M.W 320,E-30(RHD&amp;LHD)</t>
  </si>
  <si>
    <t>9001-0306-00</t>
  </si>
  <si>
    <t>MINI BUS V-2 (LHD)</t>
  </si>
  <si>
    <t>9007-1144-00</t>
  </si>
  <si>
    <t>COF-855</t>
  </si>
  <si>
    <t>SCANIA 1996 (RHD) 134a</t>
  </si>
  <si>
    <t>9004-0614-00</t>
  </si>
  <si>
    <t>BMW E-38 (RHD&amp;LHD)</t>
  </si>
  <si>
    <t>9002-0107-00</t>
  </si>
  <si>
    <t>COF-1073</t>
  </si>
  <si>
    <t>9001-0107-00</t>
  </si>
  <si>
    <t>COF-1131</t>
  </si>
  <si>
    <t>ISUZU PANTHER"2000(134A) RHD</t>
  </si>
  <si>
    <t>9029-0014-00</t>
  </si>
  <si>
    <t>COF-1622</t>
  </si>
  <si>
    <t>GT-15 (2013)</t>
  </si>
  <si>
    <t>9001-1230-00</t>
  </si>
  <si>
    <t>COF-1662</t>
  </si>
  <si>
    <t xml:space="preserve">MINI BUS LHD. O-RING </t>
  </si>
  <si>
    <t>9003-2003-00</t>
  </si>
  <si>
    <t>COF-1713</t>
  </si>
  <si>
    <t>TOYOTA COMMUTOR D4D (REAR)</t>
  </si>
  <si>
    <t>9007-1206-00</t>
  </si>
  <si>
    <t>COF-1714</t>
  </si>
  <si>
    <t>476-05-750-3 COPPER</t>
  </si>
  <si>
    <t>9029-0021-00</t>
  </si>
  <si>
    <t>COF-1750</t>
  </si>
  <si>
    <t>BUS 12M. RHD</t>
  </si>
  <si>
    <t>9004-0615-00</t>
  </si>
  <si>
    <t>BMW E-39</t>
  </si>
  <si>
    <t>9001-0204-00</t>
  </si>
  <si>
    <t>747(RHD) O-RING</t>
  </si>
  <si>
    <t>9002-0306-00</t>
  </si>
  <si>
    <t>COF-1077</t>
  </si>
  <si>
    <t>FORMULA STAR LHD (ORING)</t>
  </si>
  <si>
    <t>9002-0504-00</t>
  </si>
  <si>
    <t>COF-1163</t>
  </si>
  <si>
    <t>9004-0645-00</t>
  </si>
  <si>
    <t>COF-1320</t>
  </si>
  <si>
    <t>SCANIA113 OXF (E2-3-01-4/1)(RHD&amp;LHD)</t>
  </si>
  <si>
    <t>9003-1944-00</t>
  </si>
  <si>
    <t>COF-1431</t>
  </si>
  <si>
    <t>TOYOTA COMMUTER SEAL O-RING</t>
  </si>
  <si>
    <t>9003-1956-00</t>
  </si>
  <si>
    <t>COF-1495</t>
  </si>
  <si>
    <t>OPEL OMEGA 2.0 (RHD,LHD)</t>
  </si>
  <si>
    <t>9029-0015-00</t>
  </si>
  <si>
    <t>COF-1638</t>
  </si>
  <si>
    <t>GT-20 (2017)</t>
  </si>
  <si>
    <t>9029-0019-00</t>
  </si>
  <si>
    <t>COF-1706</t>
  </si>
  <si>
    <t>MODEL GT-5 2010</t>
  </si>
  <si>
    <t>9004-0653-00</t>
  </si>
  <si>
    <t>COF-1719</t>
  </si>
  <si>
    <t>SCANIA 113 (0x0)</t>
  </si>
  <si>
    <t>9003-2004-00</t>
  </si>
  <si>
    <t>COF-1725</t>
  </si>
  <si>
    <t>MAN TRUCK (LHD)</t>
  </si>
  <si>
    <t>9029-0022-00</t>
  </si>
  <si>
    <t>COF-1751</t>
  </si>
  <si>
    <t>BUS 12M. LHD</t>
  </si>
  <si>
    <t>9002-0302-00</t>
  </si>
  <si>
    <t>FORMULA STAR LHD (FLARE)</t>
  </si>
  <si>
    <t>9029-0026-00</t>
  </si>
  <si>
    <t>COF-1755</t>
  </si>
  <si>
    <t>BUS 5-6 M. LHD</t>
  </si>
  <si>
    <t>9029-0027-00</t>
  </si>
  <si>
    <t>COF-1756</t>
  </si>
  <si>
    <t>BUS 5-6 M. RHD</t>
  </si>
  <si>
    <t>9003-2011-00</t>
  </si>
  <si>
    <t>COF-1757</t>
  </si>
  <si>
    <t>FORD TRACKTOR 8640</t>
  </si>
  <si>
    <t>9003-2012-00</t>
  </si>
  <si>
    <t>COF-1761</t>
  </si>
  <si>
    <t>9003-2013-00</t>
  </si>
  <si>
    <t>COF-1763</t>
  </si>
  <si>
    <t>ROLLSPOYCE SILVER</t>
  </si>
  <si>
    <t>9003-2014-00</t>
  </si>
  <si>
    <t>COF-1765</t>
  </si>
  <si>
    <t>FORD TRACKTOR 6640 (F) W/VALVE</t>
  </si>
  <si>
    <t>9003-2014-01</t>
  </si>
  <si>
    <t>COF-1765/A</t>
  </si>
  <si>
    <t>FORD TRACKTOR 6640 (F)</t>
  </si>
  <si>
    <t>9002-1540-00</t>
  </si>
  <si>
    <t>COF-1766</t>
  </si>
  <si>
    <t>BUS TWO (RHD) O-RING</t>
  </si>
  <si>
    <t>9002-1541-00</t>
  </si>
  <si>
    <t>COF-1767</t>
  </si>
  <si>
    <t>BUS TWO (LHD) O-RING</t>
  </si>
  <si>
    <t>9034-0015-00</t>
  </si>
  <si>
    <t>COF-1772</t>
  </si>
  <si>
    <t>GT-20 (NEW) 2012</t>
  </si>
  <si>
    <t>9002-0516-00</t>
  </si>
  <si>
    <t>COF-1280</t>
  </si>
  <si>
    <t>F-KING LHD. FLARE (H &amp; C)</t>
  </si>
  <si>
    <t>9002-0515-00</t>
  </si>
  <si>
    <t>COF-1281</t>
  </si>
  <si>
    <t>9003-2015-00</t>
  </si>
  <si>
    <t>COF-1774</t>
  </si>
  <si>
    <t>LS 6413.07</t>
  </si>
  <si>
    <t>9003-2016-00</t>
  </si>
  <si>
    <t>COF-1775</t>
  </si>
  <si>
    <t>LS 6413.08</t>
  </si>
  <si>
    <t>9003-1954-01</t>
  </si>
  <si>
    <t>COF-1475/A</t>
  </si>
  <si>
    <t>TORO</t>
  </si>
  <si>
    <t>9029-0030-00</t>
  </si>
  <si>
    <t>COF-1785</t>
  </si>
  <si>
    <t>VAN FREEZER 28 12V.</t>
  </si>
  <si>
    <t>9029-0031-00</t>
  </si>
  <si>
    <t>COF-1789</t>
  </si>
  <si>
    <t>GT-2 '2013</t>
  </si>
  <si>
    <t>9003-2017-00</t>
  </si>
  <si>
    <t>COF-1779</t>
  </si>
  <si>
    <t>MIT DELICA '96 4WD (REAR)</t>
  </si>
  <si>
    <t>9029-0029-00</t>
  </si>
  <si>
    <t>COF-1784</t>
  </si>
  <si>
    <t>BUS 30 ที่นั่ง</t>
  </si>
  <si>
    <t>9003-2021-00</t>
  </si>
  <si>
    <t>COF-1787</t>
  </si>
  <si>
    <t>REVA '5</t>
  </si>
  <si>
    <t>9007-1169-00</t>
  </si>
  <si>
    <t>COF-815</t>
  </si>
  <si>
    <t>432 (RHD) FLARE COPPER</t>
  </si>
  <si>
    <t>9001-1232-00</t>
  </si>
  <si>
    <t>COF-1764</t>
  </si>
  <si>
    <t>MINI BUS (RHD) SEAL O-RING</t>
  </si>
  <si>
    <t>9003-2022-00</t>
  </si>
  <si>
    <t>COF-1791</t>
  </si>
  <si>
    <t>GT-2 OLD</t>
  </si>
  <si>
    <t>9001-1236-00</t>
  </si>
  <si>
    <t>COF-1793</t>
  </si>
  <si>
    <t>HIACE CHINA</t>
  </si>
  <si>
    <t>9003-2023-00</t>
  </si>
  <si>
    <t>COF-1795</t>
  </si>
  <si>
    <t>MAN L2000, M2000 '00-09</t>
  </si>
  <si>
    <t>9029-0032-00</t>
  </si>
  <si>
    <t>COF-1798</t>
  </si>
  <si>
    <t>TRACTOR JCB</t>
  </si>
  <si>
    <t>9003-1932-00</t>
  </si>
  <si>
    <t>COF-1314</t>
  </si>
  <si>
    <t>BUS ONE (LHD) 0-RING</t>
  </si>
  <si>
    <t>9003-2024-00</t>
  </si>
  <si>
    <t>COF-1799</t>
  </si>
  <si>
    <t>EXCAVATOR UNIVERSEL</t>
  </si>
  <si>
    <t>9003-2025-00</t>
  </si>
  <si>
    <t>COF-1800</t>
  </si>
  <si>
    <t>9003-2026-00</t>
  </si>
  <si>
    <t>COF-1801</t>
  </si>
  <si>
    <t>ISUZU HIGHLANDER (REAR)</t>
  </si>
  <si>
    <t>9003-2028-00</t>
  </si>
  <si>
    <t>COF-1803</t>
  </si>
  <si>
    <t xml:space="preserve">ROLLES ROYCE </t>
  </si>
  <si>
    <t>9029-0033-00</t>
  </si>
  <si>
    <t>COF-1804</t>
  </si>
  <si>
    <t>MODEL. D95254</t>
  </si>
  <si>
    <t>9029-0034-00</t>
  </si>
  <si>
    <t>COF-1809</t>
  </si>
  <si>
    <t>XCMG (LW280)</t>
  </si>
  <si>
    <t>9003-2033-00</t>
  </si>
  <si>
    <t>COF-1812</t>
  </si>
  <si>
    <t>SUPPER BUS (LHD.)</t>
  </si>
  <si>
    <t>9002-1543-00</t>
  </si>
  <si>
    <t>COF-1816</t>
  </si>
  <si>
    <t>283-CL4-0001 (ALU)</t>
  </si>
  <si>
    <t>9007-1005-00</t>
  </si>
  <si>
    <t>COF-788</t>
  </si>
  <si>
    <t>9004-0655-00</t>
  </si>
  <si>
    <t>COF-1819</t>
  </si>
  <si>
    <t>AT 6000 FLARE วาล์วในตู้</t>
  </si>
  <si>
    <t>9004-0656-00</t>
  </si>
  <si>
    <t>COF-1820</t>
  </si>
  <si>
    <t>AT 6000 FLARE วาล์วนอกตู้</t>
  </si>
  <si>
    <t>9003-1913-00</t>
  </si>
  <si>
    <t>FORMULA TURBO COOL RHD 134A</t>
  </si>
  <si>
    <t>9029-0006-00</t>
  </si>
  <si>
    <t>COF-1582</t>
  </si>
  <si>
    <t>GOOD TEMP 58 (RHD)</t>
  </si>
  <si>
    <t>9001-1238-00</t>
  </si>
  <si>
    <t>COF-1821</t>
  </si>
  <si>
    <t xml:space="preserve">MINING HEAT &amp; COOL  </t>
  </si>
  <si>
    <t>9003-2055-00</t>
  </si>
  <si>
    <t>COF-1878</t>
  </si>
  <si>
    <t>COIL BRA. NO.5</t>
  </si>
  <si>
    <t>9029-0055-00</t>
  </si>
  <si>
    <t>COF-1881</t>
  </si>
  <si>
    <t>COIL BRA. NO. 16</t>
  </si>
  <si>
    <t>COF-1814</t>
  </si>
  <si>
    <t xml:space="preserve">FOR  MINIGN </t>
  </si>
  <si>
    <t>9007-1217-00</t>
  </si>
  <si>
    <t>COF-1818</t>
  </si>
  <si>
    <t>JOB.111208</t>
  </si>
  <si>
    <t>9003-2032-00</t>
  </si>
  <si>
    <t>COF-1810</t>
  </si>
  <si>
    <t>LS.6413.09</t>
  </si>
  <si>
    <t>9003-1966-00</t>
  </si>
  <si>
    <t>COF-1541</t>
  </si>
  <si>
    <t>NISSAN RF (HITACHI)</t>
  </si>
  <si>
    <t>9002-1545-00</t>
  </si>
  <si>
    <t>COF-1830</t>
  </si>
  <si>
    <t>9003-2038-00</t>
  </si>
  <si>
    <t>COF-1826</t>
  </si>
  <si>
    <t>XCMG, NXG 55-56 2014</t>
  </si>
  <si>
    <t>9002-1544-00</t>
  </si>
  <si>
    <t>COF-1827</t>
  </si>
  <si>
    <t>432 (LHD) SEAL O-RING</t>
  </si>
  <si>
    <t>9003-1954-00</t>
  </si>
  <si>
    <t>COF-1475</t>
  </si>
  <si>
    <t>REVA-3</t>
  </si>
  <si>
    <t>9003-2039-00</t>
  </si>
  <si>
    <t>COF-1829</t>
  </si>
  <si>
    <t>NISSAN UD. (M)</t>
  </si>
  <si>
    <t>9001-1239-00</t>
  </si>
  <si>
    <t>COF-1832</t>
  </si>
  <si>
    <t>MINI-BUS (LHD) HEAT &amp; COOL</t>
  </si>
  <si>
    <t>9003-2040-00</t>
  </si>
  <si>
    <t>COF-1833</t>
  </si>
  <si>
    <t>NISSAN URVAN E25 (REAR)</t>
  </si>
  <si>
    <t>9007-1146-00</t>
  </si>
  <si>
    <t>COF-904</t>
  </si>
  <si>
    <t>BMW E-32,34 (RHD&amp;LHD)</t>
  </si>
  <si>
    <t>9029-0038-00</t>
  </si>
  <si>
    <t>COF-1835</t>
  </si>
  <si>
    <t>FREEZER GT-2</t>
  </si>
  <si>
    <t>9029-0039-00</t>
  </si>
  <si>
    <t>COF-1836</t>
  </si>
  <si>
    <t>FREEZER GT-5</t>
  </si>
  <si>
    <t>9029-0045-00</t>
  </si>
  <si>
    <t>COF-1842</t>
  </si>
  <si>
    <t>BUS III VALVE FLARE (RHD)</t>
  </si>
  <si>
    <t>9029-0046-00</t>
  </si>
  <si>
    <t>COF-1843</t>
  </si>
  <si>
    <t>BUS III VALVE FLARE (LHD)</t>
  </si>
  <si>
    <t>9003-2042-00</t>
  </si>
  <si>
    <t>COF-1844</t>
  </si>
  <si>
    <t>C.83.01.088.A</t>
  </si>
  <si>
    <t>9003-2044-00</t>
  </si>
  <si>
    <t>COF-1845</t>
  </si>
  <si>
    <t>C.83.01.081.B</t>
  </si>
  <si>
    <t>9003-2043-00</t>
  </si>
  <si>
    <t>COF-1846</t>
  </si>
  <si>
    <t>C.83.01.149.A</t>
  </si>
  <si>
    <t>9003-2045-00</t>
  </si>
  <si>
    <t>COF-1847</t>
  </si>
  <si>
    <t>C.83.01.104.A</t>
  </si>
  <si>
    <t>9003-2046-00</t>
  </si>
  <si>
    <t>COF-1848</t>
  </si>
  <si>
    <t>C.83.01.122.A</t>
  </si>
  <si>
    <t>9002-0506-00</t>
  </si>
  <si>
    <t>4-4 LHD.FLARE</t>
  </si>
  <si>
    <t>9029-0036-00</t>
  </si>
  <si>
    <t>COF-1825</t>
  </si>
  <si>
    <t>BUS 30 ที่นั่ง (LHD) W,VALVE,PIPE</t>
  </si>
  <si>
    <t>9029-0035-00</t>
  </si>
  <si>
    <t>COF-1824</t>
  </si>
  <si>
    <t>BUS 30 ที่นั่ง (RHD)</t>
  </si>
  <si>
    <t>9003-2036-00</t>
  </si>
  <si>
    <t>COF-1823</t>
  </si>
  <si>
    <t>XCMG ZL50G (COOL)</t>
  </si>
  <si>
    <t>HEAT EXCHANGER</t>
  </si>
  <si>
    <t>9029-0007-00</t>
  </si>
  <si>
    <t>COF-1583</t>
  </si>
  <si>
    <t>GOOD TEMP 58 (LHD)</t>
  </si>
  <si>
    <t>9003-2037-00</t>
  </si>
  <si>
    <t>COF-1822</t>
  </si>
  <si>
    <t>XCMG ZL50G '2014</t>
  </si>
  <si>
    <t>9003-2047-00</t>
  </si>
  <si>
    <t>COF-1849</t>
  </si>
  <si>
    <t>C.83.01.153.A</t>
  </si>
  <si>
    <t>9002-1547-00</t>
  </si>
  <si>
    <t>COF-1850</t>
  </si>
  <si>
    <t>4-4 (LHD) SEAL O-RING</t>
  </si>
  <si>
    <t>9029-0057-00</t>
  </si>
  <si>
    <t>COF-1877</t>
  </si>
  <si>
    <t>COIL BRA. NO.2</t>
  </si>
  <si>
    <t>9001-0307-00</t>
  </si>
  <si>
    <t>COF-1853</t>
  </si>
  <si>
    <t>MINI-BUS (RHD) BLOCK VALVE</t>
  </si>
  <si>
    <t>9003-2048-00</t>
  </si>
  <si>
    <t>COF-1854</t>
  </si>
  <si>
    <t>C.83.01.146.A</t>
  </si>
  <si>
    <t>9003-2049-00</t>
  </si>
  <si>
    <t>COF-1855</t>
  </si>
  <si>
    <t>KOMATSU</t>
  </si>
  <si>
    <t>9001-1240-00</t>
  </si>
  <si>
    <t>COF-1856</t>
  </si>
  <si>
    <t>323 (LHD) SEAL O-RING</t>
  </si>
  <si>
    <t>9001-1241-00</t>
  </si>
  <si>
    <t>COF-1857</t>
  </si>
  <si>
    <t>323 (RHD) SEAL O-RING</t>
  </si>
  <si>
    <t>9001-1242-00</t>
  </si>
  <si>
    <t>COF-1858</t>
  </si>
  <si>
    <t>323 (LHD) SEAL O-RING (หัวงอ 90)</t>
  </si>
  <si>
    <t>9034-0016-00</t>
  </si>
  <si>
    <t>COF-1861</t>
  </si>
  <si>
    <t>FOOD LAND FREEZER</t>
  </si>
  <si>
    <t>9034-0017-00</t>
  </si>
  <si>
    <t>COF-1862</t>
  </si>
  <si>
    <t>FOOD LAND CHILLED</t>
  </si>
  <si>
    <t>9003-2052-00</t>
  </si>
  <si>
    <t>COF-1863</t>
  </si>
  <si>
    <t>IMPERIAL</t>
  </si>
  <si>
    <t>9029-0056-00</t>
  </si>
  <si>
    <t>COF-1876</t>
  </si>
  <si>
    <t>COIL BRA. NO.1</t>
  </si>
  <si>
    <t>9002-1538-00</t>
  </si>
  <si>
    <t>COF-1758</t>
  </si>
  <si>
    <t>F.CONCORD T5 PANTHERS (LHD)</t>
  </si>
  <si>
    <t>9001-0109-00</t>
  </si>
  <si>
    <t>COF-1769</t>
  </si>
  <si>
    <t>323(RHD) SEAL O-RING หัวงอ 90 องศา</t>
  </si>
  <si>
    <t>9002-0118-00</t>
  </si>
  <si>
    <t>COF-1425</t>
  </si>
  <si>
    <t>MICRO BUS R134a (LHD)</t>
  </si>
  <si>
    <t>9003-1986-00</t>
  </si>
  <si>
    <t>COF-1623</t>
  </si>
  <si>
    <t>ISUZU KIKI SD (134A)</t>
  </si>
  <si>
    <t>9003-1931-00</t>
  </si>
  <si>
    <t>COF-1313</t>
  </si>
  <si>
    <t>BUS ONE (RHD) O-RING</t>
  </si>
  <si>
    <t>9003-0604-00</t>
  </si>
  <si>
    <t>FORMULA TURBO COOL</t>
  </si>
  <si>
    <t>9003-0603-00</t>
  </si>
  <si>
    <t xml:space="preserve">FORMULA TURBO COOL </t>
  </si>
  <si>
    <t>9003-1915-00</t>
  </si>
  <si>
    <t>FORMULA TURBO COOL 90 134A</t>
  </si>
  <si>
    <t>9003-0605-00</t>
  </si>
  <si>
    <t>9002-0308-00</t>
  </si>
  <si>
    <t>COF-1099</t>
  </si>
  <si>
    <t>FORMULA CONCORD (R-12)</t>
  </si>
  <si>
    <t>9029-0053-00</t>
  </si>
  <si>
    <t>OIL-001 คุณเบสให้เพิ่มอีก 40 บาท</t>
  </si>
  <si>
    <t>9003-2054-00</t>
  </si>
  <si>
    <t>COF-1880</t>
  </si>
  <si>
    <t>COIL BRA. NO.6</t>
  </si>
  <si>
    <t>9003-1916-00</t>
  </si>
  <si>
    <t>9007-1110-00</t>
  </si>
  <si>
    <t>COF-898</t>
  </si>
  <si>
    <t>FORMULA CONCORD (R-12) COPPER</t>
  </si>
  <si>
    <t>9003-2050-00</t>
  </si>
  <si>
    <t>COF-1859</t>
  </si>
  <si>
    <t>COIL F.BACKWALL COOL</t>
  </si>
  <si>
    <t>9003-2050-01</t>
  </si>
  <si>
    <t>COF-1859A</t>
  </si>
  <si>
    <t>COIL F.BACKWALL COOL W,VALVE</t>
  </si>
  <si>
    <t>9003-2051-00</t>
  </si>
  <si>
    <t>COF-1860</t>
  </si>
  <si>
    <t>COIL F.BACKWALL HEAT&amp;COOL</t>
  </si>
  <si>
    <t>9003-2051-01</t>
  </si>
  <si>
    <t>COF-1860A</t>
  </si>
  <si>
    <t>COIL F.BACKWALL HEAT&amp;COOL W,VALVE</t>
  </si>
  <si>
    <t>9029-0054-00</t>
  </si>
  <si>
    <t>COF-1871</t>
  </si>
  <si>
    <t>OIL-002 คุณเบสให้เพิ่มอีก 40 บาท</t>
  </si>
  <si>
    <t>9003-2053-00</t>
  </si>
  <si>
    <t>COF-1879</t>
  </si>
  <si>
    <t>COIL BRA. NO.4</t>
  </si>
  <si>
    <t>9007-1154-00</t>
  </si>
  <si>
    <t>COF-959</t>
  </si>
  <si>
    <t>FORMULA CONCORD (134A)</t>
  </si>
  <si>
    <t>9007-1153-00</t>
  </si>
  <si>
    <t>COF-958</t>
  </si>
  <si>
    <t>9003-2059-00</t>
  </si>
  <si>
    <t>COF-1885</t>
  </si>
  <si>
    <t>MODEL: D99871</t>
  </si>
  <si>
    <t>9007-1123-00</t>
  </si>
  <si>
    <t>COF-703</t>
  </si>
  <si>
    <t>BGT-70D(RHD) W/PIPE O-RING</t>
  </si>
  <si>
    <t>9034-0020-00</t>
  </si>
  <si>
    <t>COF-1891</t>
  </si>
  <si>
    <t xml:space="preserve">BRA.NO.16 (EX.COPPER) </t>
  </si>
  <si>
    <t>9029-0058-00</t>
  </si>
  <si>
    <t>COF-1892</t>
  </si>
  <si>
    <t>9007-0001-0V</t>
  </si>
  <si>
    <t>COF-1429</t>
  </si>
  <si>
    <t>TOYOTA COMMUTER STRA WAR R-12</t>
  </si>
  <si>
    <t>9003-2058-00</t>
  </si>
  <si>
    <t>COF-1884</t>
  </si>
  <si>
    <t>BUS III (LHD) ร้อน-เย็น</t>
  </si>
  <si>
    <t>9003-2057-00</t>
  </si>
  <si>
    <t>COF-1883</t>
  </si>
  <si>
    <t>BUS III (RHD) ร้อน-เย็น</t>
  </si>
  <si>
    <t>9007-1220-00</t>
  </si>
  <si>
    <t>COF-1890</t>
  </si>
  <si>
    <t>BRA.NO. 6 (COPPER)</t>
  </si>
  <si>
    <t>9007-1219-00</t>
  </si>
  <si>
    <t>COF-1889</t>
  </si>
  <si>
    <t>BRA.NO.5 (COPPER)</t>
  </si>
  <si>
    <t>9007-1218-00</t>
  </si>
  <si>
    <t>COF-1888</t>
  </si>
  <si>
    <t>BRA.NO.4 (COPPER)</t>
  </si>
  <si>
    <t>9034-0019-00</t>
  </si>
  <si>
    <t>COF-1887</t>
  </si>
  <si>
    <t>BRA.NO.2 (COPPER)</t>
  </si>
  <si>
    <t>9034-0018-00</t>
  </si>
  <si>
    <t>COF-1886</t>
  </si>
  <si>
    <t>BRA.NO.1 (COPPER)</t>
  </si>
  <si>
    <t>9002-0402-00</t>
  </si>
  <si>
    <t>3-3 (LHD) FLARE</t>
  </si>
  <si>
    <t>9002-0404-00</t>
  </si>
  <si>
    <t>3-3 (LHD) O-RING</t>
  </si>
  <si>
    <t>9003-2060-00</t>
  </si>
  <si>
    <t>COF-1893</t>
  </si>
  <si>
    <t>ARMORED CAR</t>
  </si>
  <si>
    <t>9003-1999-00</t>
  </si>
  <si>
    <t>COF-1686</t>
  </si>
  <si>
    <t>AMBULANCE (DWG:กำลังแก้ไข)</t>
  </si>
  <si>
    <t>9003-2061-00</t>
  </si>
  <si>
    <t>COF-1895</t>
  </si>
  <si>
    <t>MODEL:11 SO'</t>
  </si>
  <si>
    <t>9003-2061-01</t>
  </si>
  <si>
    <t>COF-1895A</t>
  </si>
  <si>
    <t>MODEL:11 SO' พร้อม valve</t>
  </si>
  <si>
    <t>9003-2063-00</t>
  </si>
  <si>
    <t>COF-1898</t>
  </si>
  <si>
    <t>F.BACKWALL 'SO'</t>
  </si>
  <si>
    <t>9029-0060-00</t>
  </si>
  <si>
    <t>COF-1900</t>
  </si>
  <si>
    <t>CRE-H</t>
  </si>
  <si>
    <t>9029-0061-00</t>
  </si>
  <si>
    <t>COF-1901</t>
  </si>
  <si>
    <t>CRE-1</t>
  </si>
  <si>
    <t>9003-2056-00</t>
  </si>
  <si>
    <t>COF-1882</t>
  </si>
  <si>
    <t>RT 4/ RH 9</t>
  </si>
  <si>
    <t>9002-1552-00</t>
  </si>
  <si>
    <t>COF-1896</t>
  </si>
  <si>
    <t>HONDA FREED (REAR)</t>
  </si>
  <si>
    <t>9003-2062-00</t>
  </si>
  <si>
    <t>COF-1897</t>
  </si>
  <si>
    <t>AT-2800FT AL</t>
  </si>
  <si>
    <t>9029-0066-00</t>
  </si>
  <si>
    <t>COF-1906</t>
  </si>
  <si>
    <t>GT-2  '2016</t>
  </si>
  <si>
    <t>9029-0059-00</t>
  </si>
  <si>
    <t>COF-1894</t>
  </si>
  <si>
    <t xml:space="preserve">GT-5  2016 </t>
  </si>
  <si>
    <t>9003-2064-00</t>
  </si>
  <si>
    <t>COF-1899</t>
  </si>
  <si>
    <t>ARMORED</t>
  </si>
  <si>
    <t>9003-2064-01</t>
  </si>
  <si>
    <t>COF-1899/A</t>
  </si>
  <si>
    <t>ARMORED. W,VALVE</t>
  </si>
  <si>
    <t>9002-1553-00</t>
  </si>
  <si>
    <t>COF-1904</t>
  </si>
  <si>
    <t>BUS THREE VALVE FLARE(RHD)ท่องอ</t>
  </si>
  <si>
    <t>9002-1554-00</t>
  </si>
  <si>
    <t>COF-1905</t>
  </si>
  <si>
    <t xml:space="preserve">BUS THREE VALVE FLARE(LHD)ท่องอ </t>
  </si>
  <si>
    <t>9030-0001-00</t>
  </si>
  <si>
    <t>HT-242</t>
  </si>
  <si>
    <t>9002-0525-00</t>
  </si>
  <si>
    <t>COF-1875</t>
  </si>
  <si>
    <t>4-4 LHD.(BV.) HEAT&amp;COOL</t>
  </si>
  <si>
    <t>9002-1550-00</t>
  </si>
  <si>
    <t>COF-1872</t>
  </si>
  <si>
    <t xml:space="preserve">F-KING LHD. (BV.) COOL </t>
  </si>
  <si>
    <t>9002-0524-00</t>
  </si>
  <si>
    <t>COF-1873</t>
  </si>
  <si>
    <t xml:space="preserve">F-KING LHD. (BV.)HEAT&amp;COOL </t>
  </si>
  <si>
    <t>9002-1551-00</t>
  </si>
  <si>
    <t>COF-1874</t>
  </si>
  <si>
    <t>4-4 LHD.(BV.) COOL</t>
  </si>
  <si>
    <t>9029-0067-00</t>
  </si>
  <si>
    <t>COF-1908</t>
  </si>
  <si>
    <t xml:space="preserve">GT-11 (2016) </t>
  </si>
  <si>
    <t>9029-0025-00</t>
  </si>
  <si>
    <t>COF-1752</t>
  </si>
  <si>
    <t xml:space="preserve">GT-11 (2012) </t>
  </si>
  <si>
    <t>9003-2065-00</t>
  </si>
  <si>
    <t>COF-1907</t>
  </si>
  <si>
    <t>FERRARI (F-360)</t>
  </si>
  <si>
    <t>9029-0062-00</t>
  </si>
  <si>
    <t>COF-1902</t>
  </si>
  <si>
    <t>COIL F/T รุ่น GOODTEMP 56 (NEW59) RHD</t>
  </si>
  <si>
    <t>9029-0063-00</t>
  </si>
  <si>
    <t>COF-1903</t>
  </si>
  <si>
    <t>COIL F/T รุ่น GOODTEMP 56 (NEW59) LHD</t>
  </si>
  <si>
    <t>9029-0068-00</t>
  </si>
  <si>
    <t>COF-1909</t>
  </si>
  <si>
    <t xml:space="preserve">COIL F/T รุ่น CR-2 </t>
  </si>
  <si>
    <t>9029-0069-00</t>
  </si>
  <si>
    <t>COF-1910</t>
  </si>
  <si>
    <t xml:space="preserve">COIL F/T รุ่น CR-2H </t>
  </si>
  <si>
    <t>9029-0051-00</t>
  </si>
  <si>
    <t>COF-1868</t>
  </si>
  <si>
    <t>COIL F/T รุ่น BUS 128 (RHD)</t>
  </si>
  <si>
    <t>9029-0052-00</t>
  </si>
  <si>
    <t>COF-1869</t>
  </si>
  <si>
    <t>COIL F/T รุ่น BUS 128 (LHD)</t>
  </si>
  <si>
    <t>9029-0049-00</t>
  </si>
  <si>
    <t>COF-1866</t>
  </si>
  <si>
    <t>COIL ALU. BUS 5-8 (RHD)</t>
  </si>
  <si>
    <t>9029-0050-00</t>
  </si>
  <si>
    <t>COF-1867</t>
  </si>
  <si>
    <t>COIL ALU. BUS 5-8 (LHD)</t>
  </si>
  <si>
    <t>9029-0071-00</t>
  </si>
  <si>
    <t>COF-1912</t>
  </si>
  <si>
    <t xml:space="preserve">COIL F/T รุ่น BUS NO.1 </t>
  </si>
  <si>
    <t>9003-2066-00</t>
  </si>
  <si>
    <t>COF-1913</t>
  </si>
  <si>
    <t>COLL ALU. F&amp;Tรุ่น MODEL:BO1182</t>
  </si>
  <si>
    <t>9029-0070-00</t>
  </si>
  <si>
    <t>COF-1911</t>
  </si>
  <si>
    <t xml:space="preserve">COIL F/T รุ่น BUS </t>
  </si>
  <si>
    <t>9003-2067-00</t>
  </si>
  <si>
    <t>COF-1914</t>
  </si>
  <si>
    <t>COIL F/T รุ่น BUS ONE (RHD) (6 แถว)</t>
  </si>
  <si>
    <t>9003-2068-00</t>
  </si>
  <si>
    <t>COF-1915</t>
  </si>
  <si>
    <t>COIL F/T รุ่น BUS ONE (LHD) (6 แถว)</t>
  </si>
  <si>
    <t>9002-1558-00</t>
  </si>
  <si>
    <t>COF-1921</t>
  </si>
  <si>
    <t>COIL F/T รุ่น F-STAR (LHD) SEAL O-RING</t>
  </si>
  <si>
    <t>9002-1557-00</t>
  </si>
  <si>
    <t>COF-1920</t>
  </si>
  <si>
    <t>COIL F/T รุ่น F-STAR (RHD) SEAL O-RING</t>
  </si>
  <si>
    <t>9002-1555-00</t>
  </si>
  <si>
    <t>COF-1918</t>
  </si>
  <si>
    <t>COIL F/T รุ่น F-KING (RHD) SEAL O-RING</t>
  </si>
  <si>
    <t>9002-1556-00</t>
  </si>
  <si>
    <t>COF-1919</t>
  </si>
  <si>
    <t>COIL F/T รุ่น F-KING (LHD) SEAL O-RING</t>
  </si>
  <si>
    <t>9003-2069-01</t>
  </si>
  <si>
    <t>COF-1916/A</t>
  </si>
  <si>
    <t>COIL FIRST WIN 5 DOOR</t>
  </si>
  <si>
    <t>9029-0072-00</t>
  </si>
  <si>
    <t>COF-1917</t>
  </si>
  <si>
    <t>FORD TRACTOR (7810-8210) โปรเจ็ค</t>
  </si>
  <si>
    <t>9002-0117-00</t>
  </si>
  <si>
    <t>COF-1346</t>
  </si>
  <si>
    <t>432 CALSONIC TRIM (SAV.) W/VALVE</t>
  </si>
  <si>
    <t>9002-0610-00</t>
  </si>
  <si>
    <t>COF-1926</t>
  </si>
  <si>
    <t>MICRO-BUS (RHD.)  7 เมตร</t>
  </si>
  <si>
    <t>9002-0611-00</t>
  </si>
  <si>
    <t>COF-1927</t>
  </si>
  <si>
    <t>MICRO-BUS (LHD.)  7 เมตร</t>
  </si>
  <si>
    <t>9002-1559-00</t>
  </si>
  <si>
    <t>COF-1923</t>
  </si>
  <si>
    <t>F.CONCORD(RHD) TOYOTA REVO</t>
  </si>
  <si>
    <t>9002-0111-00</t>
  </si>
  <si>
    <t>COF-1141</t>
  </si>
  <si>
    <t>4-4 RHD SEAL O-RING</t>
  </si>
  <si>
    <t>9002-1560-00</t>
  </si>
  <si>
    <t>COF-1928</t>
  </si>
  <si>
    <t>432 (RHD) O-RING (ท่องอ 45 องศา)</t>
  </si>
  <si>
    <t>9003-2070-00</t>
  </si>
  <si>
    <t>COF-1924</t>
  </si>
  <si>
    <t>B.R.A N03/2017</t>
  </si>
  <si>
    <t>9003-2071-00</t>
  </si>
  <si>
    <t>COF-1925</t>
  </si>
  <si>
    <t>B.R.A N02/2017</t>
  </si>
  <si>
    <t>9007-1221-00</t>
  </si>
  <si>
    <t>COF-1929</t>
  </si>
  <si>
    <t>B.R.A N03/2017 (COPPER)</t>
  </si>
  <si>
    <t>9002-1561-00</t>
  </si>
  <si>
    <t>COF-1930</t>
  </si>
  <si>
    <t>432 (RHD) O-RING (ท่องอ 90 องศา)</t>
  </si>
  <si>
    <t>9007-1222-00</t>
  </si>
  <si>
    <t>COF-1931</t>
  </si>
  <si>
    <t xml:space="preserve">B.R.A N02/2017 (COPPER) </t>
  </si>
  <si>
    <t>9029-0076-00</t>
  </si>
  <si>
    <t>COF-1933</t>
  </si>
  <si>
    <t xml:space="preserve">MINI-BUS FUJISAN </t>
  </si>
  <si>
    <t>9029-0077-00</t>
  </si>
  <si>
    <t>COF-1934</t>
  </si>
  <si>
    <t xml:space="preserve">COIL BUS.(แบบฝั่ง) </t>
  </si>
  <si>
    <t>9003-2072-00</t>
  </si>
  <si>
    <t>COF-1932</t>
  </si>
  <si>
    <t>COIL MICROBUS (REAR)</t>
  </si>
  <si>
    <t>9002-1562-00</t>
  </si>
  <si>
    <t>COF-1935</t>
  </si>
  <si>
    <t>COIL 4-4 (RHD) SEAL O-RING</t>
  </si>
  <si>
    <t>9002-1563-00</t>
  </si>
  <si>
    <t>COF-1936</t>
  </si>
  <si>
    <t>COIL 4-4 (LHD) SEAL O-RING</t>
  </si>
  <si>
    <t>9001-1233-00</t>
  </si>
  <si>
    <t>COF-1776</t>
  </si>
  <si>
    <t>COIL MINI BUS (LHD) SEAL O-RING</t>
  </si>
  <si>
    <t>9029-0079-00</t>
  </si>
  <si>
    <t>COF-1937</t>
  </si>
  <si>
    <t>9029-0078-00</t>
  </si>
  <si>
    <t>COF-1938</t>
  </si>
  <si>
    <t>COIL F/T รุ่น GOOD TEMP 58" (LHD)</t>
  </si>
  <si>
    <t>9002-1564-00</t>
  </si>
  <si>
    <t>COF-1939</t>
  </si>
  <si>
    <t>COIL F/T รุ่น MODEL B00160</t>
  </si>
  <si>
    <t>9002-1565-00</t>
  </si>
  <si>
    <t>COF-1940</t>
  </si>
  <si>
    <t>COIL F/T รุ่น FERRARI '348</t>
  </si>
  <si>
    <t>9002-0526-00</t>
  </si>
  <si>
    <t>COF-1942</t>
  </si>
  <si>
    <t>COIL F/T รุ่น F-STAR RHD O-RING(ร้อน-เย็น)</t>
  </si>
  <si>
    <t>9002-0527-00</t>
  </si>
  <si>
    <t>COF-1943</t>
  </si>
  <si>
    <t>COIL F/T รุ่น F-STAR RHD FLARE (ร้อน-เย็น)</t>
  </si>
  <si>
    <t>9002-0612-00</t>
  </si>
  <si>
    <t>COF-1944</t>
  </si>
  <si>
    <t>COIL F/T รุ่น MICRO-BUS (RHD.) TP</t>
  </si>
  <si>
    <t>9002-1548-00</t>
  </si>
  <si>
    <t>COF-1851</t>
  </si>
  <si>
    <t>COIL F/T รุ่น 432 RHD. SEAL O-RING</t>
  </si>
  <si>
    <t>COIL F/T รุ่น AIC ACTIVE INTER COOLER</t>
  </si>
  <si>
    <t>9002-0408-00</t>
  </si>
  <si>
    <t>COF-1167</t>
  </si>
  <si>
    <t>COIL F/T รุ่น 3-3 LHD. FLARE (H&amp;C)</t>
  </si>
  <si>
    <t>9002-1539-00</t>
  </si>
  <si>
    <t>COF-1759</t>
  </si>
  <si>
    <t>COIL F/T รุ่น MICRO-BUS (RHD) O-RING</t>
  </si>
  <si>
    <t>9003-2074-00</t>
  </si>
  <si>
    <t>COF-1946</t>
  </si>
  <si>
    <t>9002-1566-00</t>
  </si>
  <si>
    <t>COF-1945</t>
  </si>
  <si>
    <t>COIL F/T รุ่น TACTICAL ARMY VEHICLE</t>
  </si>
  <si>
    <t>9002-1542-00</t>
  </si>
  <si>
    <t>COF-1790</t>
  </si>
  <si>
    <t>COIL F/T รุ่น MICRO BUS (RHD) M22 SEAL O-RING</t>
  </si>
  <si>
    <t>9002-0405-00</t>
  </si>
  <si>
    <t>COF-1166</t>
  </si>
  <si>
    <t>COIL F/T รุ่น 3-3 LHD O-RING (ร้อน-เย็น)</t>
  </si>
  <si>
    <t>9002-0508-00</t>
  </si>
  <si>
    <t>COF-1164</t>
  </si>
  <si>
    <t>คอล์ย ร้อน-เย็น รุ่น 4-4 (RHD) FLARE</t>
  </si>
  <si>
    <t>9002-0513-00</t>
  </si>
  <si>
    <t>COF-1268</t>
  </si>
  <si>
    <t>COIL F.STAR LHD O-RING (H&amp;C)</t>
  </si>
  <si>
    <t>9003-2034-00</t>
  </si>
  <si>
    <t>COF-1813</t>
  </si>
  <si>
    <t>COIL SUPER BUS (RHD) O-RING</t>
  </si>
  <si>
    <t>9029-0080-00</t>
  </si>
  <si>
    <t>COF-1947</t>
  </si>
  <si>
    <t>COIL F/T รุ่น GT-25 '2017</t>
  </si>
  <si>
    <t>9003-2075-00</t>
  </si>
  <si>
    <t>COF-1953</t>
  </si>
  <si>
    <t>COIL F/T รุ่น F.BACK WALL SEAL O-RING H&amp;C</t>
  </si>
  <si>
    <t>9029-0085-00</t>
  </si>
  <si>
    <t>COF-1956</t>
  </si>
  <si>
    <t>COIL F/T รุ่น BUS STAFF/W,VALVE</t>
  </si>
  <si>
    <t>9029-0083-00</t>
  </si>
  <si>
    <t>COF-1954</t>
  </si>
  <si>
    <t>COIL F/T รุ่น BFS (RHD)</t>
  </si>
  <si>
    <t>9029-0084-00</t>
  </si>
  <si>
    <t>COF-1955</t>
  </si>
  <si>
    <t>COIL F/T รุ่น BFS (LHD)</t>
  </si>
  <si>
    <t>9003-2073-00</t>
  </si>
  <si>
    <t>COF-1941</t>
  </si>
  <si>
    <t>COIL  ALU. F&amp;T  BENZ SPRINTER AMBULANCE</t>
  </si>
  <si>
    <t>9029-0081-00</t>
  </si>
  <si>
    <t>COF-1948</t>
  </si>
  <si>
    <t>COIL GT-88 RHD.</t>
  </si>
  <si>
    <t>9029-0082-00</t>
  </si>
  <si>
    <t>COF-1949</t>
  </si>
  <si>
    <t>COIL GT-88 LHD.</t>
  </si>
  <si>
    <t>9029-0073-00</t>
  </si>
  <si>
    <t>COF-1922</t>
  </si>
  <si>
    <t>COIL GT-6</t>
  </si>
  <si>
    <t>9029-0094-00</t>
  </si>
  <si>
    <t>COF-1967</t>
  </si>
  <si>
    <t>COIL GT-20 OLD</t>
  </si>
  <si>
    <t>9029-0090-00</t>
  </si>
  <si>
    <t>COF-1959</t>
  </si>
  <si>
    <t>COIL PT-BRA N0.1</t>
  </si>
  <si>
    <t>9034-0021-00</t>
  </si>
  <si>
    <t>COF-1960</t>
  </si>
  <si>
    <t>COIL PT-BRA N0.1 (COPPER)</t>
  </si>
  <si>
    <t>9029-0091-00</t>
  </si>
  <si>
    <t>COF-1961</t>
  </si>
  <si>
    <t>COIL PT-BRA N0.2</t>
  </si>
  <si>
    <t>9034-0022-00</t>
  </si>
  <si>
    <t>COF-1962</t>
  </si>
  <si>
    <t>COIL PT-BRA N0.2 (COPPER)</t>
  </si>
  <si>
    <t>9029-0088-00</t>
  </si>
  <si>
    <t>COF-1963</t>
  </si>
  <si>
    <t>BUS 128 (RHD) '2017</t>
  </si>
  <si>
    <t>9029-0089-00</t>
  </si>
  <si>
    <t>COF-1964</t>
  </si>
  <si>
    <t>BUS 128 (LHD) '2017</t>
  </si>
  <si>
    <t>9029-0092-00</t>
  </si>
  <si>
    <t>COF-1965</t>
  </si>
  <si>
    <t>GOOD TEMP 59 (RHD)</t>
  </si>
  <si>
    <t>9029-0093-00</t>
  </si>
  <si>
    <t>COF-1966</t>
  </si>
  <si>
    <t>GOOD TEMP 59 (LHD)</t>
  </si>
  <si>
    <t>9029-0086-00</t>
  </si>
  <si>
    <t>COF-1957</t>
  </si>
  <si>
    <t>BFS (LHD)</t>
  </si>
  <si>
    <t>9029-0087-00</t>
  </si>
  <si>
    <t>COF-1958</t>
  </si>
  <si>
    <t>BFS (RHD)</t>
  </si>
  <si>
    <t>9002-1570-00</t>
  </si>
  <si>
    <t>COF-1970</t>
  </si>
  <si>
    <t>คอล์ยเย็นชนิดท่อ ALU.F&amp;T COOL DOT</t>
  </si>
  <si>
    <t>9029-0097-00</t>
  </si>
  <si>
    <t>COF-1971</t>
  </si>
  <si>
    <t>COIL F/T รุ่น  GT-5 (6 WAY)</t>
  </si>
  <si>
    <t>9002-1571-00</t>
  </si>
  <si>
    <t>COF-1972</t>
  </si>
  <si>
    <t>FORD NEW HOLLAND B90B</t>
  </si>
  <si>
    <t>9002-1572-00</t>
  </si>
  <si>
    <t>COF-1975</t>
  </si>
  <si>
    <t>BUS 12 เมตร (LHD)</t>
  </si>
  <si>
    <t>9002-1573-00</t>
  </si>
  <si>
    <t>COF-1976</t>
  </si>
  <si>
    <t>BUS 12 เมตร (RHD)</t>
  </si>
  <si>
    <t>9029-0095-00</t>
  </si>
  <si>
    <t>COF-1968</t>
  </si>
  <si>
    <t>9029-0096-00</t>
  </si>
  <si>
    <t>COF-1969</t>
  </si>
  <si>
    <t>9029-0098-00</t>
  </si>
  <si>
    <t>COF-1973</t>
  </si>
  <si>
    <t>CR-1 (134a)</t>
  </si>
  <si>
    <t>9029-0099-00</t>
  </si>
  <si>
    <t>COF-1974</t>
  </si>
  <si>
    <t>CR-2 (134a)</t>
  </si>
  <si>
    <t>9002-1574-00</t>
  </si>
  <si>
    <t>COF-1977</t>
  </si>
  <si>
    <t>GT-MICRO (RHD)</t>
  </si>
  <si>
    <t>9002-1575-00</t>
  </si>
  <si>
    <t>COF-1978</t>
  </si>
  <si>
    <t>GT-MICRO (LHD)</t>
  </si>
  <si>
    <t>9002-1576-00</t>
  </si>
  <si>
    <t>COF-1979</t>
  </si>
  <si>
    <t>GT-ONE (RHD)</t>
  </si>
  <si>
    <t>9002-1577-00</t>
  </si>
  <si>
    <t>COF-1980</t>
  </si>
  <si>
    <t>GT-ONE (LHD)</t>
  </si>
  <si>
    <t>9002-1578-00</t>
  </si>
  <si>
    <t>COF-1981</t>
  </si>
  <si>
    <t>GT-3 (LHD)</t>
  </si>
  <si>
    <t>9002-1579-00</t>
  </si>
  <si>
    <t>COF-1982</t>
  </si>
  <si>
    <t>GT-3 (RHD)</t>
  </si>
  <si>
    <t>9002-1580-00</t>
  </si>
  <si>
    <t>COF-1985</t>
  </si>
  <si>
    <t>GT-ONE (RHD) FLARE</t>
  </si>
  <si>
    <t>9002-1581-00</t>
  </si>
  <si>
    <t>COF-1986</t>
  </si>
  <si>
    <t>GT-ONE (LHD) FLARE</t>
  </si>
  <si>
    <t>9002-1582-00</t>
  </si>
  <si>
    <t>COF-1987</t>
  </si>
  <si>
    <t>GT-MICRO (RHD) FLARE</t>
  </si>
  <si>
    <t>9002-1583-00</t>
  </si>
  <si>
    <t>COF-1988</t>
  </si>
  <si>
    <t>GT-MICRO (LHD) FLARE</t>
  </si>
  <si>
    <t>9002-1584-00</t>
  </si>
  <si>
    <t>COF-1989</t>
  </si>
  <si>
    <t>GT-3 (LHD) FLARE</t>
  </si>
  <si>
    <t>9002-1585-00</t>
  </si>
  <si>
    <t>COF-1990</t>
  </si>
  <si>
    <t>GT-3 (RHD) FLARE</t>
  </si>
  <si>
    <t>9002-0608-00</t>
  </si>
  <si>
    <t>BUS,TOYOTA HIACE[O-RING]LHD.</t>
  </si>
  <si>
    <t>9007-1180-00</t>
  </si>
  <si>
    <t>COF-805</t>
  </si>
  <si>
    <t>MINIBUS (LHD) FLARE</t>
  </si>
  <si>
    <t>9007-1109-00</t>
  </si>
  <si>
    <t>COF-600</t>
  </si>
  <si>
    <t>ISUZU (SANDEN)</t>
  </si>
  <si>
    <t>9007-1143-00</t>
  </si>
  <si>
    <t>COF-799</t>
  </si>
  <si>
    <t>9007-1185-00</t>
  </si>
  <si>
    <t>COF-887</t>
  </si>
  <si>
    <t>9002-1588-00</t>
  </si>
  <si>
    <t>COF-1991</t>
  </si>
  <si>
    <t>KING POWER 3 (RHD.) 134a</t>
  </si>
  <si>
    <t>9002-1589-00</t>
  </si>
  <si>
    <t>COF-1993</t>
  </si>
  <si>
    <t>KING POWER 3 (LHD.)  134a</t>
  </si>
  <si>
    <t>9029-0100-00</t>
  </si>
  <si>
    <t>COF-1992</t>
  </si>
  <si>
    <t>CR-2 H  (4 FAN)</t>
  </si>
  <si>
    <t>9002-1567-00</t>
  </si>
  <si>
    <t>COF-1950</t>
  </si>
  <si>
    <t>9002-1568-00</t>
  </si>
  <si>
    <t>COF-1951</t>
  </si>
  <si>
    <t>MINI BUS (LHD)</t>
  </si>
  <si>
    <t>SUPPER BUS (RHD.)</t>
  </si>
  <si>
    <t>9002-1546-00</t>
  </si>
  <si>
    <t>COF-1831</t>
  </si>
  <si>
    <t xml:space="preserve">F.CONCORD RHD. T5 (M24) </t>
  </si>
  <si>
    <t>9002-1592-00</t>
  </si>
  <si>
    <t>COF-2007</t>
  </si>
  <si>
    <t xml:space="preserve">FERRARI  355 1996 YR </t>
  </si>
  <si>
    <t>9029-0106-00</t>
  </si>
  <si>
    <t>COF-2001</t>
  </si>
  <si>
    <t>WHEELCHAIRS (RHD)</t>
  </si>
  <si>
    <t>9029-0105-00</t>
  </si>
  <si>
    <t>COF-2000</t>
  </si>
  <si>
    <t>COIL F/T  WHEEL CHAIRS (LHD)</t>
  </si>
  <si>
    <t>9029-0111-00</t>
  </si>
  <si>
    <t>COF-2006</t>
  </si>
  <si>
    <t>CR-2 (2018)</t>
  </si>
  <si>
    <t>9003-2076-00</t>
  </si>
  <si>
    <t>COF-2009</t>
  </si>
  <si>
    <t>ติดตู้ CONTROL</t>
  </si>
  <si>
    <t>9029-0101-00</t>
  </si>
  <si>
    <t>COF-1994</t>
  </si>
  <si>
    <t>CR-2 H  (5 FAN)</t>
  </si>
  <si>
    <t>9029-0102-00</t>
  </si>
  <si>
    <t>COF-1995</t>
  </si>
  <si>
    <t>CR-2 H  (6 FAN)</t>
  </si>
  <si>
    <t>9002-1102-00</t>
  </si>
  <si>
    <t>BMW.E-30[316,318]</t>
  </si>
  <si>
    <t>9003-1985-00</t>
  </si>
  <si>
    <t>COF-1619</t>
  </si>
  <si>
    <t>COIL BUS III 104 (RHD)</t>
  </si>
  <si>
    <t>9003-1984-00</t>
  </si>
  <si>
    <t>COF-1618</t>
  </si>
  <si>
    <t>COIL BUS III 104 (LHD)</t>
  </si>
  <si>
    <t>9029-0107-00</t>
  </si>
  <si>
    <t>COF-2002</t>
  </si>
  <si>
    <t>COIL GT-5 (2018)</t>
  </si>
  <si>
    <t>9029-0108-00</t>
  </si>
  <si>
    <t>COF-2003</t>
  </si>
  <si>
    <t>COIL GT-2 (2018)</t>
  </si>
  <si>
    <t>9029-0109-00</t>
  </si>
  <si>
    <t>COF-2004</t>
  </si>
  <si>
    <t>COIL TOYOTA COASTER</t>
  </si>
  <si>
    <t>9003-2078-00</t>
  </si>
  <si>
    <t>COF-2012</t>
  </si>
  <si>
    <t>COIL SUPER BUS (RHD)</t>
  </si>
  <si>
    <t>9003-2077-00</t>
  </si>
  <si>
    <t>COF-2011</t>
  </si>
  <si>
    <t>COIL SUPER BUS (LHD)</t>
  </si>
  <si>
    <t>9003-2079-00</t>
  </si>
  <si>
    <t>COF-2013</t>
  </si>
  <si>
    <t>COIL BUS THREE HEAT&amp;COOL (LHD)</t>
  </si>
  <si>
    <t>9003-2080-00</t>
  </si>
  <si>
    <t>COF-2014</t>
  </si>
  <si>
    <t>COIL BUS THREE HEAT&amp;COOL (RHD)</t>
  </si>
  <si>
    <t>9001-1243-00</t>
  </si>
  <si>
    <t>COF-2015</t>
  </si>
  <si>
    <t>COIL HEAT EXCHANGER</t>
  </si>
  <si>
    <t>9029-0113-00</t>
  </si>
  <si>
    <t>COF-2017</t>
  </si>
  <si>
    <t>COIL CR-3</t>
  </si>
  <si>
    <t>9029-0114-00</t>
  </si>
  <si>
    <t>COF-2018</t>
  </si>
  <si>
    <t>COIL CR-3H</t>
  </si>
  <si>
    <t>9002-1594-00</t>
  </si>
  <si>
    <t>COF-2019</t>
  </si>
  <si>
    <t>COIL F-KING (LHD) 3/4xM.24</t>
  </si>
  <si>
    <t>9029-0104-00</t>
  </si>
  <si>
    <t>COF-1999</t>
  </si>
  <si>
    <t>COIL CRH-12-4</t>
  </si>
  <si>
    <t>9003-2081-00</t>
  </si>
  <si>
    <t>COF-2020</t>
  </si>
  <si>
    <t>COIL AMBULANCE (RHD)</t>
  </si>
  <si>
    <t>9003-2082-00</t>
  </si>
  <si>
    <t>COF-2021</t>
  </si>
  <si>
    <t>COIL AMBULANCE (LHD)</t>
  </si>
  <si>
    <t>9007-1147-00</t>
  </si>
  <si>
    <t>COF-205</t>
  </si>
  <si>
    <t>COIL BMW.E-30 (316-318)</t>
  </si>
  <si>
    <t>9003-2083-00</t>
  </si>
  <si>
    <t>COF-2022</t>
  </si>
  <si>
    <t>COIL BUS TWO (RHD) O-RING</t>
  </si>
  <si>
    <t>9003-2084-00</t>
  </si>
  <si>
    <t>COF-2023</t>
  </si>
  <si>
    <t>COIL BUS TWO (LHD) O-RING</t>
  </si>
  <si>
    <t>9002-1595-00</t>
  </si>
  <si>
    <t>COF-2026</t>
  </si>
  <si>
    <t>COIL TOYOTA AVANZE (REAR)</t>
  </si>
  <si>
    <t>9003-2085-00</t>
  </si>
  <si>
    <t>COF-2024</t>
  </si>
  <si>
    <t>COIL BUS 56 (RHD) (PHUP.)</t>
  </si>
  <si>
    <t>9003-2086-00</t>
  </si>
  <si>
    <t>COF-2025</t>
  </si>
  <si>
    <t>COIL BUS 56 (LHD) (PHUP.)</t>
  </si>
  <si>
    <t>9003-2087-00</t>
  </si>
  <si>
    <t>COF-2028</t>
  </si>
  <si>
    <t>FOR IVECO TRAKKER '2018 (LHD)</t>
  </si>
  <si>
    <t>9030-0002-00</t>
  </si>
  <si>
    <t>HT-066</t>
  </si>
  <si>
    <t>FTCC</t>
  </si>
  <si>
    <t>9007-1193-00</t>
  </si>
  <si>
    <t>COF-926</t>
  </si>
  <si>
    <t>VOLVO FH/FM (RHD&amp;LHD)</t>
  </si>
  <si>
    <t>9003-1923-00</t>
  </si>
  <si>
    <t>AUDI 80 R134a (RHD)</t>
  </si>
  <si>
    <t>9007-1160-00</t>
  </si>
  <si>
    <t>COF-978</t>
  </si>
  <si>
    <t>B.M.W E-36 (LHD&amp;RHD)</t>
  </si>
  <si>
    <t>9007-1159-00</t>
  </si>
  <si>
    <t>COF-979</t>
  </si>
  <si>
    <t>BENE-230 ROUND HEAD LIGHT RHD&amp;LHD</t>
  </si>
  <si>
    <t>9004-0630-00</t>
  </si>
  <si>
    <t>BMW.E-38 (LHD&amp;RHD)</t>
  </si>
  <si>
    <t>9007-1212-00</t>
  </si>
  <si>
    <t>COF-1727</t>
  </si>
  <si>
    <t>MINI BUS (RHD.) O-RING</t>
  </si>
  <si>
    <t>9002-1593-00</t>
  </si>
  <si>
    <t>COF-2010</t>
  </si>
  <si>
    <t xml:space="preserve">C.83.01.169. A  H/C </t>
  </si>
  <si>
    <t>9029-0116-00</t>
  </si>
  <si>
    <t>COF-2031</t>
  </si>
  <si>
    <t>BOBCAT SHUFFLE</t>
  </si>
  <si>
    <t>9003-2089-00</t>
  </si>
  <si>
    <t>COF-2032</t>
  </si>
  <si>
    <t>BLACK WALL SMALL NEW</t>
  </si>
  <si>
    <t>9002-1596-00</t>
  </si>
  <si>
    <t>COF-2027</t>
  </si>
  <si>
    <t>MITSUBISHI XPANDER (REAR)</t>
  </si>
  <si>
    <t>9001-0904-00</t>
  </si>
  <si>
    <t>VW. VENTO  (LHD)</t>
  </si>
  <si>
    <t>9003-2018-00</t>
  </si>
  <si>
    <t>COF-1780</t>
  </si>
  <si>
    <t>LS.6410.11 (LHD)</t>
  </si>
  <si>
    <t>9003-2019-00</t>
  </si>
  <si>
    <t>COF-1781</t>
  </si>
  <si>
    <t>LS.6410.12 (RHD)</t>
  </si>
  <si>
    <t>9002-1598-00</t>
  </si>
  <si>
    <t>COF-2035</t>
  </si>
  <si>
    <t>DERA (HRAT&amp;COOL)</t>
  </si>
  <si>
    <t>9029-0115-00</t>
  </si>
  <si>
    <t>COF-2029</t>
  </si>
  <si>
    <t>FOR GT-5 (2019)</t>
  </si>
  <si>
    <t>9002-1600-00</t>
  </si>
  <si>
    <t>COF-2039</t>
  </si>
  <si>
    <t>4x18x6.35</t>
  </si>
  <si>
    <t>9029-0117-00</t>
  </si>
  <si>
    <t>COF-2040</t>
  </si>
  <si>
    <t>FOR FORD TRACTOR (6640)'91-'98</t>
  </si>
  <si>
    <t>9002-0517-00</t>
  </si>
  <si>
    <t>FOR  F. KING RHD. FLARE</t>
  </si>
  <si>
    <t>9007-1200-00</t>
  </si>
  <si>
    <t>COF-1593</t>
  </si>
  <si>
    <t>FOR  F-KING LHD. FLARE (COPPER)</t>
  </si>
  <si>
    <t>9007-1199-00</t>
  </si>
  <si>
    <t>COF-1592</t>
  </si>
  <si>
    <t>FOR  F-KING RHD. FLARE(COPPER)</t>
  </si>
  <si>
    <t>9007-1195-00</t>
  </si>
  <si>
    <t>COF-1523</t>
  </si>
  <si>
    <t>F-KING LHD. O-RING (COPPER)</t>
  </si>
  <si>
    <t>9002-1597-00</t>
  </si>
  <si>
    <t>COF-2034</t>
  </si>
  <si>
    <t>F-KINO(LHD) O-RING VALVE 2 หาง</t>
  </si>
  <si>
    <t>9003-2094-00</t>
  </si>
  <si>
    <t>COF-2044</t>
  </si>
  <si>
    <t>FOR E047211</t>
  </si>
  <si>
    <t>9003-1927-00</t>
  </si>
  <si>
    <t>COF-1179</t>
  </si>
  <si>
    <t>CITROEN COMMERCIAL VAN (RHD)</t>
  </si>
  <si>
    <t>9003-2112-00</t>
  </si>
  <si>
    <t>COF-2068</t>
  </si>
  <si>
    <t>FOR 28301209000</t>
  </si>
  <si>
    <t>9003-2093-00</t>
  </si>
  <si>
    <t>COF-2041</t>
  </si>
  <si>
    <t>FOR  EV940173 C</t>
  </si>
  <si>
    <t>9003-1952-00</t>
  </si>
  <si>
    <t>COF-1467</t>
  </si>
  <si>
    <t>RAS COIL</t>
  </si>
  <si>
    <t>9007-1226-00</t>
  </si>
  <si>
    <t>COF-2079</t>
  </si>
  <si>
    <t>70-E2 (COPPER)</t>
  </si>
  <si>
    <t>9007-1227-00</t>
  </si>
  <si>
    <t>COF-2080</t>
  </si>
  <si>
    <t>70-E6 (COPPER)</t>
  </si>
  <si>
    <t>9007-1228-00</t>
  </si>
  <si>
    <t>COF-2081</t>
  </si>
  <si>
    <t>70-E7 HEAT&amp;COOL (COPPER)</t>
  </si>
  <si>
    <t>9007-1229-00</t>
  </si>
  <si>
    <t>COF-2082</t>
  </si>
  <si>
    <t>70-E8 HEAT&amp;COOL (COPPER)</t>
  </si>
  <si>
    <t>9007-1230-00</t>
  </si>
  <si>
    <t>COF-2083</t>
  </si>
  <si>
    <t>70-E9 HEAT&amp;COOL (COPPER)</t>
  </si>
  <si>
    <t>9007-1231-00</t>
  </si>
  <si>
    <t>COF-2084</t>
  </si>
  <si>
    <t>70-E12 HEAT&amp;COOL (COPPER)</t>
  </si>
  <si>
    <t>9003-2118-00</t>
  </si>
  <si>
    <t>COF-2085</t>
  </si>
  <si>
    <t>FOR TONLY TL855</t>
  </si>
  <si>
    <t>9029-0125-00</t>
  </si>
  <si>
    <t>COF-2086</t>
  </si>
  <si>
    <t>NISSAN URVAN (BV)(REAR)</t>
  </si>
  <si>
    <t>9029-0127-00</t>
  </si>
  <si>
    <t>COF-2088</t>
  </si>
  <si>
    <t>FOR CAT BOBCAT</t>
  </si>
  <si>
    <t>9007-1232-00</t>
  </si>
  <si>
    <t>COF-2089</t>
  </si>
  <si>
    <t>9029-0130-00</t>
  </si>
  <si>
    <t>COF-2093</t>
  </si>
  <si>
    <t>FOR CATERPILLAR</t>
  </si>
  <si>
    <t>9003-2002-00</t>
  </si>
  <si>
    <t>FOR BENZE-230 ROUND HEAD LIGHT RHD&amp;LHD</t>
  </si>
  <si>
    <t>FOR B.M.W. E-36 (LHD-RHD</t>
  </si>
  <si>
    <t>ราคาเก่า $30.00</t>
  </si>
  <si>
    <t>ราคาเก่า $26.55</t>
  </si>
  <si>
    <t>ราคาเก่า $37.00</t>
  </si>
  <si>
    <t>ราคาเก่า $27.30</t>
  </si>
  <si>
    <t>ISUZU (K.K) 134a (RHD) / TRITON</t>
  </si>
  <si>
    <t>MICRO-BUS (LHD) FLARE (ราคาประกอบตู้)</t>
  </si>
  <si>
    <t>ราคาเก่า $22.00</t>
  </si>
  <si>
    <t>ราคาเก่า $23.00</t>
  </si>
  <si>
    <t>ราคาเก่า $88.00</t>
  </si>
  <si>
    <t>ราคาเก่า $90.00</t>
  </si>
  <si>
    <t>ราคาเก่า $26.50</t>
  </si>
  <si>
    <t>ราคาเก่า $18.40</t>
  </si>
  <si>
    <t>ราคาเก่า$16.80</t>
  </si>
  <si>
    <t>ราคาเก่า $19.50</t>
  </si>
  <si>
    <t>ราคาเก่า$18.40</t>
  </si>
  <si>
    <t>EURO</t>
  </si>
  <si>
    <t>DESCRIPTION</t>
  </si>
  <si>
    <t>9700-0315-00</t>
  </si>
  <si>
    <t>FOR NISSAN NAVARA NP300 (LHD)</t>
  </si>
  <si>
    <t>PFE-387</t>
  </si>
  <si>
    <t>9700-0325-00</t>
  </si>
  <si>
    <t>FOR HONDA  CIVIC '2016  (LHD)</t>
  </si>
  <si>
    <t>COF-2055</t>
  </si>
  <si>
    <t>COF-2056</t>
  </si>
  <si>
    <t>COF-2059</t>
  </si>
  <si>
    <t>COF-2062</t>
  </si>
  <si>
    <t>9003-2102-00</t>
  </si>
  <si>
    <t>คอล์ยเย็นชนิดท่อ ALU.F&amp;T FOR 70-E4</t>
  </si>
  <si>
    <t>9003-2109-00</t>
  </si>
  <si>
    <t>คอล์ยเย็นชนิดท่อ ALU.F&amp;T FOR 70-E13</t>
  </si>
  <si>
    <t>9003-2103-00</t>
  </si>
  <si>
    <t>คอล์ยเย็นชนิดท่อ ALU.F&amp;T FOR 70-E6</t>
  </si>
  <si>
    <t>คอล์ยเย็นชนิดท่อ ALU.F&amp;T FOR 70-E9</t>
  </si>
  <si>
    <t>9003-2106-00</t>
  </si>
  <si>
    <t>COF-1631</t>
  </si>
  <si>
    <t>9003-1989-00</t>
  </si>
  <si>
    <t>ALU.F&amp;T FOR F-6100 พร้อมวาล์ว</t>
  </si>
  <si>
    <t>COF-2094</t>
  </si>
  <si>
    <t>9003-2120-00</t>
  </si>
  <si>
    <t>FOR KUBOTA (16-022)</t>
  </si>
  <si>
    <t>PFE-381</t>
  </si>
  <si>
    <t>CO-1829</t>
  </si>
  <si>
    <t>CO-1830</t>
  </si>
  <si>
    <t>9005-2202-00</t>
  </si>
  <si>
    <t>FOR HITACH 350, YANMAR</t>
  </si>
  <si>
    <t>9090-0118-00</t>
  </si>
  <si>
    <t>FOR HITACH</t>
  </si>
  <si>
    <t>CO-1718</t>
  </si>
  <si>
    <t>9005-2178-00</t>
  </si>
  <si>
    <t>คอล์ยเย็น 100mm. FOR NISSAN SAFARI LHD.</t>
  </si>
  <si>
    <t>PFE-393</t>
  </si>
  <si>
    <t>9700-0330-00</t>
  </si>
  <si>
    <t>FOR SUZUKI SWIFT '20 (RHD)</t>
  </si>
  <si>
    <t>9700-0320-00</t>
  </si>
  <si>
    <t>CoolDrive  $41.35</t>
  </si>
  <si>
    <t>9003-1601-00</t>
  </si>
  <si>
    <t>DWG NO</t>
  </si>
  <si>
    <t>PART NO</t>
  </si>
  <si>
    <t>COF-2099</t>
  </si>
  <si>
    <t>9003-2122-00</t>
  </si>
  <si>
    <t>คอล์ยเย็นชนิดท่อ ALU.F&amp;T FOR 70-JD55</t>
  </si>
  <si>
    <t>COF-2100</t>
  </si>
  <si>
    <t>9003-2123-00</t>
  </si>
  <si>
    <t>คอล์ยเย็นชนิดท่อ ALU.F&amp;T FOR 70-CL52</t>
  </si>
  <si>
    <t>COF-2101</t>
  </si>
  <si>
    <t>9003-2124-00</t>
  </si>
  <si>
    <t>คอล์ยเย็นชนิดท่อ ALU.F&amp;T FOR 70-VA96</t>
  </si>
  <si>
    <t>PFE-396</t>
  </si>
  <si>
    <t>PFE-397</t>
  </si>
  <si>
    <t>PFE-398</t>
  </si>
  <si>
    <t>PFE-399</t>
  </si>
  <si>
    <t>9700-0332-00</t>
  </si>
  <si>
    <t>9700-0333-00</t>
  </si>
  <si>
    <t>9701-0065-00</t>
  </si>
  <si>
    <t>FOR CASE 321F</t>
  </si>
  <si>
    <t>9700-0334-00</t>
  </si>
  <si>
    <t>COOLDRIVE 31.42</t>
  </si>
  <si>
    <t>10-018</t>
  </si>
  <si>
    <t>FOR BENZ C300'2015 (LHD)</t>
  </si>
  <si>
    <t>FOR HONDA CR-V' 2014(LHD)</t>
  </si>
  <si>
    <t xml:space="preserve">FOR NEW HOLLAND </t>
  </si>
  <si>
    <t>010444</t>
  </si>
  <si>
    <t>TOYOTA VIOS' 2003 (RHD)</t>
  </si>
  <si>
    <t>TOYOTA VIOS'2003 (LHD)</t>
  </si>
  <si>
    <t>FORD RANGER'98- '03 (RHD)</t>
  </si>
  <si>
    <t>FORD RANGER '98-'03 (LHD)</t>
  </si>
  <si>
    <t>MAZDA 2 SKYACTIV '2015 / CX3 (RHD)</t>
  </si>
  <si>
    <t>MAZDA '3 RHD &amp; LHD '2004</t>
  </si>
  <si>
    <t>TOYOTA YARIS / VIOS'2006/ SIENTA'2015 (RHD/LHD)</t>
  </si>
  <si>
    <t>TOYOTA VIOS 2013 / YARIS'2013 (RHD/ LHD)</t>
  </si>
  <si>
    <t>FORD EVEREST REAR (RHD/LHD)</t>
  </si>
  <si>
    <t>FORD EVEREST '2005 (RHD)</t>
  </si>
  <si>
    <t>FORD EVEREST '2006 (LHD)</t>
  </si>
  <si>
    <t>FORD RANGER  '2011(RHD/ LHD) / MAZDA BT-50 (RHD/ LHD)</t>
  </si>
  <si>
    <t>TOYOTA REVO  '2015 (RHD/LHD) / FORTUNER'2015  (RHD/LHD)</t>
  </si>
  <si>
    <t>MAZDA 2 (RHD/LHD)</t>
  </si>
  <si>
    <t>TOYOTA ALTIS'2019 / HIACE'2019/ CH-R</t>
  </si>
  <si>
    <t>TOYOTA CAMRY'96</t>
  </si>
  <si>
    <t>TOYOTA CAMRY'2019 / ALPHARD'19/ HONDA CR-V'2020</t>
  </si>
  <si>
    <t>CO-1703</t>
  </si>
  <si>
    <t>9006-0839-00</t>
  </si>
  <si>
    <t>คอล์ยเย็น 85mm. FOR  FUSO R-12 LHD.</t>
  </si>
  <si>
    <t>100 PCS</t>
  </si>
  <si>
    <t>BIG</t>
  </si>
  <si>
    <t>SMALL</t>
  </si>
  <si>
    <t>500 PCS</t>
  </si>
  <si>
    <t>1,000 PCS</t>
  </si>
  <si>
    <t>COST</t>
  </si>
  <si>
    <t>PFE-400</t>
  </si>
  <si>
    <t>PFE-401</t>
  </si>
  <si>
    <t>PFE-402</t>
  </si>
  <si>
    <t>9700-0335-00</t>
  </si>
  <si>
    <t>FOR DOKKER VAN (LHD)</t>
  </si>
  <si>
    <t>9700-0336-00</t>
  </si>
  <si>
    <t>FOR SYMBOL (LHD)</t>
  </si>
  <si>
    <t>9700-0337-00</t>
  </si>
  <si>
    <t>FOR HITACHI ZAXIS 48U</t>
  </si>
  <si>
    <t>FOR MG GS 2017 (RHD)</t>
  </si>
  <si>
    <t>PFE-388</t>
  </si>
  <si>
    <t>9701-0063-00</t>
  </si>
  <si>
    <t>FOR DODGE DURANGO'14-'21 (LHD)</t>
  </si>
  <si>
    <t>PFE-389</t>
  </si>
  <si>
    <t>PFE-390</t>
  </si>
  <si>
    <t>PFE-391</t>
  </si>
  <si>
    <t>PFE-392</t>
  </si>
  <si>
    <t>PFE-394</t>
  </si>
  <si>
    <t>PFE-395</t>
  </si>
  <si>
    <t>9700-0326-00</t>
  </si>
  <si>
    <t>FOR DOOSAN LOADER  '2017'</t>
  </si>
  <si>
    <t>9700-0327-00</t>
  </si>
  <si>
    <t>FOR HYUNDAI LOADER HL '2020'</t>
  </si>
  <si>
    <t>9700-0328-00</t>
  </si>
  <si>
    <t>FOR VOLVO DADER '2015' (14x25)</t>
  </si>
  <si>
    <t>FOR VOLVO XC60 D4 (RHD)</t>
  </si>
  <si>
    <t>9701-0064-00</t>
  </si>
  <si>
    <t>9700-0331-00</t>
  </si>
  <si>
    <t>FOR KOBELCO SK60C</t>
  </si>
  <si>
    <t>9700-0329-00</t>
  </si>
  <si>
    <t>FOR SUBARU XV '18 (RHD)</t>
  </si>
  <si>
    <t>TOYOTA VIGO/ ALTIS'08 / INNOVA/ FORTUNER / HIACE COMMUTER / PRIUS(LHD/RHD)</t>
  </si>
  <si>
    <t>LM-808</t>
  </si>
  <si>
    <t>9300-0177-00</t>
  </si>
  <si>
    <t>LONGKING CDM835H</t>
  </si>
  <si>
    <t>MIT. MIRAGE'01  (LHD)</t>
  </si>
  <si>
    <t>ขาย SUCCESS $23.62</t>
  </si>
  <si>
    <t>9091-0113-00</t>
  </si>
  <si>
    <t>HT-079</t>
  </si>
  <si>
    <t>คอล์ย  HEATER ชนิดท่อทองแดง FOR HEATER DERA  (โครงเหล็ก) สีดำ</t>
  </si>
  <si>
    <t>คอล์ย  HEATER ชนิดท่อทองแดง FOR HEATER DERA  (โครงเหล็ก) สีบรอน</t>
  </si>
  <si>
    <t>คอล์ย  HEATER ชนิดท่อทองแดง FOR HEATER DERA  (โครงอลูมิเนียม)</t>
  </si>
  <si>
    <t>PFE-382</t>
  </si>
  <si>
    <t>9700-0321-00</t>
  </si>
  <si>
    <t>FOR MAZDA MX-5 2.0L 2016 (LHD.)</t>
  </si>
  <si>
    <t>LM-809</t>
  </si>
  <si>
    <t>9058-0145-00</t>
  </si>
  <si>
    <t>COF-2058</t>
  </si>
  <si>
    <t>9003-2105-00</t>
  </si>
  <si>
    <t>คอล์ยเย็นชนิดท่อ ALU.F&amp;T FOR 70-E8 (HEAT-COOL)</t>
  </si>
  <si>
    <t>LM-789</t>
  </si>
  <si>
    <t>9300-0166-00</t>
  </si>
  <si>
    <t>FOR 70-E15</t>
  </si>
  <si>
    <t>LM-801</t>
  </si>
  <si>
    <t>9300-0173-00</t>
  </si>
  <si>
    <t>F</t>
  </si>
  <si>
    <t>LM-810</t>
  </si>
  <si>
    <t>9400-0071-00</t>
  </si>
  <si>
    <t xml:space="preserve">FOR CHEVROLET CAPTIVA '2016 </t>
  </si>
  <si>
    <t>COIL F/T FOR GT-2 '2016 W/VALVE, PIPE</t>
  </si>
  <si>
    <t>COF-1906/A</t>
  </si>
  <si>
    <t>9029-0066-01</t>
  </si>
  <si>
    <t xml:space="preserve">COIL F/T FOR GT-2 '2016 </t>
  </si>
  <si>
    <t>LM-811</t>
  </si>
  <si>
    <t>9300-0178-00</t>
  </si>
  <si>
    <t>COIL LAMINATED FOR 427728</t>
  </si>
  <si>
    <t>PFE-404</t>
  </si>
  <si>
    <t>PFE-405</t>
  </si>
  <si>
    <t>9700-0339-00</t>
  </si>
  <si>
    <t>9700-0340-00</t>
  </si>
  <si>
    <t>FOR IVECO '2014' (LHD)</t>
  </si>
  <si>
    <t>FOR RENAULT CELLA '2014'(LHD)</t>
  </si>
  <si>
    <t>ขาย ALRAS $23.50</t>
  </si>
  <si>
    <t>ALRAS, ASHTAR $23.50</t>
  </si>
  <si>
    <t>PFE-383</t>
  </si>
  <si>
    <t>9700-0322-00</t>
  </si>
  <si>
    <t>FOR HONDA CIVIC'12 UH1.8 (LHD)</t>
  </si>
  <si>
    <t>PFE-384</t>
  </si>
  <si>
    <t>9700-0323-00</t>
  </si>
  <si>
    <t>FOR PEUGEOT 308 SW'15 (LHD)</t>
  </si>
  <si>
    <t>PFE-385</t>
  </si>
  <si>
    <t>9700-0324-00</t>
  </si>
  <si>
    <t>FOR SKODA CITIGO 2011 (LHD)</t>
  </si>
  <si>
    <t>MAZDA 3 2015 SKYACTIV</t>
  </si>
  <si>
    <t>COF-2108</t>
  </si>
  <si>
    <t>9002-1602-00</t>
  </si>
  <si>
    <t>คอล์ยเย็นชนิดท่อ  ALU.F&amp;T FOR  F.CONCORD (RHD) R134a</t>
  </si>
  <si>
    <t>COF-2109</t>
  </si>
  <si>
    <t>9003-2130-00</t>
  </si>
  <si>
    <t>คอล์ยเย็นชนิดท่อ  ALU.F&amp;T FOR  FOMULA CONCORD (RHD) (134a)</t>
  </si>
  <si>
    <t>CO-1803</t>
  </si>
  <si>
    <t>9005-2191-00</t>
  </si>
  <si>
    <t>COF-2104</t>
  </si>
  <si>
    <t>COF-2105</t>
  </si>
  <si>
    <t>COF-2106</t>
  </si>
  <si>
    <t>9003-2126-00</t>
  </si>
  <si>
    <t>9003-2127-00</t>
  </si>
  <si>
    <t>9003-2128-00</t>
  </si>
  <si>
    <t>คอล์ยเย็นชนิดท่อ  ALU.F&amp;T FOR 70-CL52917</t>
  </si>
  <si>
    <t>คอล์ยเย็นชนิดท่อ  ALU.F&amp;T FOR 70-CS52233</t>
  </si>
  <si>
    <t>คอล์ยเย็น F&amp;T ชนิดท่อ HEAT-COOL FOR 70-NH52241/ALU</t>
  </si>
  <si>
    <t>PFE-406</t>
  </si>
  <si>
    <t>9700-0341-00</t>
  </si>
  <si>
    <t>FOR NISSAN SENTRA '2014 LHD</t>
  </si>
  <si>
    <t>LM-798</t>
  </si>
  <si>
    <t>9300-0171-00</t>
  </si>
  <si>
    <t>SANY (REAR)</t>
  </si>
  <si>
    <t>LM-802</t>
  </si>
  <si>
    <t>LM-803</t>
  </si>
  <si>
    <t>LM-804</t>
  </si>
  <si>
    <t>LM-805</t>
  </si>
  <si>
    <t>LM-806</t>
  </si>
  <si>
    <t>LM-807</t>
  </si>
  <si>
    <t>9200-0350-00</t>
  </si>
  <si>
    <t>NISSAN UD 10.5T LHD (M24)</t>
  </si>
  <si>
    <t>9300-0174-00</t>
  </si>
  <si>
    <t>BENZ SPRINTER  RHD</t>
  </si>
  <si>
    <t>9058-0143-00</t>
  </si>
  <si>
    <t>MG6 RHD 2016</t>
  </si>
  <si>
    <t>9300-0175-00</t>
  </si>
  <si>
    <t>ZOOM LION QY30</t>
  </si>
  <si>
    <t>9058-0144-00</t>
  </si>
  <si>
    <t>BENZ W164 (LHD) 2006</t>
  </si>
  <si>
    <t>9300-0176-00</t>
  </si>
  <si>
    <t>HONDA INTEGRA DCS 2002 (RHD)</t>
  </si>
  <si>
    <t xml:space="preserve">HYUNDAI ATOZ 134a (LHD) </t>
  </si>
  <si>
    <t>00498</t>
  </si>
  <si>
    <t>COF-0008</t>
  </si>
  <si>
    <t>COF-0034</t>
  </si>
  <si>
    <t>COF-0089</t>
  </si>
  <si>
    <t>COF-0108</t>
  </si>
  <si>
    <t>COF-0109</t>
  </si>
  <si>
    <t>COF-0110</t>
  </si>
  <si>
    <t>COF-0122</t>
  </si>
  <si>
    <t>COF-0129</t>
  </si>
  <si>
    <t>COF-0138</t>
  </si>
  <si>
    <t>COF-0141</t>
  </si>
  <si>
    <t>COF-0141/BV</t>
  </si>
  <si>
    <t>COF-0147</t>
  </si>
  <si>
    <t>COF-0148</t>
  </si>
  <si>
    <t>COF-0150</t>
  </si>
  <si>
    <t>COF-0151</t>
  </si>
  <si>
    <t>COF-0152</t>
  </si>
  <si>
    <t>COF-0155</t>
  </si>
  <si>
    <t>COF-0154/A</t>
  </si>
  <si>
    <t>COF-0156</t>
  </si>
  <si>
    <t>COF-0160</t>
  </si>
  <si>
    <t>COF-0161</t>
  </si>
  <si>
    <t>COF-0177</t>
  </si>
  <si>
    <t>COF-0179</t>
  </si>
  <si>
    <t>COF-0180</t>
  </si>
  <si>
    <t>COF-0181</t>
  </si>
  <si>
    <t>COF-0182</t>
  </si>
  <si>
    <t>COF-0187</t>
  </si>
  <si>
    <t>COF-0188</t>
  </si>
  <si>
    <t>COF-0189</t>
  </si>
  <si>
    <t>COF-0197</t>
  </si>
  <si>
    <t>COF-0207</t>
  </si>
  <si>
    <t>COF-0208</t>
  </si>
  <si>
    <t>COF-0229</t>
  </si>
  <si>
    <t>COF-0230</t>
  </si>
  <si>
    <t>COF-0236</t>
  </si>
  <si>
    <t>COF-0243</t>
  </si>
  <si>
    <t>COF-0247</t>
  </si>
  <si>
    <t>COF-0249</t>
  </si>
  <si>
    <t>COF-0252</t>
  </si>
  <si>
    <t>COF-0257</t>
  </si>
  <si>
    <t>COF-0261</t>
  </si>
  <si>
    <t>COF-0276</t>
  </si>
  <si>
    <t>COF-0297</t>
  </si>
  <si>
    <t>COF-0300</t>
  </si>
  <si>
    <t>COF-0306</t>
  </si>
  <si>
    <t>COF-0318</t>
  </si>
  <si>
    <t>COF-0320</t>
  </si>
  <si>
    <t>COF-0327</t>
  </si>
  <si>
    <t>COF-0342</t>
  </si>
  <si>
    <t>COF-0344</t>
  </si>
  <si>
    <t>COF-0345</t>
  </si>
  <si>
    <t>COF-0358</t>
  </si>
  <si>
    <t>COF-0383</t>
  </si>
  <si>
    <t>COF-0403</t>
  </si>
  <si>
    <t>COF-0405</t>
  </si>
  <si>
    <t>COF-0406</t>
  </si>
  <si>
    <t>COF-0407</t>
  </si>
  <si>
    <t>COF-0408</t>
  </si>
  <si>
    <t>COF-0409</t>
  </si>
  <si>
    <t>COF-0438</t>
  </si>
  <si>
    <t>COF-0440</t>
  </si>
  <si>
    <t>COF-0450</t>
  </si>
  <si>
    <t>COF-0455</t>
  </si>
  <si>
    <t>COF-0464</t>
  </si>
  <si>
    <t>COF-0465</t>
  </si>
  <si>
    <t>COF-0417</t>
  </si>
  <si>
    <t>COF-0417BV</t>
  </si>
  <si>
    <t>COF-0471</t>
  </si>
  <si>
    <t xml:space="preserve">COF-0486 </t>
  </si>
  <si>
    <t>COF-0487</t>
  </si>
  <si>
    <t>COF-0497</t>
  </si>
  <si>
    <t>COF-0514</t>
  </si>
  <si>
    <t>COF-0518</t>
  </si>
  <si>
    <t>COF-0529</t>
  </si>
  <si>
    <t>COF-0530</t>
  </si>
  <si>
    <t>COF-0544</t>
  </si>
  <si>
    <t>COF-0552</t>
  </si>
  <si>
    <t>COF-0556</t>
  </si>
  <si>
    <t>COF-0562</t>
  </si>
  <si>
    <t>COF-0569</t>
  </si>
  <si>
    <t>COF-0570</t>
  </si>
  <si>
    <t>COF-0587</t>
  </si>
  <si>
    <t xml:space="preserve">COF-0589 </t>
  </si>
  <si>
    <t>COF-0590</t>
  </si>
  <si>
    <t>COF-0598</t>
  </si>
  <si>
    <t>COF-0601</t>
  </si>
  <si>
    <t>COF-0610</t>
  </si>
  <si>
    <t>COF-0612</t>
  </si>
  <si>
    <t>COF-0614</t>
  </si>
  <si>
    <t>COF-0615</t>
  </si>
  <si>
    <t>COF-0619</t>
  </si>
  <si>
    <t>COF-0630</t>
  </si>
  <si>
    <t>COF-0631</t>
  </si>
  <si>
    <t>COF0-642</t>
  </si>
  <si>
    <t>COF-0646</t>
  </si>
  <si>
    <t>COF-0656</t>
  </si>
  <si>
    <t>COF-0665</t>
  </si>
  <si>
    <t>COF-0677</t>
  </si>
  <si>
    <t>COF-0684</t>
  </si>
  <si>
    <t>COF-0695</t>
  </si>
  <si>
    <t>COF-0699</t>
  </si>
  <si>
    <t>COF-0700</t>
  </si>
  <si>
    <t>COF-0735</t>
  </si>
  <si>
    <t>COF-0736</t>
  </si>
  <si>
    <t>COF-0737</t>
  </si>
  <si>
    <t>COF-0738</t>
  </si>
  <si>
    <t>COF-0766</t>
  </si>
  <si>
    <t>COF-0767</t>
  </si>
  <si>
    <t>COF-0768</t>
  </si>
  <si>
    <t>COF-0769</t>
  </si>
  <si>
    <t>COF-0774</t>
  </si>
  <si>
    <t>COF-0775</t>
  </si>
  <si>
    <t>COF-0996</t>
  </si>
  <si>
    <t>COF-0979</t>
  </si>
  <si>
    <t>COF-0976</t>
  </si>
  <si>
    <t>COF-0973</t>
  </si>
  <si>
    <t>COF-0949</t>
  </si>
  <si>
    <t>COF-0932</t>
  </si>
  <si>
    <t>COF-0929</t>
  </si>
  <si>
    <t>COF-0903</t>
  </si>
  <si>
    <t>COF-0901</t>
  </si>
  <si>
    <t>COF-0899</t>
  </si>
  <si>
    <t>COF-0883</t>
  </si>
  <si>
    <t>COF-0834</t>
  </si>
  <si>
    <t>COF-0824</t>
  </si>
  <si>
    <t>COF-0814</t>
  </si>
  <si>
    <t>COF-0778</t>
  </si>
  <si>
    <t>COF-0783</t>
  </si>
  <si>
    <t>COF-0820</t>
  </si>
  <si>
    <t>COF-0827</t>
  </si>
  <si>
    <t>COF-0877</t>
  </si>
  <si>
    <t>COF-0896</t>
  </si>
  <si>
    <t>COF-0900</t>
  </si>
  <si>
    <t>COF-0902</t>
  </si>
  <si>
    <t>COF-0927</t>
  </si>
  <si>
    <t>COF-0930</t>
  </si>
  <si>
    <t>COF-0940</t>
  </si>
  <si>
    <t>COF-0972</t>
  </si>
  <si>
    <t>COF-0974</t>
  </si>
  <si>
    <t>COF-0978</t>
  </si>
  <si>
    <t>COF-0994</t>
  </si>
  <si>
    <t>PFE-407</t>
  </si>
  <si>
    <t>9700-0342-00</t>
  </si>
  <si>
    <t>FOR KIA.PICANTO '2011 (RHD)</t>
  </si>
  <si>
    <t>LM-812</t>
  </si>
  <si>
    <t>9058-0146-00</t>
  </si>
  <si>
    <t>PFE-408</t>
  </si>
  <si>
    <t>9701-0066-00</t>
  </si>
  <si>
    <t>COF-2110</t>
  </si>
  <si>
    <t>9002-1603-00</t>
  </si>
  <si>
    <t>คอล์ยเย็นชนิดท่อ  ALU.F&amp;T FOR  F.KING  (RHD)  FLARE (NAGOYA)</t>
  </si>
  <si>
    <t>FOR COIL  FOR MG.EP (RHD)</t>
  </si>
  <si>
    <t>CO-502/A</t>
  </si>
  <si>
    <t>9006-0848-00</t>
  </si>
  <si>
    <t>คอล์ยเย็น 85mm. FOR TOYOTA HIL UX RHD.R134a W/VALE (FIN22mm.)</t>
  </si>
  <si>
    <t>LM-746</t>
  </si>
  <si>
    <t>9200-0338-00</t>
  </si>
  <si>
    <t>LM-813</t>
  </si>
  <si>
    <t>9300-0179-00</t>
  </si>
  <si>
    <t>COIL LAMINATED FOR CATERPILL AR E306</t>
  </si>
  <si>
    <t>COIL LAMINATED FOR CATERPILL  308B</t>
  </si>
  <si>
    <t>PFE-409</t>
  </si>
  <si>
    <t>9700-0343-00</t>
  </si>
  <si>
    <t>FOR HYUNDAI TULSON '2016 (LHD)</t>
  </si>
  <si>
    <t>FOR ISUZU TRUCK LHD</t>
  </si>
  <si>
    <t>HONDA ACCORD'90-92 R12 LHD ไม่ผลิต ใช้LM-704</t>
  </si>
  <si>
    <t>LM-704</t>
  </si>
  <si>
    <t>9200-0320-00</t>
  </si>
  <si>
    <t>FOR HONDA ACCORD '90-92 R12 LHD</t>
  </si>
  <si>
    <r>
      <t xml:space="preserve">MIT.CANTER 134a RHD.  </t>
    </r>
    <r>
      <rPr>
        <b/>
        <sz val="16"/>
        <color rgb="FFFF0000"/>
        <rFont val="Angsana New"/>
        <family val="1"/>
      </rPr>
      <t xml:space="preserve"> ยกเลิกการผลิต</t>
    </r>
  </si>
  <si>
    <t>TOYOTA ESTIMA 134a (RHD.)  ไม่ผลิต ใช้LM-708</t>
  </si>
  <si>
    <t>LM-706</t>
  </si>
  <si>
    <t>LM-707</t>
  </si>
  <si>
    <t>LM-708</t>
  </si>
  <si>
    <t>9200-0323-00</t>
  </si>
  <si>
    <t>9200-0324-00</t>
  </si>
  <si>
    <t xml:space="preserve">TOYOTA ESTIMA 134a (RHD.)  </t>
  </si>
  <si>
    <t xml:space="preserve">TOYOTA ESTIMA R-12 (RHD.)  </t>
  </si>
  <si>
    <t>TOYOTA ESTIMA R-12 LHD. ไม่ผลิต ใช้ LM-706 แทน</t>
  </si>
  <si>
    <t>9200-0322-00</t>
  </si>
  <si>
    <t>JEEP WRANGLER (LHD.)  ไม่ผลิต  ใช้ LM-652แทน</t>
  </si>
  <si>
    <t>COF-2107</t>
  </si>
  <si>
    <t>9003-2129-00</t>
  </si>
  <si>
    <t>คอล์ยเย็นชนิดท่อ  ALU.F&amp;T FOR NEW HOLLAND</t>
  </si>
  <si>
    <t>CO-1828</t>
  </si>
  <si>
    <t>คอล์ยเย็น 100 mm.(RHD) FOR TOYOTA HIACE TRUCK R134a</t>
  </si>
  <si>
    <t>9005-2201-00</t>
  </si>
  <si>
    <t>CO-1831</t>
  </si>
  <si>
    <t>9005-0265-00</t>
  </si>
  <si>
    <t>คอล์ยเย็น 100 mm. FOR A7E (RHD) SEAL O-RING</t>
  </si>
  <si>
    <t>CO-1833</t>
  </si>
  <si>
    <t>คอล์ยเย็น 100 mm. FOR KUBOTA US55</t>
  </si>
  <si>
    <t>COF-1765/B</t>
  </si>
  <si>
    <t>9003-2014-02</t>
  </si>
  <si>
    <t>COIL LAMINATED 74 mm. FOR TOYOTA DYNA (RHD) 134a</t>
  </si>
  <si>
    <t>LM-814</t>
  </si>
  <si>
    <t>LM-815</t>
  </si>
  <si>
    <t>9200-0352-00</t>
  </si>
  <si>
    <t>COIL LAMINATED 74 mm.FOR NISSANK-24 (LHD)</t>
  </si>
  <si>
    <t>PFE-412</t>
  </si>
  <si>
    <t>PFE-413</t>
  </si>
  <si>
    <t>9700-0345-00</t>
  </si>
  <si>
    <t>FOR FOR CHERY QQ (RHD)</t>
  </si>
  <si>
    <t>9700-0346-00</t>
  </si>
  <si>
    <t xml:space="preserve"> FOR MG.EXTENDER (RHD)</t>
  </si>
  <si>
    <t>COF-2114</t>
  </si>
  <si>
    <t>9003-2131-00</t>
  </si>
  <si>
    <t>COIL F&amp;T FOR TOYOTA REVO '2000(REAR)</t>
  </si>
  <si>
    <t>COF-2112</t>
  </si>
  <si>
    <t>9002-1604-00</t>
  </si>
  <si>
    <t>คอล์ยเย็นชนิดท่อ  ALU.F&amp;T FOR  F.KING  (RHD)  O-RING (NAGOYA)</t>
  </si>
  <si>
    <t>PFE-414</t>
  </si>
  <si>
    <t>9700-0347-00</t>
  </si>
  <si>
    <t>FOR NISSAN ALTIMA 2008 LHD</t>
  </si>
  <si>
    <t>PFE-410</t>
  </si>
  <si>
    <t>9701-0067-00</t>
  </si>
  <si>
    <t>COF-2113</t>
  </si>
  <si>
    <t>9029-0135-00</t>
  </si>
  <si>
    <t>COF-2115</t>
  </si>
  <si>
    <t>9003-2132-00</t>
  </si>
  <si>
    <t>EVAPORATOR COIL FIN/TUBE FOR GT-30 (TUBE OD14mm)</t>
  </si>
  <si>
    <t>ALU. F&amp;T FOR 10-012</t>
  </si>
  <si>
    <t>PARALLEL FLOW EVAPORATOR COIL FOR BMW X1 (F48) (RHD)</t>
  </si>
  <si>
    <t>FOR BUS III 104 LHD 24V. O-RING</t>
  </si>
  <si>
    <t>PFE-417</t>
  </si>
  <si>
    <t>9701-0069-00</t>
  </si>
  <si>
    <t>FOR MAHINDRA SCORPIO</t>
  </si>
  <si>
    <t>COF-2118</t>
  </si>
  <si>
    <t>9003-2135-00</t>
  </si>
  <si>
    <t>COIL ALU.F&amp;T FOR YANMAR VAW 106</t>
  </si>
  <si>
    <t>LM-816</t>
  </si>
  <si>
    <t>9200-0353-00</t>
  </si>
  <si>
    <t>FOR MIT.CANTER '99 (LHD) R-12</t>
  </si>
  <si>
    <t>COF-2052</t>
  </si>
  <si>
    <t>9003-2100-00</t>
  </si>
  <si>
    <t>คอล์ยเย็นชนิดท่อ ALU.F&amp;T FOR 10-011</t>
  </si>
  <si>
    <t>PFE-419</t>
  </si>
  <si>
    <t>9700-0350-00</t>
  </si>
  <si>
    <t>PFE-420</t>
  </si>
  <si>
    <t>9700-0351-00</t>
  </si>
  <si>
    <t>PFE-421</t>
  </si>
  <si>
    <t>9700-0352-00</t>
  </si>
  <si>
    <t>PFE-422</t>
  </si>
  <si>
    <t>9700-0353-00</t>
  </si>
  <si>
    <t>PFE-423</t>
  </si>
  <si>
    <t>9700-0354-00</t>
  </si>
  <si>
    <t>PFE-424</t>
  </si>
  <si>
    <t>9700-0355-00</t>
  </si>
  <si>
    <t>PFE-425</t>
  </si>
  <si>
    <t>9700-0356-00</t>
  </si>
  <si>
    <t>PFE-426</t>
  </si>
  <si>
    <t>9700-0357-00</t>
  </si>
  <si>
    <t>PFE-427</t>
  </si>
  <si>
    <t>9700-0358-00</t>
  </si>
  <si>
    <t>PFE-428</t>
  </si>
  <si>
    <t>9700-0359-00</t>
  </si>
  <si>
    <t>PFE-429</t>
  </si>
  <si>
    <t>9700-0360-00</t>
  </si>
  <si>
    <t>PFE-430</t>
  </si>
  <si>
    <t>9700-0361-00</t>
  </si>
  <si>
    <t>PFE-431</t>
  </si>
  <si>
    <t>9700-0362-00</t>
  </si>
  <si>
    <t>PFE-432</t>
  </si>
  <si>
    <t>9700-0363-00</t>
  </si>
  <si>
    <t>PFE-433</t>
  </si>
  <si>
    <t>9700-0364-00</t>
  </si>
  <si>
    <t>PFE-434</t>
  </si>
  <si>
    <t>9700-0365-00</t>
  </si>
  <si>
    <t>PFE-435</t>
  </si>
  <si>
    <t>9701-0070-00</t>
  </si>
  <si>
    <t>FOR DACIA DUSTER 2019(LHD)</t>
  </si>
  <si>
    <t>FOR RENAULT MEGANE 2012 (LHD)</t>
  </si>
  <si>
    <t>FOR MAZDA'2 2015 (LHD)</t>
  </si>
  <si>
    <t>FOR CHEVROLET SPARK 2017 (LHD)</t>
  </si>
  <si>
    <t>FOR MAZDA CX-5 2015(LHD)</t>
  </si>
  <si>
    <t>FOR CITROEN C3 2010(LHD)</t>
  </si>
  <si>
    <t>FOR RENAULT MEGANE'3 2013(LHD)</t>
  </si>
  <si>
    <t>FOR RENAULT MASTER 2010(LHD)</t>
  </si>
  <si>
    <t>FOR PEUGEOT BOXER 2015(LHD)</t>
  </si>
  <si>
    <t>FOR SKODA SCALA 2020(LHD)</t>
  </si>
  <si>
    <t>FOR SEAT IBIZA 2018(LHD)</t>
  </si>
  <si>
    <t xml:space="preserve"> FOR HYUNDAI i 20 2019(LHD)</t>
  </si>
  <si>
    <t>FOR MIT.OUTLANDER 2017(LHD)</t>
  </si>
  <si>
    <t>FOR FORD F-350 2015(LHD)</t>
  </si>
  <si>
    <t>FOR MAN TGM 2017(LHD)</t>
  </si>
  <si>
    <t>FOR BENZ AXOR 2017(LHD)</t>
  </si>
  <si>
    <t>FOR DODGE RAM 2012-2015(LHD)</t>
  </si>
  <si>
    <t>LM-817</t>
  </si>
  <si>
    <t>9058-0147-00</t>
  </si>
  <si>
    <t xml:space="preserve"> FOR SUZUKI JEMNY (LHD)</t>
  </si>
  <si>
    <t>FOR HONDA CITY '2019 (RHD)</t>
  </si>
  <si>
    <t>PFE-438</t>
  </si>
  <si>
    <t>9700-0368-00</t>
  </si>
  <si>
    <t>9700-0367-00</t>
  </si>
  <si>
    <t>PFE-437</t>
  </si>
  <si>
    <t>FOR ISUZU D-MAX '20(N/D)(RHD)</t>
  </si>
  <si>
    <t>FOR  MASSEY FERGUSON    ราคาเดิม 718</t>
  </si>
  <si>
    <r>
      <t xml:space="preserve">Toyota Altis   </t>
    </r>
    <r>
      <rPr>
        <b/>
        <sz val="16"/>
        <color rgb="FFFF0000"/>
        <rFont val="Angsana New"/>
        <family val="1"/>
      </rPr>
      <t xml:space="preserve">ยกเลิก ใช้ LM-241 9400-0016-00 แทน </t>
    </r>
  </si>
  <si>
    <t>คอล์ยเย็นชนิดท่อ  ALU. F&amp;TFOR  10-007</t>
  </si>
  <si>
    <t>9003-2096-00</t>
  </si>
  <si>
    <t>COF-2048</t>
  </si>
  <si>
    <t>PFE-418</t>
  </si>
  <si>
    <t>9700-0349-00</t>
  </si>
  <si>
    <t>FOR FORD RANGER (2012-2020) R&amp;L</t>
  </si>
  <si>
    <t>ขาย ASHTAR  NORMAL  $17.83 / SPECIAL $17.15</t>
  </si>
  <si>
    <t>ขาย ASHTAR  NORMAL  $21.92 / SPECIAL $21.00</t>
  </si>
  <si>
    <t>/ASHTAR SPECIAL 5000 PCS = $22</t>
  </si>
  <si>
    <t>PFE-411</t>
  </si>
  <si>
    <t>9700-0344-00</t>
  </si>
  <si>
    <t>PFE-415</t>
  </si>
  <si>
    <t>PFE-416</t>
  </si>
  <si>
    <t>9701-0068-00</t>
  </si>
  <si>
    <t>9700-0348-00</t>
  </si>
  <si>
    <t>PFE-436</t>
  </si>
  <si>
    <t>9700-0366-00</t>
  </si>
  <si>
    <t>PFE-439</t>
  </si>
  <si>
    <t>9700-0369-00</t>
  </si>
  <si>
    <t>PFE-440</t>
  </si>
  <si>
    <t>9701-0071-00</t>
  </si>
  <si>
    <t>LM-818</t>
  </si>
  <si>
    <t>9058-0148-00</t>
  </si>
  <si>
    <t>LAMINATED COIL GM.SAVANA'2010 (LHD)</t>
  </si>
  <si>
    <t>FOR XCMG. XE215C</t>
  </si>
  <si>
    <t>FOR FORD NEW HOLLAND</t>
  </si>
  <si>
    <t>FOR FOTON AUMARK (RHD)</t>
  </si>
  <si>
    <t>FOR SUZUKI  CELERIO '2014 (RHD)</t>
  </si>
  <si>
    <t>FOR SUZUKI ERITIGA GX' 2019 (RHD)</t>
  </si>
  <si>
    <t>FOR PEUGEOT TRAVELLER  (REAR)</t>
  </si>
  <si>
    <t>FOR FIAT PUNTO R134a (LHD)</t>
  </si>
  <si>
    <t>FOR SHACMAN S3000</t>
  </si>
  <si>
    <t xml:space="preserve">JEEP WRANGLER (RHD)  ยกเลิก ใช้ LM-720 9400-0050-00 แทน </t>
  </si>
  <si>
    <t>วันที่อัพเดทราคา</t>
  </si>
  <si>
    <t>9200-0351-00</t>
  </si>
  <si>
    <t>9005-0266-00</t>
  </si>
  <si>
    <t>COIL: "GOOD TEMP 58" (LHD)"</t>
  </si>
  <si>
    <t>COIL: "GOOD TEMP 58" (RHD)"</t>
  </si>
  <si>
    <t>COF-2064</t>
  </si>
  <si>
    <t>9003-2110-00</t>
  </si>
  <si>
    <t>FOR EVAPORATOR</t>
  </si>
  <si>
    <t>9003-1531-00</t>
  </si>
  <si>
    <t>จากพี่มะตูมทางไลท์</t>
  </si>
  <si>
    <t>คอล์ยเย็นชนิดท่อ  ALU.F&amp;T FOR F.CONCORD T5NEW R134a(RHD)</t>
  </si>
  <si>
    <t>CO-539</t>
  </si>
  <si>
    <t>9005-2046-00</t>
  </si>
  <si>
    <t>MITSUBISHI FUSO 8.8T R12 (L.H.D.)</t>
  </si>
  <si>
    <t>CO-540</t>
  </si>
  <si>
    <t>9005-2047-00</t>
  </si>
  <si>
    <t>MITSUBISHI FUSO 8.8T R134a (L.H.D.)</t>
  </si>
  <si>
    <t>PFE-444</t>
  </si>
  <si>
    <t>PFE-445</t>
  </si>
  <si>
    <t>9700-0372-00</t>
  </si>
  <si>
    <t>9701-0073-00</t>
  </si>
  <si>
    <t>COIL FOR CHEV.SPARK,D.MATIZ'4(LHD)</t>
  </si>
  <si>
    <t>COIL FOR HYUNDAI TRUCK(LHD)</t>
  </si>
  <si>
    <t>PFE-443</t>
  </si>
  <si>
    <t>9701-0072-00</t>
  </si>
  <si>
    <t>FOR MICRO CHANNEL</t>
  </si>
  <si>
    <r>
      <t xml:space="preserve">TOYOTA ALTIS (LHD.) </t>
    </r>
    <r>
      <rPr>
        <sz val="16"/>
        <color rgb="FFFF0000"/>
        <rFont val="Angsana New"/>
        <family val="1"/>
      </rPr>
      <t>ยกเลิกใช้ LM-142 แทน</t>
    </r>
  </si>
  <si>
    <t>PFE-447</t>
  </si>
  <si>
    <t>9700-0374-00</t>
  </si>
  <si>
    <t>PFE-448</t>
  </si>
  <si>
    <t>9701-0074-00</t>
  </si>
  <si>
    <t>FOR TOYOTA C-HR'17(LHD)</t>
  </si>
  <si>
    <t>FOR MAHINARA SCOPRIO(LHD)</t>
  </si>
  <si>
    <t>9005-2203-00</t>
  </si>
  <si>
    <t>CO-1834</t>
  </si>
  <si>
    <t>FOR SUMITOMO KATO</t>
  </si>
  <si>
    <t>COF-2053</t>
  </si>
  <si>
    <t>9003-2101-00</t>
  </si>
  <si>
    <t>คอล์ยเย็นชนิดท่อ  ALU.F&amp;T FOR 70-E2</t>
  </si>
  <si>
    <t>COF-2140</t>
  </si>
  <si>
    <t>9003-2137-00</t>
  </si>
  <si>
    <t>คอล์ยเย็นชนิดท่อ  ALU.F&amp;T FOR EV3279</t>
  </si>
  <si>
    <t>ขาย ASHTAR  NORMAL  $21.90 / SPECIAL $21.00</t>
  </si>
  <si>
    <t>9003-2138-00</t>
  </si>
  <si>
    <t>COF-2413</t>
  </si>
  <si>
    <t>คอล์ยเย็นชนิดท่อ  ALU.F&amp;T FOR MINIBUSES KD140</t>
  </si>
  <si>
    <t>COF-2143</t>
  </si>
  <si>
    <t>คอล์ยเย็นชนิดท่อALU. F&amp;T FOR MINI BUSES KD140</t>
  </si>
  <si>
    <t xml:space="preserve"> COIL LAMINATED 65MM. FOR MINI BUS LM (LHD)</t>
  </si>
  <si>
    <t>PFE-453</t>
  </si>
  <si>
    <t>9700-0379-00</t>
  </si>
  <si>
    <t>FOR NISSAN SENTRA B18(LHD)</t>
  </si>
  <si>
    <t xml:space="preserve"> COIL LAMINATED 65MM. FOR MINI BUS LM (RHD)</t>
  </si>
  <si>
    <t>PFE-449</t>
  </si>
  <si>
    <t>9700-0375-00</t>
  </si>
  <si>
    <t>FOR TOYO YARIS 2023 (LHD)</t>
  </si>
  <si>
    <t>แก้ไขวันที่ 22/02/68</t>
  </si>
  <si>
    <t>9701-0075-00</t>
  </si>
  <si>
    <t>PFE-454</t>
  </si>
  <si>
    <t>FOR BENZ W222 (RHD)'14-20</t>
  </si>
  <si>
    <t xml:space="preserve">EVAPORATOR COIL FIN-TUBE FOR MAN </t>
  </si>
  <si>
    <t xml:space="preserve">EVAPORATOR COIL FIN-TUBE FOR MAN (BLOCK VALVE)  </t>
  </si>
  <si>
    <t>EVAPORATOR COIL F&amp;T FOR MAN 414 134a (L.H.D.)</t>
  </si>
  <si>
    <t>แก้ไขวันที่ 05/04/68</t>
  </si>
  <si>
    <t>แก้ไขวันที่ 10/04/68</t>
  </si>
  <si>
    <t>OEM</t>
  </si>
  <si>
    <t>MK582991</t>
  </si>
  <si>
    <t>MR958417</t>
  </si>
  <si>
    <t>27280-VL00A</t>
  </si>
  <si>
    <t>7801A507</t>
  </si>
  <si>
    <t>7801A843</t>
  </si>
  <si>
    <t>7810A036</t>
  </si>
  <si>
    <t>7810A179</t>
  </si>
  <si>
    <t>7810A244</t>
  </si>
  <si>
    <t>88501-06250,88501-0K090,88501-0K160,88501-26231,88501-26291</t>
  </si>
  <si>
    <t>88501-0D250,88501-0D430</t>
  </si>
  <si>
    <t>88501-0K390</t>
  </si>
  <si>
    <t>88501-12450</t>
  </si>
  <si>
    <t>88501-12620</t>
  </si>
  <si>
    <t>88501-26211,88501-52100</t>
  </si>
  <si>
    <t>88501-26270</t>
  </si>
  <si>
    <t>88501-60410</t>
  </si>
  <si>
    <t>97139-1R000,97139-2S000</t>
  </si>
  <si>
    <t>97139-2W000</t>
  </si>
  <si>
    <t>97139-F2000</t>
  </si>
  <si>
    <t>97140-1W010</t>
  </si>
  <si>
    <t>97140-4H050</t>
  </si>
  <si>
    <t>88501-35150</t>
  </si>
  <si>
    <t>88501-60411</t>
  </si>
  <si>
    <t>88501-YC040,88501-06060</t>
  </si>
  <si>
    <t>88501-0K010</t>
  </si>
  <si>
    <t>88501-BZ160</t>
  </si>
  <si>
    <t>88501-60392</t>
  </si>
  <si>
    <t>88501-28360</t>
  </si>
  <si>
    <t>88501-26260</t>
  </si>
  <si>
    <t>88501-F4080</t>
  </si>
  <si>
    <t>88501-3A161</t>
  </si>
  <si>
    <t>27280-ZN90A</t>
  </si>
  <si>
    <t>27280-3XB0A,27280-3XB0B</t>
  </si>
  <si>
    <t>27280-0W002</t>
  </si>
  <si>
    <t>27281-JS70A</t>
  </si>
  <si>
    <t>80211-SNA-A01</t>
  </si>
  <si>
    <t>80211-TA0-A01</t>
  </si>
  <si>
    <t>80211-TBA-A01</t>
  </si>
  <si>
    <t>80211-SDC-A01</t>
  </si>
  <si>
    <t>7810A286</t>
  </si>
  <si>
    <t>BBM461J10</t>
  </si>
  <si>
    <t>7801A973</t>
  </si>
  <si>
    <t>แก้ไขวันที่ 28/4/2025</t>
  </si>
  <si>
    <t>LM-381</t>
  </si>
  <si>
    <t>9200-0210-00</t>
  </si>
  <si>
    <t>COIL LAMINATED 74MM. FOR NISSAN UD W,VALVE,PIPE LHD</t>
  </si>
  <si>
    <t>PFE-475</t>
  </si>
  <si>
    <t>9700-0399-00</t>
  </si>
  <si>
    <t>FOR EVA COIL FOR JCB '2020</t>
  </si>
  <si>
    <t>A0028304358</t>
  </si>
  <si>
    <t>2920-6111</t>
  </si>
  <si>
    <t>ND447600-0651</t>
  </si>
  <si>
    <t>A0018308458</t>
  </si>
  <si>
    <t>9053-0037-00</t>
  </si>
  <si>
    <t>LM-826</t>
  </si>
  <si>
    <t>COIL LAMINATED FOR VOLVO V40 '12(RHD)</t>
  </si>
  <si>
    <t>9053-0036-00</t>
  </si>
  <si>
    <t>LM-824</t>
  </si>
  <si>
    <t>COIL LAMINATED FOR FORD EXPLOLER (LHD)</t>
  </si>
  <si>
    <t>9200-0355-00</t>
  </si>
  <si>
    <t>LM-821</t>
  </si>
  <si>
    <t>COIL LAMINATED FOR ISUZU TRAVIZ  (LHD)</t>
  </si>
  <si>
    <t>9200-0354-00</t>
  </si>
  <si>
    <t>LM-820</t>
  </si>
  <si>
    <t>LM-819</t>
  </si>
  <si>
    <t>9065-0023-00</t>
  </si>
  <si>
    <t>COIL LAMINATED 74mm. FOR SAAB9-5 '97-'03W,PIPE(RHD)</t>
  </si>
  <si>
    <t>9700-0370-00</t>
  </si>
  <si>
    <t>9700-0373-00</t>
  </si>
  <si>
    <t>9700-0376-00</t>
  </si>
  <si>
    <t>9700-0377-00</t>
  </si>
  <si>
    <t>9700-0378-00</t>
  </si>
  <si>
    <t>9700-0381-00</t>
  </si>
  <si>
    <t>9700-0382-00</t>
  </si>
  <si>
    <t>9700-0383-00</t>
  </si>
  <si>
    <t>9700-0386-00</t>
  </si>
  <si>
    <t>9700-0390-00</t>
  </si>
  <si>
    <t>9700-0396-00</t>
  </si>
  <si>
    <t>9700-0400-00</t>
  </si>
  <si>
    <t>9700-0401-00</t>
  </si>
  <si>
    <t>PFE-441</t>
  </si>
  <si>
    <t>PFE-446</t>
  </si>
  <si>
    <t>PFE-450</t>
  </si>
  <si>
    <t>PFE-451</t>
  </si>
  <si>
    <t>PFE-452</t>
  </si>
  <si>
    <t>PFE-456</t>
  </si>
  <si>
    <t>PFE-457</t>
  </si>
  <si>
    <t>PFE-458</t>
  </si>
  <si>
    <t>PFE-461</t>
  </si>
  <si>
    <t>PFE-465</t>
  </si>
  <si>
    <t>PFE-471</t>
  </si>
  <si>
    <t>PFE-476</t>
  </si>
  <si>
    <t>PFE-477</t>
  </si>
  <si>
    <t>PARALLEL FLOW EVAPORATOR COIL FORD ECOSPORT '2018  (RHD)</t>
  </si>
  <si>
    <t>PARALLEL FLOW EVAPORATOR COIL CHEVROLET CAPTIVA'2020 (RHD)</t>
  </si>
  <si>
    <t>PARALLEL FLOW EVAPORATOR COIL FOR TATA XENON 150NX (RHD)</t>
  </si>
  <si>
    <t>PARALLEL FLOW EVAPORATOR COIL FOR MG.ZS '19 (RHD)</t>
  </si>
  <si>
    <t>PARALLEL FLOW EVAPORATOR COIL FOR MG-5 TURBO '15 (RHD)</t>
  </si>
  <si>
    <t>PARALLEL FLOW EVAP COIL FOR SANY SY55C</t>
  </si>
  <si>
    <t>PARALLEL FLOW EVAP COIL FOR MIT. FUSO FJ RMC</t>
  </si>
  <si>
    <t>PARALLEL FLOW EVAP COIL FOR BMW.F20/F30 (RHD)'12-'18</t>
  </si>
  <si>
    <t>PFE EVA COIL FOR HYUNDAI I25 '2013 (LHD)</t>
  </si>
  <si>
    <t>PFE EVA COIL FOR SUZUKI CIAZ '2015 (LHD)</t>
  </si>
  <si>
    <t>PFE EVA COIL FOR PEUGEOT 208 NEW  (LHD)</t>
  </si>
  <si>
    <t>PFE EVA COIL FOR KOBELCO SK140LC MARK 10</t>
  </si>
  <si>
    <t>PFE EVA COIL FOR HYUNDAI ROBEX 60-9S</t>
  </si>
  <si>
    <t>PFE-480</t>
  </si>
  <si>
    <t>PFE-479</t>
  </si>
  <si>
    <t>9700-0404-00</t>
  </si>
  <si>
    <t>9700-0403-00</t>
  </si>
  <si>
    <t>PFE EVA COIL FOR NISSAN JUKE '20 (LHD)</t>
  </si>
  <si>
    <t>PFE EVA COIL FOR  FUSO 401/460 PS'21(LHD)</t>
  </si>
  <si>
    <t>9700-0392-00</t>
  </si>
  <si>
    <t>9700-0397-00</t>
  </si>
  <si>
    <t>9700-0402-00</t>
  </si>
  <si>
    <t>PFE-467</t>
  </si>
  <si>
    <t>PFE-473</t>
  </si>
  <si>
    <t>PFE-478</t>
  </si>
  <si>
    <t>PFE EVA COIL FOR  HYUNDAI I20'2013 (LHD)</t>
  </si>
  <si>
    <t>PFE EVA COIL FOR HYUNDAI ACCENT '19-'22 (LHD)</t>
  </si>
  <si>
    <t>PFE EVA COIL FOR  BYD ATTO3 (RHD)</t>
  </si>
  <si>
    <t>9700-0387-00</t>
  </si>
  <si>
    <t>9700-0393-00</t>
  </si>
  <si>
    <t>9700-0398-00</t>
  </si>
  <si>
    <t>9700-0405-00</t>
  </si>
  <si>
    <t>PFE EVA COIL FOR  HYUNDAI H 350 VAN (LHD)</t>
  </si>
  <si>
    <t>PFE EVA COIL FOR  KIA SOUL '14-'19 (LHD)</t>
  </si>
  <si>
    <t>PFE EVA COIL FOR  RENAULT KANGOO '2018 (LHD)</t>
  </si>
  <si>
    <t>PFE EVA COIL FOR HAVAL H16 (RHD)</t>
  </si>
  <si>
    <t>PFE-481</t>
  </si>
  <si>
    <t>PFE-462</t>
  </si>
  <si>
    <t>PFE-468</t>
  </si>
  <si>
    <t>PFE-474</t>
  </si>
  <si>
    <t>27280-VZ00A</t>
  </si>
  <si>
    <t>27210-9BH0A, 27280-JS80A</t>
  </si>
  <si>
    <t>27281-1HA1A , 27280-4BA0C , 27280-1HB0D</t>
  </si>
  <si>
    <t>27280-4KD0A,27280-4JA0A , 27280-1LA0D</t>
  </si>
  <si>
    <t>27280-3JC1A , 27280-ZS01A , 27280-3JC3C</t>
  </si>
  <si>
    <t>27280-JA00A</t>
  </si>
  <si>
    <t>27280-ZV00A  , 27280-EE91A</t>
  </si>
  <si>
    <t>27280-9H500</t>
  </si>
  <si>
    <t>9700-0388-00</t>
  </si>
  <si>
    <t>9700-0394-00</t>
  </si>
  <si>
    <t>9700-0395-00</t>
  </si>
  <si>
    <t>PFE-463</t>
  </si>
  <si>
    <t>PFE-469</t>
  </si>
  <si>
    <t>PFE-470</t>
  </si>
  <si>
    <t>PARALLEL FLOW EVAPORATOR COIL FOR V/W T5 (REAR)</t>
  </si>
  <si>
    <t>PFE EVA COIL FOR CHEVROLET SIL VERADO'17 (LHD)</t>
  </si>
  <si>
    <t>PFE EVA COIL FOR FORD TRANSIT '15-'20 (LHD)</t>
  </si>
  <si>
    <t>PFE EVA COIL FOR GM-CHEVROLET '14-'20 (LHD)</t>
  </si>
  <si>
    <t>PFE EVA COIL FOR HONDA CITY '09-'13 (LHD)</t>
  </si>
  <si>
    <t>9700-0389-00</t>
  </si>
  <si>
    <t>PFE-464</t>
  </si>
  <si>
    <t>LM-825</t>
  </si>
  <si>
    <t>9400-0072-00</t>
  </si>
  <si>
    <t>COIL LAMINATED FOR CHEVROLET SIL VERADO '08-'14 (LHD)</t>
  </si>
  <si>
    <t>PFE-455</t>
  </si>
  <si>
    <t>9700-0380-00</t>
  </si>
  <si>
    <t>PFE EVA COIL FOR TOYOTA YARIS ATIV '24  (RHD)</t>
  </si>
  <si>
    <t>LM-823</t>
  </si>
  <si>
    <t>9058-0149-00</t>
  </si>
  <si>
    <t>LAMINATED COIL FOR VW GOLF '10-'14 (LHD)</t>
  </si>
  <si>
    <t>PFE-459</t>
  </si>
  <si>
    <t>9700-0384-00</t>
  </si>
  <si>
    <t>PFE EVA COIL FOR NISSAN NV200 (LHD)</t>
  </si>
  <si>
    <t>LM-822</t>
  </si>
  <si>
    <t>9200-0356-00</t>
  </si>
  <si>
    <t>LAMINATED COIL FOR FORD  TRANSIT '2010 (LHD)</t>
  </si>
  <si>
    <t>PFE-460</t>
  </si>
  <si>
    <t>PFE-466</t>
  </si>
  <si>
    <t>PFE-472</t>
  </si>
  <si>
    <t>9700-0385-00</t>
  </si>
  <si>
    <t>9700-0391-00</t>
  </si>
  <si>
    <t>9701-0076-00</t>
  </si>
  <si>
    <t>PFE EVA COIL FOR NISSAN QASHQAI '14-'21 (LHD)</t>
  </si>
  <si>
    <t>PFE EVA COIL FOR ALFA GIUIETTA '10-'13 (LHD)</t>
  </si>
  <si>
    <t>PFE EVA COIL FOR AUDI A4 '16-'20 (LHD)</t>
  </si>
  <si>
    <t>9029-0143-00</t>
  </si>
  <si>
    <t>COF-2167</t>
  </si>
  <si>
    <t>9003-2141-00</t>
  </si>
  <si>
    <t>9003-2142-00</t>
  </si>
  <si>
    <t>COF-2169</t>
  </si>
  <si>
    <t>COF-2170</t>
  </si>
  <si>
    <t>9003-2144-00</t>
  </si>
  <si>
    <t>COF-2173</t>
  </si>
  <si>
    <t>COF-2172</t>
  </si>
  <si>
    <t>9029-0142-00</t>
  </si>
  <si>
    <t>COF-2171</t>
  </si>
  <si>
    <t>9003-2143-00</t>
  </si>
  <si>
    <t>9700-0318-00</t>
  </si>
  <si>
    <t>PFE-379</t>
  </si>
  <si>
    <t>PARALLEL FLOW EVAPORATOR COIL FOR XCMG LW156FV</t>
  </si>
  <si>
    <t>แก้ไข วันที่ 17/10/2025</t>
  </si>
  <si>
    <t>MIT.PAJERO SPORT '2016 (FRONT)</t>
  </si>
  <si>
    <t>แก้ไขวันที่ 13/11/68</t>
  </si>
  <si>
    <t>COF-2176</t>
  </si>
  <si>
    <t>9003-2145-00</t>
  </si>
  <si>
    <t>EVA COIL F&amp;T FOR BENZ SPRINTER (REAR)</t>
  </si>
  <si>
    <t>COF-0326</t>
  </si>
  <si>
    <t>COF-0386</t>
  </si>
  <si>
    <t>COF-0394</t>
  </si>
  <si>
    <t>COF-0443</t>
  </si>
  <si>
    <t>COF-0485</t>
  </si>
  <si>
    <t>COF-2054</t>
  </si>
  <si>
    <t>9029-0120-00</t>
  </si>
  <si>
    <t>COIL F/T (H&amp;C)FOR 70-E3</t>
  </si>
  <si>
    <t>9003-2104-00</t>
  </si>
  <si>
    <t>COF-2057</t>
  </si>
  <si>
    <t>คอล์ยเย็นชนิดท่อ ALU  F&amp;TFOR 70-E7 (HEAT&amp;COOL)</t>
  </si>
  <si>
    <t>COIL F&amp;T FOR TEREX(A13-9910)ALU.</t>
  </si>
  <si>
    <t>COIL F&amp;T  (ALU.) FOR 70-CL52915</t>
  </si>
  <si>
    <t>COIL F&amp;T  (ALU.) FOR 70-JD553898</t>
  </si>
  <si>
    <t>COIL F&amp;T  (ALU.) FOR 70-JD55688</t>
  </si>
  <si>
    <t>COIL F&amp;T  (ALU.) FOR 70-VA83020</t>
  </si>
  <si>
    <t>COIL F&amp;T  (ALU.) FOR 70-KT5603</t>
  </si>
  <si>
    <t>BMW 520D (F10/F11) (RHD / LHD)</t>
  </si>
  <si>
    <t>ปรับราคาเป็น 567 บาท 13/03/2026</t>
  </si>
  <si>
    <t>COIL F&amp;T FOR 432 (RHD)</t>
  </si>
  <si>
    <t>COIL F&amp;T FOR 432 (LHD) O-RING</t>
  </si>
  <si>
    <t>18/3/2026 จากพี่เอ๋</t>
  </si>
  <si>
    <t>19/3/2026 พี่เอ๋</t>
  </si>
  <si>
    <t>COIL F&amp;T FOR 432 90'  (RHD) (PPASSPORT'1997)</t>
  </si>
  <si>
    <t>LM-827</t>
  </si>
  <si>
    <t>9300-0180-00</t>
  </si>
  <si>
    <t>COIL LM FOR RENAULT TRUCK</t>
  </si>
  <si>
    <t>23/3/2026 พี่เอ๋</t>
  </si>
  <si>
    <t>COF-2180</t>
  </si>
  <si>
    <t>COF-2181</t>
  </si>
  <si>
    <t>COF-2182</t>
  </si>
  <si>
    <t>9003-2147-00</t>
  </si>
  <si>
    <t>9003-2148-00</t>
  </si>
  <si>
    <t>9003-2149-00</t>
  </si>
  <si>
    <t>EVA COIL F&amp;T FOR 416-07-549</t>
  </si>
  <si>
    <t>EVA COIL F&amp;T FOR 416-07-368</t>
  </si>
  <si>
    <t>EVA COIL F&amp;T FOR 405-06-620</t>
  </si>
  <si>
    <t>18/4/2026  พี่เอ๋ ทางไลน์</t>
  </si>
  <si>
    <r>
      <t xml:space="preserve">ราคาซื้อล่าสุด ปี24  - </t>
    </r>
    <r>
      <rPr>
        <sz val="15"/>
        <color rgb="FFFF0000"/>
        <rFont val="Angsana New"/>
        <family val="1"/>
      </rPr>
      <t>1100</t>
    </r>
  </si>
  <si>
    <t>PFE-490</t>
  </si>
  <si>
    <t>9700-0414-00</t>
  </si>
  <si>
    <t>PFE  COIL FOR  HMANITO</t>
  </si>
  <si>
    <t>คอล์ยเย็น 100mm.LOTUS</t>
  </si>
  <si>
    <t>9005-2197-00</t>
  </si>
  <si>
    <t>CO-1821</t>
  </si>
  <si>
    <t>23/5/2026 จากไลน์พี่เอ๋</t>
  </si>
  <si>
    <t>PFE-498</t>
  </si>
  <si>
    <t>9700-0420-00</t>
  </si>
  <si>
    <t>PFE COIL FOR ALFA ROMGO GIULTA 17'23'L (LHD)</t>
  </si>
  <si>
    <t>FOR NISSAN URVAN (REAR)</t>
  </si>
  <si>
    <t>9300-0181-00</t>
  </si>
  <si>
    <t>COIL LM FOR LANDINI 5-100</t>
  </si>
  <si>
    <t>LM-829</t>
  </si>
  <si>
    <t>PFE COIL FOR CAT DUMP TRUCK</t>
  </si>
  <si>
    <t xml:space="preserve"> PFE-499</t>
  </si>
  <si>
    <t>9700-0421-00</t>
  </si>
  <si>
    <t>COIL LM FOR JOB EXCAVATOR'24</t>
  </si>
  <si>
    <t>9058-0150-0</t>
  </si>
  <si>
    <t>LM-828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</si>
</sst>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฿&quot;* #,##0.00_-;\-&quot;฿&quot;* #,##0.00_-;_-&quot;฿&quot;* &quot;-&quot;??_-;_-@_-"/>
    <numFmt numFmtId="43" formatCode="_-* #,##0.00_-;\-* #,##0.00_-;_-* &quot;-&quot;??_-;_-@_-"/>
    <numFmt numFmtId="164" formatCode="_(* #,##0.00_);_(* \(#,##0.00\);_(* &quot;-&quot;??_);_(@_)"/>
    <numFmt numFmtId="165" formatCode="&quot;$&quot;#,##0.00"/>
    <numFmt numFmtId="166" formatCode="_-* #,##0_-;\-* #,##0_-;_-* &quot;-&quot;??_-;_-@_-"/>
    <numFmt numFmtId="167" formatCode="0.00;[Red]0.00"/>
    <numFmt numFmtId="168" formatCode="_(&quot;$&quot;* #,##0.00_);_(&quot;$&quot;* \(#,##0.00\);_(&quot;$&quot;* &quot;-&quot;??_);_(@_)"/>
    <numFmt numFmtId="169" formatCode="[$-1010000]d/m/yyyy;@"/>
    <numFmt numFmtId="170" formatCode="_(* #,##0.0_);_(* \(#,##0.0\);_(* &quot;-&quot;??_);_(@_)"/>
    <numFmt numFmtId="171" formatCode="0.0"/>
    <numFmt numFmtId="172" formatCode="#,##0.0"/>
  </numFmts>
  <fonts count="2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5"/>
      <color theme="1"/>
      <name val="Angsana New"/>
      <family val="1"/>
    </font>
    <font>
      <b/>
      <sz val="15"/>
      <color theme="1"/>
      <name val="Angsana New"/>
      <family val="1"/>
    </font>
    <font>
      <sz val="15"/>
      <color rgb="FFFF0000"/>
      <name val="Angsana New"/>
      <family val="1"/>
    </font>
    <font>
      <b/>
      <sz val="15"/>
      <color rgb="FFFF0000"/>
      <name val="Angsana New"/>
      <family val="1"/>
    </font>
    <font>
      <sz val="15"/>
      <name val="Angsana New"/>
      <family val="1"/>
    </font>
    <font>
      <sz val="11"/>
      <color rgb="FF000000"/>
      <name val="Tahoma"/>
      <family val="2"/>
      <charset val="1"/>
    </font>
    <font>
      <sz val="11"/>
      <color theme="1"/>
      <name val="Calibri"/>
      <family val="2"/>
      <scheme val="minor"/>
    </font>
    <font>
      <sz val="14"/>
      <name val="Cordia New"/>
      <family val="2"/>
    </font>
    <font>
      <sz val="14"/>
      <color theme="1"/>
      <name val="Angsana New"/>
      <family val="1"/>
    </font>
    <font>
      <sz val="10"/>
      <color indexed="8"/>
      <name val="Arial"/>
      <family val="2"/>
    </font>
    <font>
      <sz val="8"/>
      <name val="Calibri"/>
      <family val="2"/>
      <charset val="222"/>
      <scheme val="minor"/>
    </font>
    <font>
      <sz val="10"/>
      <color indexed="8"/>
      <name val="Arial"/>
      <family val="2"/>
    </font>
    <font>
      <sz val="14"/>
      <color rgb="FF000000"/>
      <name val="Angsana New"/>
      <family val="1"/>
    </font>
    <font>
      <sz val="16"/>
      <color rgb="FF000000"/>
      <name val="Angsana New"/>
      <family val="1"/>
    </font>
    <font>
      <b/>
      <sz val="14"/>
      <color rgb="FF000000"/>
      <name val="Angsana New"/>
      <family val="1"/>
    </font>
    <font>
      <sz val="14"/>
      <color theme="3" tint="-0.249977111117893"/>
      <name val="Angsana New"/>
      <family val="1"/>
    </font>
    <font>
      <b/>
      <sz val="16"/>
      <color rgb="FF000000"/>
      <name val="Angsana New"/>
      <family val="1"/>
    </font>
    <font>
      <sz val="16"/>
      <color theme="3" tint="-0.249977111117893"/>
      <name val="Angsana New"/>
      <family val="1"/>
    </font>
    <font>
      <b/>
      <sz val="16"/>
      <color rgb="FFFF0000"/>
      <name val="Angsana New"/>
      <family val="1"/>
    </font>
    <font>
      <sz val="16"/>
      <color rgb="FFFF0000"/>
      <name val="Angsana New"/>
      <family val="1"/>
    </font>
    <font>
      <sz val="16"/>
      <name val="Angsana New"/>
      <family val="1"/>
    </font>
    <font>
      <b/>
      <sz val="16"/>
      <name val="Angsana New"/>
      <family val="1"/>
    </font>
    <font>
      <b/>
      <sz val="14"/>
      <name val="Angsana New"/>
      <family val="1"/>
    </font>
    <font>
      <b/>
      <sz val="14"/>
      <color rgb="FFFF0000"/>
      <name val="Angsana New"/>
      <family val="1"/>
    </font>
    <font>
      <sz val="16"/>
      <color theme="1"/>
      <name val="Angsana New"/>
      <family val="1"/>
    </font>
    <font>
      <b/>
      <sz val="16"/>
      <color theme="1"/>
      <name val="Angsana New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B7FFFF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7">
    <xf numFmtId="0" fontId="0" fillId="0" borderId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164" fontId="8" fillId="0" borderId="0" applyFont="0" applyFill="0" applyBorder="0" applyAlignment="0" applyProtection="0"/>
    <xf numFmtId="0" fontId="9" fillId="0" borderId="0"/>
    <xf numFmtId="44" fontId="8" fillId="0" borderId="0" applyFont="0" applyFill="0" applyBorder="0" applyAlignment="0" applyProtection="0"/>
    <xf numFmtId="0" fontId="11" fillId="0" borderId="0">
      <alignment vertical="top"/>
    </xf>
    <xf numFmtId="9" fontId="8" fillId="0" borderId="0" applyFont="0" applyFill="0" applyBorder="0" applyAlignment="0" applyProtection="0"/>
    <xf numFmtId="0" fontId="8" fillId="0" borderId="0"/>
    <xf numFmtId="0" fontId="11" fillId="0" borderId="0"/>
    <xf numFmtId="0" fontId="13" fillId="0" borderId="0">
      <alignment vertical="top"/>
    </xf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11" fillId="0" borderId="0">
      <alignment vertical="top"/>
    </xf>
  </cellStyleXfs>
  <cellXfs count="150">
    <xf numFmtId="0" fontId="0" fillId="0" borderId="0" xfId="0"/>
    <xf numFmtId="0" fontId="2" fillId="0" borderId="0" xfId="0" applyFont="1"/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/>
    </xf>
    <xf numFmtId="0" fontId="15" fillId="0" borderId="1" xfId="0" applyFont="1" applyBorder="1"/>
    <xf numFmtId="0" fontId="14" fillId="0" borderId="0" xfId="0" applyFont="1"/>
    <xf numFmtId="0" fontId="16" fillId="0" borderId="0" xfId="0" applyFont="1" applyAlignment="1">
      <alignment horizontal="center"/>
    </xf>
    <xf numFmtId="0" fontId="15" fillId="0" borderId="0" xfId="0" applyFont="1"/>
    <xf numFmtId="0" fontId="14" fillId="0" borderId="0" xfId="0" applyFont="1" applyAlignment="1">
      <alignment horizont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165" fontId="15" fillId="0" borderId="1" xfId="0" applyNumberFormat="1" applyFont="1" applyBorder="1" applyAlignment="1">
      <alignment horizontal="center" vertical="center"/>
    </xf>
    <xf numFmtId="165" fontId="15" fillId="0" borderId="1" xfId="0" applyNumberFormat="1" applyFont="1" applyBorder="1" applyAlignment="1">
      <alignment vertical="center"/>
    </xf>
    <xf numFmtId="1" fontId="18" fillId="0" borderId="1" xfId="0" applyNumberFormat="1" applyFont="1" applyBorder="1" applyAlignment="1">
      <alignment horizontal="center" vertical="center"/>
    </xf>
    <xf numFmtId="1" fontId="18" fillId="0" borderId="1" xfId="0" applyNumberFormat="1" applyFont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6" fillId="0" borderId="0" xfId="0" applyNumberFormat="1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0" borderId="1" xfId="0" applyFont="1" applyBorder="1"/>
    <xf numFmtId="0" fontId="2" fillId="0" borderId="1" xfId="0" applyFont="1" applyBorder="1" applyAlignment="1">
      <alignment horizontal="center"/>
    </xf>
    <xf numFmtId="40" fontId="2" fillId="0" borderId="1" xfId="0" applyNumberFormat="1" applyFont="1" applyBorder="1" applyAlignment="1">
      <alignment horizontal="center"/>
    </xf>
    <xf numFmtId="40" fontId="2" fillId="0" borderId="1" xfId="0" applyNumberFormat="1" applyFont="1" applyBorder="1"/>
    <xf numFmtId="49" fontId="15" fillId="0" borderId="1" xfId="0" applyNumberFormat="1" applyFont="1" applyBorder="1" applyAlignment="1">
      <alignment vertical="center"/>
    </xf>
    <xf numFmtId="0" fontId="15" fillId="2" borderId="1" xfId="0" applyFont="1" applyFill="1" applyBorder="1" applyAlignment="1">
      <alignment horizontal="center" vertical="center"/>
    </xf>
    <xf numFmtId="165" fontId="15" fillId="2" borderId="1" xfId="0" applyNumberFormat="1" applyFont="1" applyFill="1" applyBorder="1" applyAlignment="1">
      <alignment vertical="center"/>
    </xf>
    <xf numFmtId="1" fontId="18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/>
    <xf numFmtId="0" fontId="2" fillId="3" borderId="1" xfId="0" applyFont="1" applyFill="1" applyBorder="1"/>
    <xf numFmtId="3" fontId="2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3" fontId="2" fillId="2" borderId="1" xfId="0" applyNumberFormat="1" applyFont="1" applyFill="1" applyBorder="1" applyAlignment="1">
      <alignment horizontal="center"/>
    </xf>
    <xf numFmtId="0" fontId="10" fillId="2" borderId="1" xfId="0" applyFont="1" applyFill="1" applyBorder="1"/>
    <xf numFmtId="0" fontId="3" fillId="0" borderId="1" xfId="0" applyFont="1" applyBorder="1" applyAlignment="1">
      <alignment horizontal="center"/>
    </xf>
    <xf numFmtId="40" fontId="2" fillId="2" borderId="1" xfId="0" applyNumberFormat="1" applyFont="1" applyFill="1" applyBorder="1" applyAlignment="1">
      <alignment horizontal="center"/>
    </xf>
    <xf numFmtId="40" fontId="2" fillId="2" borderId="1" xfId="0" applyNumberFormat="1" applyFont="1" applyFill="1" applyBorder="1"/>
    <xf numFmtId="40" fontId="6" fillId="2" borderId="1" xfId="0" applyNumberFormat="1" applyFont="1" applyFill="1" applyBorder="1" applyAlignment="1">
      <alignment horizontal="center"/>
    </xf>
    <xf numFmtId="40" fontId="6" fillId="2" borderId="1" xfId="0" applyNumberFormat="1" applyFont="1" applyFill="1" applyBorder="1"/>
    <xf numFmtId="3" fontId="6" fillId="2" borderId="1" xfId="0" applyNumberFormat="1" applyFont="1" applyFill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2" xfId="0" applyFont="1" applyBorder="1"/>
    <xf numFmtId="0" fontId="22" fillId="2" borderId="1" xfId="0" applyFont="1" applyFill="1" applyBorder="1" applyAlignment="1">
      <alignment horizontal="center" vertical="center"/>
    </xf>
    <xf numFmtId="165" fontId="22" fillId="2" borderId="1" xfId="0" applyNumberFormat="1" applyFont="1" applyFill="1" applyBorder="1" applyAlignment="1">
      <alignment vertical="center"/>
    </xf>
    <xf numFmtId="1" fontId="23" fillId="2" borderId="1" xfId="0" applyNumberFormat="1" applyFont="1" applyFill="1" applyBorder="1" applyAlignment="1">
      <alignment horizontal="center" vertical="center"/>
    </xf>
    <xf numFmtId="0" fontId="10" fillId="0" borderId="1" xfId="0" applyFont="1" applyBorder="1"/>
    <xf numFmtId="0" fontId="18" fillId="2" borderId="0" xfId="0" applyFont="1" applyFill="1" applyAlignment="1">
      <alignment vertical="center"/>
    </xf>
    <xf numFmtId="0" fontId="18" fillId="2" borderId="0" xfId="0" applyFont="1" applyFill="1"/>
    <xf numFmtId="0" fontId="21" fillId="0" borderId="1" xfId="0" applyFont="1" applyBorder="1" applyAlignment="1">
      <alignment horizontal="center" vertical="center"/>
    </xf>
    <xf numFmtId="165" fontId="21" fillId="0" borderId="1" xfId="0" applyNumberFormat="1" applyFont="1" applyBorder="1" applyAlignment="1">
      <alignment vertical="center"/>
    </xf>
    <xf numFmtId="0" fontId="3" fillId="4" borderId="1" xfId="0" applyFont="1" applyFill="1" applyBorder="1" applyAlignment="1">
      <alignment horizontal="center"/>
    </xf>
    <xf numFmtId="0" fontId="3" fillId="0" borderId="1" xfId="0" applyFont="1" applyBorder="1"/>
    <xf numFmtId="0" fontId="5" fillId="0" borderId="1" xfId="0" applyFont="1" applyBorder="1"/>
    <xf numFmtId="14" fontId="3" fillId="0" borderId="1" xfId="0" applyNumberFormat="1" applyFont="1" applyBorder="1"/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right"/>
    </xf>
    <xf numFmtId="14" fontId="3" fillId="0" borderId="1" xfId="0" applyNumberFormat="1" applyFont="1" applyBorder="1" applyAlignment="1">
      <alignment horizontal="right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3" fillId="6" borderId="1" xfId="0" applyFont="1" applyFill="1" applyBorder="1"/>
    <xf numFmtId="40" fontId="6" fillId="0" borderId="1" xfId="0" applyNumberFormat="1" applyFont="1" applyBorder="1" applyAlignment="1">
      <alignment horizontal="center"/>
    </xf>
    <xf numFmtId="40" fontId="6" fillId="0" borderId="1" xfId="0" applyNumberFormat="1" applyFont="1" applyBorder="1"/>
    <xf numFmtId="3" fontId="2" fillId="0" borderId="1" xfId="1" applyNumberFormat="1" applyFont="1" applyFill="1" applyBorder="1"/>
    <xf numFmtId="40" fontId="6" fillId="0" borderId="1" xfId="0" applyNumberFormat="1" applyFont="1" applyBorder="1" applyAlignment="1">
      <alignment horizontal="right"/>
    </xf>
    <xf numFmtId="167" fontId="6" fillId="0" borderId="1" xfId="0" applyNumberFormat="1" applyFont="1" applyBorder="1" applyAlignment="1">
      <alignment horizontal="right"/>
    </xf>
    <xf numFmtId="167" fontId="6" fillId="0" borderId="1" xfId="0" applyNumberFormat="1" applyFont="1" applyBorder="1"/>
    <xf numFmtId="4" fontId="6" fillId="0" borderId="1" xfId="0" applyNumberFormat="1" applyFont="1" applyBorder="1"/>
    <xf numFmtId="0" fontId="6" fillId="0" borderId="1" xfId="0" applyFont="1" applyBorder="1" applyAlignment="1">
      <alignment horizontal="right"/>
    </xf>
    <xf numFmtId="43" fontId="6" fillId="0" borderId="1" xfId="1" applyNumberFormat="1" applyFont="1" applyFill="1" applyBorder="1"/>
    <xf numFmtId="166" fontId="6" fillId="0" borderId="1" xfId="1" applyNumberFormat="1" applyFont="1" applyFill="1" applyBorder="1"/>
    <xf numFmtId="3" fontId="6" fillId="0" borderId="1" xfId="0" applyNumberFormat="1" applyFont="1" applyBorder="1"/>
    <xf numFmtId="38" fontId="6" fillId="0" borderId="1" xfId="0" applyNumberFormat="1" applyFont="1" applyBorder="1"/>
    <xf numFmtId="3" fontId="2" fillId="2" borderId="1" xfId="1" applyNumberFormat="1" applyFont="1" applyFill="1" applyBorder="1"/>
    <xf numFmtId="38" fontId="6" fillId="2" borderId="1" xfId="0" applyNumberFormat="1" applyFont="1" applyFill="1" applyBorder="1"/>
    <xf numFmtId="166" fontId="6" fillId="2" borderId="1" xfId="1" applyNumberFormat="1" applyFont="1" applyFill="1" applyBorder="1"/>
    <xf numFmtId="0" fontId="18" fillId="6" borderId="1" xfId="0" applyFont="1" applyFill="1" applyBorder="1" applyAlignment="1">
      <alignment horizontal="center" vertical="center"/>
    </xf>
    <xf numFmtId="1" fontId="18" fillId="6" borderId="1" xfId="0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1" fontId="16" fillId="0" borderId="3" xfId="0" applyNumberFormat="1" applyFont="1" applyBorder="1" applyAlignment="1">
      <alignment horizontal="center"/>
    </xf>
    <xf numFmtId="2" fontId="23" fillId="0" borderId="1" xfId="0" applyNumberFormat="1" applyFont="1" applyBorder="1"/>
    <xf numFmtId="14" fontId="23" fillId="0" borderId="1" xfId="0" applyNumberFormat="1" applyFont="1" applyBorder="1"/>
    <xf numFmtId="14" fontId="24" fillId="0" borderId="1" xfId="0" applyNumberFormat="1" applyFont="1" applyBorder="1"/>
    <xf numFmtId="0" fontId="24" fillId="0" borderId="1" xfId="0" applyFont="1" applyBorder="1"/>
    <xf numFmtId="0" fontId="24" fillId="0" borderId="0" xfId="0" applyFont="1"/>
    <xf numFmtId="169" fontId="23" fillId="6" borderId="1" xfId="0" applyNumberFormat="1" applyFont="1" applyFill="1" applyBorder="1" applyAlignment="1">
      <alignment horizontal="center" vertical="center"/>
    </xf>
    <xf numFmtId="169" fontId="23" fillId="0" borderId="1" xfId="0" applyNumberFormat="1" applyFont="1" applyBorder="1" applyAlignment="1">
      <alignment horizontal="right" vertical="center"/>
    </xf>
    <xf numFmtId="169" fontId="23" fillId="2" borderId="1" xfId="0" applyNumberFormat="1" applyFont="1" applyFill="1" applyBorder="1" applyAlignment="1">
      <alignment horizontal="right" vertical="center"/>
    </xf>
    <xf numFmtId="169" fontId="23" fillId="0" borderId="0" xfId="0" applyNumberFormat="1" applyFont="1" applyAlignment="1">
      <alignment horizontal="right" vertical="center"/>
    </xf>
    <xf numFmtId="14" fontId="2" fillId="0" borderId="0" xfId="0" applyNumberFormat="1" applyFont="1"/>
    <xf numFmtId="4" fontId="16" fillId="5" borderId="1" xfId="0" applyNumberFormat="1" applyFont="1" applyFill="1" applyBorder="1"/>
    <xf numFmtId="170" fontId="3" fillId="6" borderId="1" xfId="1" applyNumberFormat="1" applyFont="1" applyFill="1" applyBorder="1" applyAlignment="1">
      <alignment horizontal="center" vertical="center"/>
    </xf>
    <xf numFmtId="170" fontId="2" fillId="0" borderId="1" xfId="1" applyNumberFormat="1" applyFont="1" applyBorder="1"/>
    <xf numFmtId="170" fontId="2" fillId="0" borderId="1" xfId="1" applyNumberFormat="1" applyFont="1" applyFill="1" applyBorder="1"/>
    <xf numFmtId="170" fontId="5" fillId="6" borderId="1" xfId="1" applyNumberFormat="1" applyFont="1" applyFill="1" applyBorder="1" applyAlignment="1">
      <alignment horizontal="center" vertical="center"/>
    </xf>
    <xf numFmtId="170" fontId="4" fillId="0" borderId="1" xfId="1" applyNumberFormat="1" applyFont="1" applyBorder="1"/>
    <xf numFmtId="170" fontId="4" fillId="0" borderId="1" xfId="1" applyNumberFormat="1" applyFont="1" applyFill="1" applyBorder="1"/>
    <xf numFmtId="170" fontId="3" fillId="6" borderId="1" xfId="1" applyNumberFormat="1" applyFont="1" applyFill="1" applyBorder="1" applyAlignment="1">
      <alignment horizontal="center"/>
    </xf>
    <xf numFmtId="170" fontId="2" fillId="2" borderId="1" xfId="1" applyNumberFormat="1" applyFont="1" applyFill="1" applyBorder="1"/>
    <xf numFmtId="170" fontId="2" fillId="0" borderId="1" xfId="0" applyNumberFormat="1" applyFont="1" applyBorder="1"/>
    <xf numFmtId="170" fontId="5" fillId="2" borderId="1" xfId="0" applyNumberFormat="1" applyFont="1" applyFill="1" applyBorder="1"/>
    <xf numFmtId="171" fontId="18" fillId="6" borderId="1" xfId="0" applyNumberFormat="1" applyFont="1" applyFill="1" applyBorder="1" applyAlignment="1">
      <alignment horizontal="center" vertical="center"/>
    </xf>
    <xf numFmtId="171" fontId="18" fillId="0" borderId="1" xfId="0" applyNumberFormat="1" applyFont="1" applyBorder="1" applyAlignment="1">
      <alignment vertical="center"/>
    </xf>
    <xf numFmtId="171" fontId="23" fillId="2" borderId="1" xfId="0" applyNumberFormat="1" applyFont="1" applyFill="1" applyBorder="1" applyAlignment="1">
      <alignment vertical="center"/>
    </xf>
    <xf numFmtId="171" fontId="18" fillId="2" borderId="1" xfId="0" applyNumberFormat="1" applyFont="1" applyFill="1" applyBorder="1" applyAlignment="1">
      <alignment vertical="center"/>
    </xf>
    <xf numFmtId="171" fontId="15" fillId="0" borderId="1" xfId="0" applyNumberFormat="1" applyFont="1" applyBorder="1" applyAlignment="1">
      <alignment vertical="center"/>
    </xf>
    <xf numFmtId="171" fontId="20" fillId="6" borderId="1" xfId="0" applyNumberFormat="1" applyFont="1" applyFill="1" applyBorder="1" applyAlignment="1">
      <alignment horizontal="center" vertical="center"/>
    </xf>
    <xf numFmtId="171" fontId="20" fillId="0" borderId="3" xfId="0" applyNumberFormat="1" applyFont="1" applyBorder="1" applyAlignment="1">
      <alignment vertical="center"/>
    </xf>
    <xf numFmtId="171" fontId="20" fillId="0" borderId="1" xfId="0" applyNumberFormat="1" applyFont="1" applyBorder="1" applyAlignment="1">
      <alignment vertical="center"/>
    </xf>
    <xf numFmtId="171" fontId="20" fillId="2" borderId="1" xfId="0" applyNumberFormat="1" applyFont="1" applyFill="1" applyBorder="1" applyAlignment="1">
      <alignment vertical="center"/>
    </xf>
    <xf numFmtId="171" fontId="20" fillId="0" borderId="0" xfId="0" applyNumberFormat="1" applyFont="1" applyAlignment="1">
      <alignment vertical="center"/>
    </xf>
    <xf numFmtId="4" fontId="18" fillId="6" borderId="1" xfId="0" applyNumberFormat="1" applyFont="1" applyFill="1" applyBorder="1" applyAlignment="1">
      <alignment horizontal="center" vertical="center"/>
    </xf>
    <xf numFmtId="4" fontId="19" fillId="5" borderId="1" xfId="0" applyNumberFormat="1" applyFont="1" applyFill="1" applyBorder="1"/>
    <xf numFmtId="4" fontId="17" fillId="5" borderId="1" xfId="0" applyNumberFormat="1" applyFont="1" applyFill="1" applyBorder="1"/>
    <xf numFmtId="4" fontId="14" fillId="5" borderId="1" xfId="0" applyNumberFormat="1" applyFont="1" applyFill="1" applyBorder="1"/>
    <xf numFmtId="4" fontId="14" fillId="5" borderId="3" xfId="0" applyNumberFormat="1" applyFont="1" applyFill="1" applyBorder="1"/>
    <xf numFmtId="4" fontId="14" fillId="5" borderId="0" xfId="0" applyNumberFormat="1" applyFont="1" applyFill="1"/>
    <xf numFmtId="172" fontId="18" fillId="6" borderId="1" xfId="0" applyNumberFormat="1" applyFont="1" applyFill="1" applyBorder="1" applyAlignment="1">
      <alignment horizontal="center" vertical="center"/>
    </xf>
    <xf numFmtId="172" fontId="18" fillId="0" borderId="1" xfId="0" applyNumberFormat="1" applyFont="1" applyBorder="1"/>
    <xf numFmtId="172" fontId="16" fillId="0" borderId="1" xfId="0" applyNumberFormat="1" applyFont="1" applyBorder="1"/>
    <xf numFmtId="172" fontId="14" fillId="0" borderId="1" xfId="0" applyNumberFormat="1" applyFont="1" applyBorder="1"/>
    <xf numFmtId="172" fontId="14" fillId="0" borderId="3" xfId="0" applyNumberFormat="1" applyFont="1" applyBorder="1"/>
    <xf numFmtId="172" fontId="14" fillId="0" borderId="0" xfId="0" applyNumberFormat="1" applyFont="1"/>
    <xf numFmtId="172" fontId="16" fillId="0" borderId="1" xfId="1" applyNumberFormat="1" applyFont="1" applyBorder="1"/>
    <xf numFmtId="172" fontId="20" fillId="6" borderId="1" xfId="0" applyNumberFormat="1" applyFont="1" applyFill="1" applyBorder="1" applyAlignment="1">
      <alignment horizontal="center" vertical="center"/>
    </xf>
    <xf numFmtId="172" fontId="20" fillId="0" borderId="1" xfId="0" applyNumberFormat="1" applyFont="1" applyBorder="1"/>
    <xf numFmtId="172" fontId="25" fillId="0" borderId="1" xfId="0" applyNumberFormat="1" applyFont="1" applyBorder="1"/>
    <xf numFmtId="14" fontId="14" fillId="0" borderId="0" xfId="0" applyNumberFormat="1" applyFont="1"/>
    <xf numFmtId="14" fontId="15" fillId="0" borderId="0" xfId="0" applyNumberFormat="1" applyFont="1" applyAlignment="1">
      <alignment vertical="center"/>
    </xf>
    <xf numFmtId="0" fontId="18" fillId="6" borderId="4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vertical="center"/>
    </xf>
    <xf numFmtId="0" fontId="15" fillId="5" borderId="4" xfId="0" applyFont="1" applyFill="1" applyBorder="1" applyAlignment="1">
      <alignment vertical="center"/>
    </xf>
    <xf numFmtId="0" fontId="22" fillId="2" borderId="4" xfId="0" applyFont="1" applyFill="1" applyBorder="1" applyAlignment="1">
      <alignment vertical="center"/>
    </xf>
    <xf numFmtId="0" fontId="15" fillId="2" borderId="4" xfId="0" applyFont="1" applyFill="1" applyBorder="1" applyAlignment="1">
      <alignment vertical="center"/>
    </xf>
    <xf numFmtId="0" fontId="15" fillId="0" borderId="4" xfId="0" applyFont="1" applyBorder="1" applyAlignment="1">
      <alignment vertical="center"/>
    </xf>
    <xf numFmtId="0" fontId="8" fillId="0" borderId="1" xfId="0" applyFont="1" applyBorder="1" applyAlignment="1">
      <alignment horizontal="center"/>
    </xf>
    <xf numFmtId="0" fontId="0" fillId="0" borderId="1" xfId="0" applyBorder="1"/>
    <xf numFmtId="43" fontId="8" fillId="7" borderId="1" xfId="12" applyFont="1" applyFill="1" applyBorder="1" applyAlignment="1">
      <alignment horizontal="center"/>
    </xf>
    <xf numFmtId="14" fontId="15" fillId="0" borderId="0" xfId="0" applyNumberFormat="1" applyFont="1"/>
    <xf numFmtId="0" fontId="26" fillId="0" borderId="1" xfId="9" applyFont="1" applyBorder="1" applyAlignment="1">
      <alignment horizontal="center" vertical="center"/>
    </xf>
    <xf numFmtId="0" fontId="26" fillId="0" borderId="1" xfId="9" applyFont="1" applyBorder="1"/>
    <xf numFmtId="0" fontId="27" fillId="0" borderId="1" xfId="9" applyFont="1" applyBorder="1" applyAlignment="1">
      <alignment horizontal="center" vertical="center"/>
    </xf>
    <xf numFmtId="3" fontId="27" fillId="0" borderId="1" xfId="9" applyNumberFormat="1" applyFont="1" applyBorder="1" applyAlignment="1">
      <alignment horizontal="center" vertical="center"/>
    </xf>
    <xf numFmtId="0" fontId="27" fillId="0" borderId="1" xfId="9" applyFont="1" applyBorder="1" applyAlignment="1">
      <alignment horizontal="center"/>
    </xf>
    <xf numFmtId="172" fontId="25" fillId="0" borderId="3" xfId="0" applyNumberFormat="1" applyFont="1" applyBorder="1"/>
    <xf numFmtId="172" fontId="25" fillId="0" borderId="0" xfId="0" applyNumberFormat="1" applyFont="1"/>
    <xf numFmtId="0" fontId="4" fillId="0" borderId="0" xfId="0" applyFont="1"/>
    <xf numFmtId="0" fontId="3" fillId="2" borderId="1" xfId="0" applyFont="1" applyFill="1" applyBorder="1" applyAlignment="1">
      <alignment horizontal="center"/>
    </xf>
  </cellXfs>
  <cellStyles count="17">
    <cellStyle name="Comma" xfId="1" builtinId="3"/>
    <cellStyle name="Comma 2" xfId="4" xr:uid="{00000000-0005-0000-0000-000001000000}"/>
    <cellStyle name="Comma 2 2" xfId="13" xr:uid="{00000000-0005-0000-0000-000002000000}"/>
    <cellStyle name="Comma 3" xfId="12" xr:uid="{00000000-0005-0000-0000-000003000000}"/>
    <cellStyle name="Currency 2" xfId="6" xr:uid="{00000000-0005-0000-0000-000004000000}"/>
    <cellStyle name="Currency 2 2" xfId="14" xr:uid="{00000000-0005-0000-0000-000005000000}"/>
    <cellStyle name="Currency 3" xfId="15" xr:uid="{00000000-0005-0000-0000-000006000000}"/>
    <cellStyle name="Normal" xfId="0" builtinId="0"/>
    <cellStyle name="Normal 2" xfId="2" xr:uid="{00000000-0005-0000-0000-000008000000}"/>
    <cellStyle name="Normal 2 2" xfId="9" xr:uid="{00000000-0005-0000-0000-000009000000}"/>
    <cellStyle name="Normal 3" xfId="3" xr:uid="{00000000-0005-0000-0000-00000A000000}"/>
    <cellStyle name="Normal 4" xfId="7" xr:uid="{00000000-0005-0000-0000-00000B000000}"/>
    <cellStyle name="Normal 5" xfId="11" xr:uid="{00000000-0005-0000-0000-00000C000000}"/>
    <cellStyle name="Percent 2" xfId="8" xr:uid="{00000000-0005-0000-0000-00000D000000}"/>
    <cellStyle name="Percent 5" xfId="10" xr:uid="{00000000-0005-0000-0000-00000E000000}"/>
    <cellStyle name="ปกติ 2" xfId="5" xr:uid="{00000000-0005-0000-0000-00000F000000}"/>
    <cellStyle name="ปกติ 2 2" xfId="16" xr:uid="{00000000-0005-0000-0000-000010000000}"/>
  </cellStyles>
  <dxfs count="0"/>
  <tableStyles count="0" defaultTableStyle="TableStyleMedium9" defaultPivotStyle="PivotStyleLight16"/>
  <colors>
    <mruColors>
      <color rgb="FFB7FFFF"/>
      <color rgb="FFCCFFFF"/>
      <color rgb="FF8FFFFF"/>
      <color rgb="FF81FFFF"/>
      <color rgb="FF66FFFF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59"/>
  <sheetViews>
    <sheetView topLeftCell="A936" workbookViewId="0">
      <selection activeCell="M950" sqref="M950"/>
    </sheetView>
  </sheetViews>
  <sheetFormatPr defaultColWidth="9" defaultRowHeight="21.75"/>
  <cols>
    <col min="1" max="1" width="15.7109375" style="21" customWidth="1"/>
    <col min="2" max="2" width="20.7109375" style="21" customWidth="1"/>
    <col min="3" max="3" width="58.28515625" style="28" customWidth="1"/>
    <col min="4" max="4" width="15.7109375" style="21" customWidth="1"/>
    <col min="5" max="6" width="15.7109375" style="94" customWidth="1"/>
    <col min="7" max="7" width="5.7109375" style="28" customWidth="1"/>
    <col min="8" max="8" width="15.7109375" style="97" customWidth="1"/>
    <col min="9" max="9" width="13.28515625" style="52" customWidth="1"/>
    <col min="10" max="10" width="16.85546875" style="91" bestFit="1" customWidth="1"/>
    <col min="11" max="20" width="9" style="1" customWidth="1"/>
    <col min="21" max="16384" width="9" style="1"/>
  </cols>
  <sheetData>
    <row r="1" spans="1:9" ht="27.75" customHeight="1">
      <c r="A1" s="51" t="s">
        <v>1</v>
      </c>
      <c r="B1" s="59" t="s">
        <v>2292</v>
      </c>
      <c r="C1" s="59" t="s">
        <v>2293</v>
      </c>
      <c r="D1" s="59" t="s">
        <v>2291</v>
      </c>
      <c r="E1" s="93" t="s">
        <v>8101</v>
      </c>
      <c r="F1" s="93" t="s">
        <v>8102</v>
      </c>
      <c r="G1" s="59"/>
      <c r="H1" s="96" t="s">
        <v>8013</v>
      </c>
      <c r="I1" s="59" t="s">
        <v>8564</v>
      </c>
    </row>
    <row r="2" spans="1:9" ht="20.100000000000001" customHeight="1">
      <c r="A2" s="22" t="s">
        <v>3407</v>
      </c>
      <c r="B2" s="22" t="s">
        <v>3406</v>
      </c>
      <c r="C2" s="23" t="s">
        <v>3408</v>
      </c>
      <c r="D2" s="30">
        <v>557.29179999999997</v>
      </c>
      <c r="E2" s="94">
        <f t="shared" ref="E2:E65" si="0">+(D2*1.1/30)</f>
        <v>20.434032666666667</v>
      </c>
      <c r="F2" s="94">
        <f t="shared" ref="F2:F65" si="1">+(D2*1.2/30)</f>
        <v>22.291671999999998</v>
      </c>
      <c r="G2" s="29"/>
      <c r="H2" s="97">
        <f t="shared" ref="H2:H65" si="2">+(D2*1.2/33)</f>
        <v>20.265156363636361</v>
      </c>
    </row>
    <row r="3" spans="1:9" ht="20.100000000000001" customHeight="1">
      <c r="A3" s="22" t="s">
        <v>3410</v>
      </c>
      <c r="B3" s="22" t="s">
        <v>3409</v>
      </c>
      <c r="C3" s="23" t="s">
        <v>3411</v>
      </c>
      <c r="D3" s="30">
        <v>479.26929999999999</v>
      </c>
      <c r="E3" s="94">
        <f t="shared" si="0"/>
        <v>17.573207666666669</v>
      </c>
      <c r="F3" s="94">
        <f t="shared" si="1"/>
        <v>19.170771999999999</v>
      </c>
      <c r="G3" s="29"/>
      <c r="H3" s="97">
        <f t="shared" si="2"/>
        <v>17.427974545454546</v>
      </c>
    </row>
    <row r="4" spans="1:9" ht="20.100000000000001" customHeight="1">
      <c r="A4" s="22" t="s">
        <v>3413</v>
      </c>
      <c r="B4" s="22" t="s">
        <v>3412</v>
      </c>
      <c r="C4" s="23" t="s">
        <v>3414</v>
      </c>
      <c r="D4" s="30">
        <v>624.16970000000003</v>
      </c>
      <c r="E4" s="94">
        <f t="shared" si="0"/>
        <v>22.88622233333334</v>
      </c>
      <c r="F4" s="94">
        <f t="shared" si="1"/>
        <v>24.966788000000001</v>
      </c>
      <c r="G4" s="29"/>
      <c r="H4" s="97">
        <f t="shared" si="2"/>
        <v>22.69708</v>
      </c>
    </row>
    <row r="5" spans="1:9" ht="20.100000000000001" customHeight="1">
      <c r="A5" s="22" t="s">
        <v>3416</v>
      </c>
      <c r="B5" s="22" t="s">
        <v>3415</v>
      </c>
      <c r="C5" s="23" t="s">
        <v>3417</v>
      </c>
      <c r="D5" s="30">
        <v>576.80000000000007</v>
      </c>
      <c r="E5" s="94">
        <f t="shared" si="0"/>
        <v>21.149333333333338</v>
      </c>
      <c r="F5" s="94">
        <f t="shared" si="1"/>
        <v>23.072000000000003</v>
      </c>
      <c r="G5" s="29"/>
      <c r="H5" s="97">
        <f t="shared" si="2"/>
        <v>20.974545454545456</v>
      </c>
    </row>
    <row r="6" spans="1:9" ht="20.100000000000001" customHeight="1">
      <c r="A6" s="22" t="s">
        <v>3419</v>
      </c>
      <c r="B6" s="22" t="s">
        <v>3418</v>
      </c>
      <c r="C6" s="23" t="s">
        <v>3420</v>
      </c>
      <c r="D6" s="30">
        <v>473.8</v>
      </c>
      <c r="E6" s="94">
        <f t="shared" si="0"/>
        <v>17.372666666666667</v>
      </c>
      <c r="F6" s="94">
        <f t="shared" si="1"/>
        <v>18.951999999999998</v>
      </c>
      <c r="G6" s="29"/>
      <c r="H6" s="97">
        <f t="shared" si="2"/>
        <v>17.229090909090907</v>
      </c>
    </row>
    <row r="7" spans="1:9" ht="20.100000000000001" customHeight="1">
      <c r="A7" s="22" t="s">
        <v>3422</v>
      </c>
      <c r="B7" s="22" t="s">
        <v>3421</v>
      </c>
      <c r="C7" s="23" t="s">
        <v>3423</v>
      </c>
      <c r="D7" s="30" t="e">
        <f>#REF!+#REF!</f>
        <v>#REF!</v>
      </c>
      <c r="E7" s="94" t="e">
        <f t="shared" si="0"/>
        <v>#REF!</v>
      </c>
      <c r="F7" s="94" t="e">
        <f t="shared" si="1"/>
        <v>#REF!</v>
      </c>
      <c r="G7" s="29"/>
      <c r="H7" s="97" t="e">
        <f t="shared" si="2"/>
        <v>#REF!</v>
      </c>
    </row>
    <row r="8" spans="1:9" ht="20.100000000000001" customHeight="1">
      <c r="A8" s="22" t="s">
        <v>3425</v>
      </c>
      <c r="B8" s="22" t="s">
        <v>3424</v>
      </c>
      <c r="C8" s="23" t="s">
        <v>3426</v>
      </c>
      <c r="D8" s="30" t="e">
        <f>#REF!+#REF!</f>
        <v>#REF!</v>
      </c>
      <c r="E8" s="94" t="e">
        <f t="shared" si="0"/>
        <v>#REF!</v>
      </c>
      <c r="F8" s="94" t="e">
        <f t="shared" si="1"/>
        <v>#REF!</v>
      </c>
      <c r="G8" s="29"/>
      <c r="H8" s="97" t="e">
        <f t="shared" si="2"/>
        <v>#REF!</v>
      </c>
    </row>
    <row r="9" spans="1:9" ht="20.100000000000001" customHeight="1">
      <c r="A9" s="22" t="s">
        <v>3428</v>
      </c>
      <c r="B9" s="22" t="s">
        <v>3427</v>
      </c>
      <c r="C9" s="23" t="s">
        <v>3429</v>
      </c>
      <c r="D9" s="30" t="e">
        <f>#REF!+#REF!</f>
        <v>#REF!</v>
      </c>
      <c r="E9" s="94" t="e">
        <f t="shared" si="0"/>
        <v>#REF!</v>
      </c>
      <c r="F9" s="94" t="e">
        <f t="shared" si="1"/>
        <v>#REF!</v>
      </c>
      <c r="G9" s="29"/>
      <c r="H9" s="97" t="e">
        <f t="shared" si="2"/>
        <v>#REF!</v>
      </c>
    </row>
    <row r="10" spans="1:9" ht="20.100000000000001" customHeight="1">
      <c r="A10" s="22" t="s">
        <v>3431</v>
      </c>
      <c r="B10" s="22" t="s">
        <v>3430</v>
      </c>
      <c r="C10" s="23" t="s">
        <v>3432</v>
      </c>
      <c r="D10" s="30" t="e">
        <f>#REF!+#REF!</f>
        <v>#REF!</v>
      </c>
      <c r="E10" s="94" t="e">
        <f t="shared" si="0"/>
        <v>#REF!</v>
      </c>
      <c r="F10" s="94" t="e">
        <f t="shared" si="1"/>
        <v>#REF!</v>
      </c>
      <c r="G10" s="29"/>
      <c r="H10" s="97" t="e">
        <f t="shared" si="2"/>
        <v>#REF!</v>
      </c>
    </row>
    <row r="11" spans="1:9" ht="20.100000000000001" customHeight="1">
      <c r="A11" s="22" t="s">
        <v>3434</v>
      </c>
      <c r="B11" s="22" t="s">
        <v>3433</v>
      </c>
      <c r="C11" s="23" t="s">
        <v>3432</v>
      </c>
      <c r="D11" s="30">
        <v>827.72860000000003</v>
      </c>
      <c r="E11" s="94">
        <f t="shared" si="0"/>
        <v>30.35004866666667</v>
      </c>
      <c r="F11" s="94">
        <f t="shared" si="1"/>
        <v>33.109144000000001</v>
      </c>
      <c r="G11" s="29"/>
      <c r="H11" s="97">
        <f t="shared" si="2"/>
        <v>30.099221818181817</v>
      </c>
    </row>
    <row r="12" spans="1:9" ht="20.100000000000001" customHeight="1">
      <c r="A12" s="21" t="s">
        <v>3434</v>
      </c>
      <c r="B12" s="21" t="s">
        <v>3433</v>
      </c>
      <c r="C12" s="28" t="s">
        <v>3435</v>
      </c>
      <c r="D12" s="30">
        <v>827.72860000000003</v>
      </c>
      <c r="E12" s="94">
        <f t="shared" si="0"/>
        <v>30.35004866666667</v>
      </c>
      <c r="F12" s="94">
        <f t="shared" si="1"/>
        <v>33.109144000000001</v>
      </c>
      <c r="G12" s="29"/>
      <c r="H12" s="97">
        <f t="shared" si="2"/>
        <v>30.099221818181817</v>
      </c>
    </row>
    <row r="13" spans="1:9" ht="20.100000000000001" customHeight="1">
      <c r="A13" s="22" t="s">
        <v>3437</v>
      </c>
      <c r="B13" s="22" t="s">
        <v>3436</v>
      </c>
      <c r="C13" s="23" t="s">
        <v>3438</v>
      </c>
      <c r="D13" s="30" t="e">
        <f>#REF!+#REF!</f>
        <v>#REF!</v>
      </c>
      <c r="E13" s="94" t="e">
        <f t="shared" si="0"/>
        <v>#REF!</v>
      </c>
      <c r="F13" s="94" t="e">
        <f t="shared" si="1"/>
        <v>#REF!</v>
      </c>
      <c r="G13" s="29"/>
      <c r="H13" s="97" t="e">
        <f t="shared" si="2"/>
        <v>#REF!</v>
      </c>
    </row>
    <row r="14" spans="1:9" ht="20.100000000000001" customHeight="1">
      <c r="A14" s="22" t="s">
        <v>3440</v>
      </c>
      <c r="B14" s="22" t="s">
        <v>3439</v>
      </c>
      <c r="C14" s="23" t="s">
        <v>3441</v>
      </c>
      <c r="D14" s="30">
        <v>827.72860000000003</v>
      </c>
      <c r="E14" s="94">
        <f t="shared" si="0"/>
        <v>30.35004866666667</v>
      </c>
      <c r="F14" s="94">
        <f t="shared" si="1"/>
        <v>33.109144000000001</v>
      </c>
      <c r="G14" s="29"/>
      <c r="H14" s="97">
        <f t="shared" si="2"/>
        <v>30.099221818181817</v>
      </c>
    </row>
    <row r="15" spans="1:9" ht="20.100000000000001" customHeight="1">
      <c r="A15" s="22" t="s">
        <v>3443</v>
      </c>
      <c r="B15" s="22" t="s">
        <v>3442</v>
      </c>
      <c r="C15" s="23" t="s">
        <v>3444</v>
      </c>
      <c r="D15" s="30">
        <v>576.80000000000007</v>
      </c>
      <c r="E15" s="94">
        <f t="shared" si="0"/>
        <v>21.149333333333338</v>
      </c>
      <c r="F15" s="94">
        <f t="shared" si="1"/>
        <v>23.072000000000003</v>
      </c>
      <c r="G15" s="29"/>
      <c r="H15" s="97">
        <f t="shared" si="2"/>
        <v>20.974545454545456</v>
      </c>
    </row>
    <row r="16" spans="1:9" ht="20.100000000000001" customHeight="1">
      <c r="A16" s="22" t="s">
        <v>3446</v>
      </c>
      <c r="B16" s="22" t="s">
        <v>3445</v>
      </c>
      <c r="C16" s="23" t="s">
        <v>3447</v>
      </c>
      <c r="D16" s="30">
        <v>749.78850000000011</v>
      </c>
      <c r="E16" s="94">
        <f t="shared" si="0"/>
        <v>27.492245000000008</v>
      </c>
      <c r="F16" s="94">
        <f t="shared" si="1"/>
        <v>29.991540000000004</v>
      </c>
      <c r="G16" s="29"/>
      <c r="H16" s="97">
        <f t="shared" si="2"/>
        <v>27.265036363636369</v>
      </c>
    </row>
    <row r="17" spans="1:10" ht="20.100000000000001" customHeight="1">
      <c r="A17" s="22" t="s">
        <v>3449</v>
      </c>
      <c r="B17" s="22" t="s">
        <v>3448</v>
      </c>
      <c r="C17" s="28" t="s">
        <v>3450</v>
      </c>
      <c r="D17" s="30">
        <v>659.2</v>
      </c>
      <c r="E17" s="94">
        <f t="shared" si="0"/>
        <v>24.170666666666669</v>
      </c>
      <c r="F17" s="94">
        <f t="shared" si="1"/>
        <v>26.368000000000002</v>
      </c>
      <c r="G17" s="29"/>
      <c r="H17" s="97">
        <f t="shared" si="2"/>
        <v>23.970909090909092</v>
      </c>
    </row>
    <row r="18" spans="1:10" ht="20.100000000000001" customHeight="1">
      <c r="A18" s="22" t="s">
        <v>3452</v>
      </c>
      <c r="B18" s="22" t="s">
        <v>3451</v>
      </c>
      <c r="C18" s="23" t="s">
        <v>3453</v>
      </c>
      <c r="D18" s="30">
        <v>587.1</v>
      </c>
      <c r="E18" s="94">
        <f t="shared" si="0"/>
        <v>21.527000000000001</v>
      </c>
      <c r="F18" s="94">
        <f t="shared" si="1"/>
        <v>23.483999999999998</v>
      </c>
      <c r="G18" s="29"/>
      <c r="H18" s="97">
        <f t="shared" si="2"/>
        <v>21.349090909090908</v>
      </c>
    </row>
    <row r="19" spans="1:10" ht="20.100000000000001" customHeight="1">
      <c r="A19" s="22" t="s">
        <v>3455</v>
      </c>
      <c r="B19" s="22" t="s">
        <v>3454</v>
      </c>
      <c r="C19" s="23" t="s">
        <v>3456</v>
      </c>
      <c r="D19" s="30">
        <v>690.1</v>
      </c>
      <c r="E19" s="94">
        <f t="shared" si="0"/>
        <v>25.303666666666672</v>
      </c>
      <c r="F19" s="94">
        <f t="shared" si="1"/>
        <v>27.603999999999999</v>
      </c>
      <c r="G19" s="29"/>
      <c r="H19" s="97">
        <f t="shared" si="2"/>
        <v>25.094545454545454</v>
      </c>
    </row>
    <row r="20" spans="1:10" ht="20.100000000000001" customHeight="1">
      <c r="A20" s="22" t="s">
        <v>3458</v>
      </c>
      <c r="B20" s="22" t="s">
        <v>3457</v>
      </c>
      <c r="C20" s="23" t="s">
        <v>3459</v>
      </c>
      <c r="D20" s="30">
        <v>952.96630000000005</v>
      </c>
      <c r="E20" s="94">
        <f t="shared" si="0"/>
        <v>34.942097666666669</v>
      </c>
      <c r="F20" s="94">
        <f t="shared" si="1"/>
        <v>38.118651999999997</v>
      </c>
      <c r="G20" s="29"/>
      <c r="H20" s="97">
        <f t="shared" si="2"/>
        <v>34.653320000000001</v>
      </c>
    </row>
    <row r="21" spans="1:10" ht="20.100000000000001" customHeight="1">
      <c r="A21" s="22" t="s">
        <v>3461</v>
      </c>
      <c r="B21" s="22" t="s">
        <v>3460</v>
      </c>
      <c r="C21" s="23" t="s">
        <v>3462</v>
      </c>
      <c r="D21" s="30">
        <v>603.58000000000004</v>
      </c>
      <c r="E21" s="94">
        <f t="shared" si="0"/>
        <v>22.131266666666669</v>
      </c>
      <c r="F21" s="94">
        <f t="shared" si="1"/>
        <v>24.1432</v>
      </c>
      <c r="G21" s="29"/>
      <c r="H21" s="97">
        <f t="shared" si="2"/>
        <v>21.948363636363638</v>
      </c>
      <c r="J21" s="91" t="s">
        <v>8161</v>
      </c>
    </row>
    <row r="22" spans="1:10" ht="20.100000000000001" customHeight="1">
      <c r="A22" s="22" t="s">
        <v>3464</v>
      </c>
      <c r="B22" s="22" t="s">
        <v>3463</v>
      </c>
      <c r="C22" s="23" t="s">
        <v>3465</v>
      </c>
      <c r="D22" s="30" t="e">
        <f>#REF!+#REF!</f>
        <v>#REF!</v>
      </c>
      <c r="E22" s="94" t="e">
        <f t="shared" si="0"/>
        <v>#REF!</v>
      </c>
      <c r="F22" s="94" t="e">
        <f t="shared" si="1"/>
        <v>#REF!</v>
      </c>
      <c r="G22" s="29"/>
      <c r="H22" s="97" t="e">
        <f t="shared" si="2"/>
        <v>#REF!</v>
      </c>
    </row>
    <row r="23" spans="1:10" ht="20.100000000000001" customHeight="1">
      <c r="A23" s="21" t="s">
        <v>3467</v>
      </c>
      <c r="B23" s="21" t="s">
        <v>3466</v>
      </c>
      <c r="C23" s="28" t="s">
        <v>3468</v>
      </c>
      <c r="D23" s="30" t="e">
        <f>#REF!+#REF!</f>
        <v>#REF!</v>
      </c>
      <c r="E23" s="94" t="e">
        <f t="shared" si="0"/>
        <v>#REF!</v>
      </c>
      <c r="F23" s="94" t="e">
        <f t="shared" si="1"/>
        <v>#REF!</v>
      </c>
      <c r="G23" s="29"/>
      <c r="H23" s="97" t="e">
        <f t="shared" si="2"/>
        <v>#REF!</v>
      </c>
    </row>
    <row r="24" spans="1:10" ht="20.100000000000001" customHeight="1">
      <c r="A24" s="22" t="s">
        <v>3470</v>
      </c>
      <c r="B24" s="22" t="s">
        <v>3469</v>
      </c>
      <c r="C24" s="23" t="s">
        <v>3471</v>
      </c>
      <c r="D24" s="30">
        <v>587.1</v>
      </c>
      <c r="E24" s="94">
        <f t="shared" si="0"/>
        <v>21.527000000000001</v>
      </c>
      <c r="F24" s="94">
        <f t="shared" si="1"/>
        <v>23.483999999999998</v>
      </c>
      <c r="G24" s="29"/>
      <c r="H24" s="97">
        <f t="shared" si="2"/>
        <v>21.349090909090908</v>
      </c>
    </row>
    <row r="25" spans="1:10" ht="20.100000000000001" customHeight="1">
      <c r="A25" s="22" t="s">
        <v>3473</v>
      </c>
      <c r="B25" s="22" t="s">
        <v>3472</v>
      </c>
      <c r="C25" s="23" t="s">
        <v>3474</v>
      </c>
      <c r="D25" s="30">
        <v>628.30000000000007</v>
      </c>
      <c r="E25" s="94">
        <f t="shared" si="0"/>
        <v>23.03766666666667</v>
      </c>
      <c r="F25" s="94">
        <f t="shared" si="1"/>
        <v>25.132000000000001</v>
      </c>
      <c r="G25" s="29"/>
      <c r="H25" s="97">
        <f t="shared" si="2"/>
        <v>22.847272727272728</v>
      </c>
    </row>
    <row r="26" spans="1:10" ht="20.100000000000001" customHeight="1">
      <c r="A26" s="22" t="s">
        <v>3476</v>
      </c>
      <c r="B26" s="22" t="s">
        <v>3475</v>
      </c>
      <c r="C26" s="23" t="s">
        <v>3477</v>
      </c>
      <c r="D26" s="30">
        <v>597.4</v>
      </c>
      <c r="E26" s="94">
        <f t="shared" si="0"/>
        <v>21.904666666666667</v>
      </c>
      <c r="F26" s="94">
        <f t="shared" si="1"/>
        <v>23.896000000000001</v>
      </c>
      <c r="G26" s="29"/>
      <c r="H26" s="97">
        <f t="shared" si="2"/>
        <v>21.723636363636363</v>
      </c>
    </row>
    <row r="27" spans="1:10" ht="20.100000000000001" customHeight="1">
      <c r="A27" s="22" t="s">
        <v>3479</v>
      </c>
      <c r="B27" s="22" t="s">
        <v>3478</v>
      </c>
      <c r="C27" s="23" t="s">
        <v>3480</v>
      </c>
      <c r="D27" s="30">
        <v>597.4</v>
      </c>
      <c r="E27" s="94">
        <f t="shared" si="0"/>
        <v>21.904666666666667</v>
      </c>
      <c r="F27" s="94">
        <f t="shared" si="1"/>
        <v>23.896000000000001</v>
      </c>
      <c r="G27" s="29"/>
      <c r="H27" s="97">
        <f t="shared" si="2"/>
        <v>21.723636363636363</v>
      </c>
    </row>
    <row r="28" spans="1:10" ht="20.100000000000001" customHeight="1">
      <c r="A28" s="22" t="s">
        <v>3482</v>
      </c>
      <c r="B28" s="22" t="s">
        <v>3481</v>
      </c>
      <c r="C28" s="23" t="s">
        <v>3483</v>
      </c>
      <c r="D28" s="30" t="e">
        <f>#REF!+#REF!</f>
        <v>#REF!</v>
      </c>
      <c r="E28" s="94" t="e">
        <f t="shared" si="0"/>
        <v>#REF!</v>
      </c>
      <c r="F28" s="94" t="e">
        <f t="shared" si="1"/>
        <v>#REF!</v>
      </c>
      <c r="G28" s="29"/>
      <c r="H28" s="97" t="e">
        <f t="shared" si="2"/>
        <v>#REF!</v>
      </c>
    </row>
    <row r="29" spans="1:10" ht="20.100000000000001" customHeight="1">
      <c r="A29" s="22" t="s">
        <v>3485</v>
      </c>
      <c r="B29" s="22" t="s">
        <v>3484</v>
      </c>
      <c r="C29" s="23" t="s">
        <v>3486</v>
      </c>
      <c r="D29" s="30">
        <v>507.79</v>
      </c>
      <c r="E29" s="94">
        <f t="shared" si="0"/>
        <v>18.618966666666669</v>
      </c>
      <c r="F29" s="94">
        <f t="shared" si="1"/>
        <v>20.311599999999999</v>
      </c>
      <c r="G29" s="29"/>
      <c r="H29" s="97">
        <f t="shared" si="2"/>
        <v>18.465090909090907</v>
      </c>
    </row>
    <row r="30" spans="1:10" ht="20.100000000000001" customHeight="1">
      <c r="A30" s="22" t="s">
        <v>3488</v>
      </c>
      <c r="B30" s="22" t="s">
        <v>3487</v>
      </c>
      <c r="C30" s="23" t="s">
        <v>3489</v>
      </c>
      <c r="D30" s="30">
        <v>545.9</v>
      </c>
      <c r="E30" s="94">
        <f t="shared" si="0"/>
        <v>20.016333333333332</v>
      </c>
      <c r="F30" s="94">
        <f t="shared" si="1"/>
        <v>21.835999999999999</v>
      </c>
      <c r="G30" s="29"/>
      <c r="H30" s="97">
        <f t="shared" si="2"/>
        <v>19.850909090909088</v>
      </c>
    </row>
    <row r="31" spans="1:10" ht="20.100000000000001" customHeight="1">
      <c r="A31" s="22" t="s">
        <v>3491</v>
      </c>
      <c r="B31" s="22" t="s">
        <v>3490</v>
      </c>
      <c r="C31" s="28" t="s">
        <v>3492</v>
      </c>
      <c r="D31" s="30">
        <v>710.7</v>
      </c>
      <c r="E31" s="94">
        <f t="shared" si="0"/>
        <v>26.059000000000005</v>
      </c>
      <c r="F31" s="94">
        <f t="shared" si="1"/>
        <v>28.428000000000001</v>
      </c>
      <c r="G31" s="29"/>
      <c r="H31" s="97">
        <f t="shared" si="2"/>
        <v>25.843636363636364</v>
      </c>
    </row>
    <row r="32" spans="1:10" ht="20.100000000000001" customHeight="1">
      <c r="A32" s="22" t="s">
        <v>3494</v>
      </c>
      <c r="B32" s="22" t="s">
        <v>3493</v>
      </c>
      <c r="C32" s="23" t="s">
        <v>3495</v>
      </c>
      <c r="D32" s="30" t="e">
        <f>#REF!+#REF!</f>
        <v>#REF!</v>
      </c>
      <c r="E32" s="94" t="e">
        <f t="shared" si="0"/>
        <v>#REF!</v>
      </c>
      <c r="F32" s="94" t="e">
        <f t="shared" si="1"/>
        <v>#REF!</v>
      </c>
      <c r="G32" s="29"/>
      <c r="H32" s="97" t="e">
        <f t="shared" si="2"/>
        <v>#REF!</v>
      </c>
    </row>
    <row r="33" spans="1:8" ht="20.100000000000001" customHeight="1">
      <c r="A33" s="22" t="s">
        <v>3497</v>
      </c>
      <c r="B33" s="22" t="s">
        <v>3496</v>
      </c>
      <c r="C33" s="23" t="s">
        <v>3498</v>
      </c>
      <c r="D33" s="30">
        <v>827.72860000000003</v>
      </c>
      <c r="E33" s="94">
        <f t="shared" si="0"/>
        <v>30.35004866666667</v>
      </c>
      <c r="F33" s="94">
        <f t="shared" si="1"/>
        <v>33.109144000000001</v>
      </c>
      <c r="G33" s="29"/>
      <c r="H33" s="97">
        <f t="shared" si="2"/>
        <v>30.099221818181817</v>
      </c>
    </row>
    <row r="34" spans="1:8" ht="20.100000000000001" customHeight="1">
      <c r="A34" s="22" t="s">
        <v>3500</v>
      </c>
      <c r="B34" s="22" t="s">
        <v>3499</v>
      </c>
      <c r="C34" s="23" t="s">
        <v>3501</v>
      </c>
      <c r="D34" s="30">
        <v>819.22080000000005</v>
      </c>
      <c r="E34" s="94">
        <f t="shared" si="0"/>
        <v>30.038096000000003</v>
      </c>
      <c r="F34" s="94">
        <f t="shared" si="1"/>
        <v>32.768832000000003</v>
      </c>
      <c r="G34" s="29"/>
      <c r="H34" s="97">
        <f t="shared" si="2"/>
        <v>29.789847272727275</v>
      </c>
    </row>
    <row r="35" spans="1:8" ht="20.100000000000001" customHeight="1">
      <c r="A35" s="22" t="s">
        <v>3503</v>
      </c>
      <c r="B35" s="22" t="s">
        <v>3502</v>
      </c>
      <c r="C35" s="23" t="s">
        <v>3504</v>
      </c>
      <c r="D35" s="30" t="e">
        <f>#REF!+#REF!</f>
        <v>#REF!</v>
      </c>
      <c r="E35" s="94" t="e">
        <f t="shared" si="0"/>
        <v>#REF!</v>
      </c>
      <c r="F35" s="94" t="e">
        <f t="shared" si="1"/>
        <v>#REF!</v>
      </c>
      <c r="G35" s="29"/>
      <c r="H35" s="97" t="e">
        <f t="shared" si="2"/>
        <v>#REF!</v>
      </c>
    </row>
    <row r="36" spans="1:8" ht="20.100000000000001" customHeight="1">
      <c r="A36" s="21" t="s">
        <v>3506</v>
      </c>
      <c r="B36" s="21" t="s">
        <v>3505</v>
      </c>
      <c r="C36" s="28" t="s">
        <v>3507</v>
      </c>
      <c r="D36" s="30" t="e">
        <f>#REF!+#REF!</f>
        <v>#REF!</v>
      </c>
      <c r="E36" s="94" t="e">
        <f t="shared" si="0"/>
        <v>#REF!</v>
      </c>
      <c r="F36" s="94" t="e">
        <f t="shared" si="1"/>
        <v>#REF!</v>
      </c>
      <c r="G36" s="29"/>
      <c r="H36" s="97" t="e">
        <f t="shared" si="2"/>
        <v>#REF!</v>
      </c>
    </row>
    <row r="37" spans="1:8" ht="20.100000000000001" customHeight="1">
      <c r="A37" s="21" t="s">
        <v>3509</v>
      </c>
      <c r="B37" s="21" t="s">
        <v>3508</v>
      </c>
      <c r="C37" s="28" t="s">
        <v>3510</v>
      </c>
      <c r="D37" s="30" t="e">
        <f>#REF!+#REF!</f>
        <v>#REF!</v>
      </c>
      <c r="E37" s="94" t="e">
        <f t="shared" si="0"/>
        <v>#REF!</v>
      </c>
      <c r="F37" s="94" t="e">
        <f t="shared" si="1"/>
        <v>#REF!</v>
      </c>
      <c r="G37" s="29"/>
      <c r="H37" s="97" t="e">
        <f t="shared" si="2"/>
        <v>#REF!</v>
      </c>
    </row>
    <row r="38" spans="1:8" ht="20.100000000000001" customHeight="1">
      <c r="A38" s="21" t="s">
        <v>5008</v>
      </c>
      <c r="B38" s="21" t="s">
        <v>5007</v>
      </c>
      <c r="C38" s="28" t="s">
        <v>5009</v>
      </c>
      <c r="D38" s="30">
        <v>925.85670000000005</v>
      </c>
      <c r="E38" s="94">
        <f t="shared" si="0"/>
        <v>33.948079</v>
      </c>
      <c r="F38" s="94">
        <f t="shared" si="1"/>
        <v>37.034267999999997</v>
      </c>
      <c r="G38" s="29"/>
      <c r="H38" s="97">
        <f t="shared" si="2"/>
        <v>33.667516363636359</v>
      </c>
    </row>
    <row r="39" spans="1:8" ht="20.100000000000001" customHeight="1">
      <c r="A39" s="22" t="s">
        <v>5011</v>
      </c>
      <c r="B39" s="22" t="s">
        <v>5010</v>
      </c>
      <c r="C39" s="23" t="s">
        <v>5012</v>
      </c>
      <c r="D39" s="30">
        <v>674.65</v>
      </c>
      <c r="E39" s="94">
        <f t="shared" si="0"/>
        <v>24.737166666666667</v>
      </c>
      <c r="F39" s="94">
        <f t="shared" si="1"/>
        <v>26.985999999999997</v>
      </c>
      <c r="G39" s="29"/>
      <c r="H39" s="97">
        <f t="shared" si="2"/>
        <v>24.532727272727271</v>
      </c>
    </row>
    <row r="40" spans="1:8" ht="20.100000000000001" customHeight="1">
      <c r="A40" s="21" t="s">
        <v>5014</v>
      </c>
      <c r="B40" s="21" t="s">
        <v>5013</v>
      </c>
      <c r="C40" s="28" t="s">
        <v>5015</v>
      </c>
      <c r="D40" s="30">
        <v>827.72860000000003</v>
      </c>
      <c r="E40" s="94">
        <f t="shared" si="0"/>
        <v>30.35004866666667</v>
      </c>
      <c r="F40" s="94">
        <f t="shared" si="1"/>
        <v>33.109144000000001</v>
      </c>
      <c r="G40" s="29"/>
      <c r="H40" s="97">
        <f t="shared" si="2"/>
        <v>30.099221818181817</v>
      </c>
    </row>
    <row r="41" spans="1:8" ht="20.100000000000001" customHeight="1">
      <c r="A41" s="21" t="s">
        <v>5017</v>
      </c>
      <c r="B41" s="21" t="s">
        <v>5016</v>
      </c>
      <c r="C41" s="28" t="s">
        <v>5018</v>
      </c>
      <c r="D41" s="30">
        <v>591.22</v>
      </c>
      <c r="E41" s="94">
        <f t="shared" si="0"/>
        <v>21.67806666666667</v>
      </c>
      <c r="F41" s="94">
        <f t="shared" si="1"/>
        <v>23.648800000000001</v>
      </c>
      <c r="G41" s="29"/>
      <c r="H41" s="97">
        <f t="shared" si="2"/>
        <v>21.498909090909091</v>
      </c>
    </row>
    <row r="42" spans="1:8" ht="20.100000000000001" customHeight="1">
      <c r="A42" s="22" t="s">
        <v>5020</v>
      </c>
      <c r="B42" s="22" t="s">
        <v>5019</v>
      </c>
      <c r="C42" s="23" t="s">
        <v>5021</v>
      </c>
      <c r="D42" s="30">
        <v>653.02</v>
      </c>
      <c r="E42" s="94">
        <f t="shared" si="0"/>
        <v>23.944066666666668</v>
      </c>
      <c r="F42" s="94">
        <f t="shared" si="1"/>
        <v>26.120799999999996</v>
      </c>
      <c r="G42" s="29"/>
      <c r="H42" s="97">
        <f t="shared" si="2"/>
        <v>23.746181818181814</v>
      </c>
    </row>
    <row r="43" spans="1:8" ht="20.100000000000001" customHeight="1">
      <c r="A43" s="22" t="s">
        <v>5023</v>
      </c>
      <c r="B43" s="22" t="s">
        <v>5022</v>
      </c>
      <c r="C43" s="23" t="s">
        <v>5024</v>
      </c>
      <c r="D43" s="30">
        <v>655.08000000000004</v>
      </c>
      <c r="E43" s="94">
        <f t="shared" si="0"/>
        <v>24.019600000000004</v>
      </c>
      <c r="F43" s="94">
        <f t="shared" si="1"/>
        <v>26.203199999999999</v>
      </c>
      <c r="G43" s="29"/>
      <c r="H43" s="97">
        <f t="shared" si="2"/>
        <v>23.821090909090909</v>
      </c>
    </row>
    <row r="44" spans="1:8" ht="20.100000000000001" customHeight="1">
      <c r="A44" s="21" t="s">
        <v>5026</v>
      </c>
      <c r="B44" s="21" t="s">
        <v>5025</v>
      </c>
      <c r="C44" s="28" t="s">
        <v>5027</v>
      </c>
      <c r="D44" s="30">
        <v>679.92360000000008</v>
      </c>
      <c r="E44" s="94">
        <f t="shared" si="0"/>
        <v>24.930532000000007</v>
      </c>
      <c r="F44" s="94">
        <f t="shared" si="1"/>
        <v>27.196944000000006</v>
      </c>
      <c r="G44" s="29"/>
      <c r="H44" s="97">
        <f t="shared" si="2"/>
        <v>24.724494545454547</v>
      </c>
    </row>
    <row r="45" spans="1:8" ht="20.100000000000001" customHeight="1">
      <c r="A45" s="21" t="s">
        <v>5029</v>
      </c>
      <c r="B45" s="21" t="s">
        <v>5028</v>
      </c>
      <c r="C45" s="28" t="s">
        <v>5030</v>
      </c>
      <c r="D45" s="30">
        <v>1093.7776000000001</v>
      </c>
      <c r="E45" s="94">
        <f t="shared" si="0"/>
        <v>40.105178666666674</v>
      </c>
      <c r="F45" s="94">
        <f t="shared" si="1"/>
        <v>43.751104000000005</v>
      </c>
      <c r="G45" s="29"/>
      <c r="H45" s="97">
        <f t="shared" si="2"/>
        <v>39.773730909090908</v>
      </c>
    </row>
    <row r="46" spans="1:8" ht="20.100000000000001" customHeight="1">
      <c r="A46" s="21" t="s">
        <v>5032</v>
      </c>
      <c r="B46" s="21" t="s">
        <v>5031</v>
      </c>
      <c r="C46" s="28" t="s">
        <v>5033</v>
      </c>
      <c r="D46" s="30">
        <v>863.19150000000002</v>
      </c>
      <c r="E46" s="94">
        <f t="shared" si="0"/>
        <v>31.650355000000001</v>
      </c>
      <c r="F46" s="94">
        <f t="shared" si="1"/>
        <v>34.527659999999997</v>
      </c>
      <c r="G46" s="29"/>
      <c r="H46" s="97">
        <f t="shared" si="2"/>
        <v>31.388781818181819</v>
      </c>
    </row>
    <row r="47" spans="1:8" ht="20.100000000000001" customHeight="1">
      <c r="A47" s="22" t="s">
        <v>5035</v>
      </c>
      <c r="B47" s="22" t="s">
        <v>5034</v>
      </c>
      <c r="C47" s="23" t="s">
        <v>5036</v>
      </c>
      <c r="D47" s="30">
        <v>579.58100000000002</v>
      </c>
      <c r="E47" s="94">
        <f t="shared" si="0"/>
        <v>21.251303333333336</v>
      </c>
      <c r="F47" s="94">
        <f t="shared" si="1"/>
        <v>23.183240000000001</v>
      </c>
      <c r="G47" s="29"/>
      <c r="H47" s="97">
        <f t="shared" si="2"/>
        <v>21.075672727272728</v>
      </c>
    </row>
    <row r="48" spans="1:8" ht="20.100000000000001" customHeight="1">
      <c r="A48" s="22" t="s">
        <v>5038</v>
      </c>
      <c r="B48" s="22" t="s">
        <v>5037</v>
      </c>
      <c r="C48" s="23" t="s">
        <v>5039</v>
      </c>
      <c r="D48" s="30">
        <v>515</v>
      </c>
      <c r="E48" s="94">
        <f t="shared" si="0"/>
        <v>18.883333333333333</v>
      </c>
      <c r="F48" s="94">
        <f t="shared" si="1"/>
        <v>20.6</v>
      </c>
      <c r="G48" s="29"/>
      <c r="H48" s="97">
        <f t="shared" si="2"/>
        <v>18.727272727272727</v>
      </c>
    </row>
    <row r="49" spans="1:8" ht="20.100000000000001" customHeight="1">
      <c r="A49" s="22" t="s">
        <v>5041</v>
      </c>
      <c r="B49" s="22" t="s">
        <v>5040</v>
      </c>
      <c r="C49" s="23" t="s">
        <v>5042</v>
      </c>
      <c r="D49" s="30">
        <v>502.73269999999997</v>
      </c>
      <c r="E49" s="94">
        <f t="shared" si="0"/>
        <v>18.433532333333336</v>
      </c>
      <c r="F49" s="94">
        <f t="shared" si="1"/>
        <v>20.109307999999999</v>
      </c>
      <c r="G49" s="29"/>
      <c r="H49" s="97">
        <f t="shared" si="2"/>
        <v>18.281189090909091</v>
      </c>
    </row>
    <row r="50" spans="1:8" ht="20.100000000000001" customHeight="1">
      <c r="A50" s="22" t="s">
        <v>5044</v>
      </c>
      <c r="B50" s="22" t="s">
        <v>5043</v>
      </c>
      <c r="C50" s="23" t="s">
        <v>5045</v>
      </c>
      <c r="D50" s="30">
        <v>576.80000000000007</v>
      </c>
      <c r="E50" s="94">
        <f t="shared" si="0"/>
        <v>21.149333333333338</v>
      </c>
      <c r="F50" s="94">
        <f t="shared" si="1"/>
        <v>23.072000000000003</v>
      </c>
      <c r="G50" s="29"/>
      <c r="H50" s="97">
        <f t="shared" si="2"/>
        <v>20.974545454545456</v>
      </c>
    </row>
    <row r="51" spans="1:8" ht="20.100000000000001" customHeight="1">
      <c r="A51" s="22" t="s">
        <v>3512</v>
      </c>
      <c r="B51" s="22" t="s">
        <v>3511</v>
      </c>
      <c r="C51" s="23" t="s">
        <v>3513</v>
      </c>
      <c r="D51" s="30" t="e">
        <f>#REF!+#REF!</f>
        <v>#REF!</v>
      </c>
      <c r="E51" s="94" t="e">
        <f t="shared" si="0"/>
        <v>#REF!</v>
      </c>
      <c r="F51" s="94" t="e">
        <f t="shared" si="1"/>
        <v>#REF!</v>
      </c>
      <c r="G51" s="29"/>
      <c r="H51" s="97" t="e">
        <f t="shared" si="2"/>
        <v>#REF!</v>
      </c>
    </row>
    <row r="52" spans="1:8" ht="20.100000000000001" customHeight="1">
      <c r="A52" s="21" t="s">
        <v>5047</v>
      </c>
      <c r="B52" s="21" t="s">
        <v>5046</v>
      </c>
      <c r="C52" s="28" t="s">
        <v>5048</v>
      </c>
      <c r="D52" s="30">
        <v>626.24</v>
      </c>
      <c r="E52" s="94">
        <f t="shared" si="0"/>
        <v>22.962133333333334</v>
      </c>
      <c r="F52" s="94">
        <f t="shared" si="1"/>
        <v>25.049599999999998</v>
      </c>
      <c r="G52" s="29"/>
      <c r="H52" s="97">
        <f t="shared" si="2"/>
        <v>22.772363636363636</v>
      </c>
    </row>
    <row r="53" spans="1:8" ht="20.100000000000001" customHeight="1">
      <c r="A53" s="21" t="s">
        <v>5050</v>
      </c>
      <c r="B53" s="21" t="s">
        <v>5049</v>
      </c>
      <c r="C53" s="28" t="s">
        <v>5051</v>
      </c>
      <c r="D53" s="30">
        <v>486.16</v>
      </c>
      <c r="E53" s="94">
        <f t="shared" si="0"/>
        <v>17.82586666666667</v>
      </c>
      <c r="F53" s="94">
        <f t="shared" si="1"/>
        <v>19.446400000000001</v>
      </c>
      <c r="G53" s="29"/>
      <c r="H53" s="97">
        <f t="shared" si="2"/>
        <v>17.678545454545457</v>
      </c>
    </row>
    <row r="54" spans="1:8" ht="20.100000000000001" customHeight="1">
      <c r="A54" s="21" t="s">
        <v>3536</v>
      </c>
      <c r="B54" s="21" t="s">
        <v>3535</v>
      </c>
      <c r="C54" s="23" t="s">
        <v>3537</v>
      </c>
      <c r="D54" s="30">
        <v>561.35</v>
      </c>
      <c r="E54" s="94">
        <f t="shared" si="0"/>
        <v>20.582833333333337</v>
      </c>
      <c r="F54" s="94">
        <f t="shared" si="1"/>
        <v>22.454000000000001</v>
      </c>
      <c r="G54" s="29"/>
      <c r="H54" s="97">
        <f t="shared" si="2"/>
        <v>20.412727272727274</v>
      </c>
    </row>
    <row r="55" spans="1:8" ht="20.100000000000001" customHeight="1">
      <c r="A55" s="22" t="s">
        <v>3551</v>
      </c>
      <c r="B55" s="22" t="s">
        <v>3550</v>
      </c>
      <c r="C55" s="23" t="s">
        <v>3552</v>
      </c>
      <c r="D55" s="30">
        <v>467.62</v>
      </c>
      <c r="E55" s="94">
        <f t="shared" si="0"/>
        <v>17.14606666666667</v>
      </c>
      <c r="F55" s="94">
        <f t="shared" si="1"/>
        <v>18.704799999999999</v>
      </c>
      <c r="G55" s="29"/>
      <c r="H55" s="97">
        <f t="shared" si="2"/>
        <v>17.004363636363635</v>
      </c>
    </row>
    <row r="56" spans="1:8" ht="20.100000000000001" customHeight="1">
      <c r="A56" s="21" t="s">
        <v>5058</v>
      </c>
      <c r="B56" s="21" t="s">
        <v>5059</v>
      </c>
      <c r="C56" s="28" t="s">
        <v>5060</v>
      </c>
      <c r="D56" s="30">
        <v>827.72860000000003</v>
      </c>
      <c r="E56" s="94">
        <f t="shared" si="0"/>
        <v>30.35004866666667</v>
      </c>
      <c r="F56" s="94">
        <f t="shared" si="1"/>
        <v>33.109144000000001</v>
      </c>
      <c r="G56" s="29"/>
      <c r="H56" s="97">
        <f t="shared" si="2"/>
        <v>30.099221818181817</v>
      </c>
    </row>
    <row r="57" spans="1:8" ht="20.100000000000001" customHeight="1">
      <c r="A57" s="22" t="s">
        <v>5062</v>
      </c>
      <c r="B57" s="22" t="s">
        <v>5061</v>
      </c>
      <c r="C57" s="23" t="s">
        <v>5063</v>
      </c>
      <c r="D57" s="30">
        <v>819.22080000000005</v>
      </c>
      <c r="E57" s="94">
        <f t="shared" si="0"/>
        <v>30.038096000000003</v>
      </c>
      <c r="F57" s="94">
        <f t="shared" si="1"/>
        <v>32.768832000000003</v>
      </c>
      <c r="G57" s="29"/>
      <c r="H57" s="97">
        <f t="shared" si="2"/>
        <v>29.789847272727275</v>
      </c>
    </row>
    <row r="58" spans="1:8" ht="20.100000000000001" customHeight="1">
      <c r="A58" s="22" t="s">
        <v>5065</v>
      </c>
      <c r="B58" s="22" t="s">
        <v>5064</v>
      </c>
      <c r="C58" s="23" t="s">
        <v>5066</v>
      </c>
      <c r="D58" s="30">
        <v>618</v>
      </c>
      <c r="E58" s="94">
        <f t="shared" si="0"/>
        <v>22.660000000000004</v>
      </c>
      <c r="F58" s="94">
        <f t="shared" si="1"/>
        <v>24.720000000000002</v>
      </c>
      <c r="G58" s="29"/>
      <c r="H58" s="97">
        <f t="shared" si="2"/>
        <v>22.472727272727273</v>
      </c>
    </row>
    <row r="59" spans="1:8" ht="20.100000000000001" customHeight="1">
      <c r="A59" s="21" t="s">
        <v>5068</v>
      </c>
      <c r="B59" s="21" t="s">
        <v>5067</v>
      </c>
      <c r="C59" s="28" t="s">
        <v>5069</v>
      </c>
      <c r="D59" s="30">
        <v>0</v>
      </c>
      <c r="E59" s="94">
        <f t="shared" si="0"/>
        <v>0</v>
      </c>
      <c r="F59" s="94">
        <f t="shared" si="1"/>
        <v>0</v>
      </c>
      <c r="G59" s="29"/>
      <c r="H59" s="97">
        <f t="shared" si="2"/>
        <v>0</v>
      </c>
    </row>
    <row r="60" spans="1:8" ht="20.100000000000001" customHeight="1">
      <c r="A60" s="22" t="s">
        <v>5071</v>
      </c>
      <c r="B60" s="22" t="s">
        <v>5070</v>
      </c>
      <c r="C60" s="23" t="s">
        <v>5072</v>
      </c>
      <c r="D60" s="30">
        <v>509.85</v>
      </c>
      <c r="E60" s="94">
        <f t="shared" si="0"/>
        <v>18.694500000000001</v>
      </c>
      <c r="F60" s="94">
        <f t="shared" si="1"/>
        <v>20.394000000000002</v>
      </c>
      <c r="G60" s="29"/>
      <c r="H60" s="97">
        <f t="shared" si="2"/>
        <v>18.540000000000003</v>
      </c>
    </row>
    <row r="61" spans="1:8" ht="20.100000000000001" customHeight="1">
      <c r="A61" s="22" t="s">
        <v>5074</v>
      </c>
      <c r="B61" s="22" t="s">
        <v>5073</v>
      </c>
      <c r="C61" s="23" t="s">
        <v>5075</v>
      </c>
      <c r="D61" s="30">
        <v>479.98</v>
      </c>
      <c r="E61" s="94">
        <f t="shared" si="0"/>
        <v>17.599266666666669</v>
      </c>
      <c r="F61" s="94">
        <f t="shared" si="1"/>
        <v>19.199200000000001</v>
      </c>
      <c r="G61" s="29"/>
      <c r="H61" s="97">
        <f t="shared" si="2"/>
        <v>17.453818181818182</v>
      </c>
    </row>
    <row r="62" spans="1:8" ht="20.100000000000001" customHeight="1">
      <c r="A62" s="22" t="s">
        <v>3515</v>
      </c>
      <c r="B62" s="22" t="s">
        <v>3514</v>
      </c>
      <c r="C62" s="23" t="s">
        <v>3516</v>
      </c>
      <c r="D62" s="30">
        <v>566.5</v>
      </c>
      <c r="E62" s="94">
        <f t="shared" si="0"/>
        <v>20.771666666666668</v>
      </c>
      <c r="F62" s="94">
        <f t="shared" si="1"/>
        <v>22.66</v>
      </c>
      <c r="G62" s="29"/>
      <c r="H62" s="97">
        <f t="shared" si="2"/>
        <v>20.599999999999998</v>
      </c>
    </row>
    <row r="63" spans="1:8" ht="20.100000000000001" customHeight="1">
      <c r="A63" s="22" t="s">
        <v>5077</v>
      </c>
      <c r="B63" s="22" t="s">
        <v>5076</v>
      </c>
      <c r="C63" s="23" t="s">
        <v>5078</v>
      </c>
      <c r="D63" s="30">
        <v>573.71</v>
      </c>
      <c r="E63" s="94">
        <f t="shared" si="0"/>
        <v>21.036033333333339</v>
      </c>
      <c r="F63" s="94">
        <f t="shared" si="1"/>
        <v>22.948399999999999</v>
      </c>
      <c r="G63" s="29"/>
      <c r="H63" s="97">
        <f t="shared" si="2"/>
        <v>20.862181818181817</v>
      </c>
    </row>
    <row r="64" spans="1:8" ht="20.100000000000001" customHeight="1">
      <c r="A64" s="22" t="s">
        <v>5080</v>
      </c>
      <c r="B64" s="22" t="s">
        <v>5079</v>
      </c>
      <c r="C64" s="23" t="s">
        <v>5081</v>
      </c>
      <c r="D64" s="30">
        <v>450.11</v>
      </c>
      <c r="E64" s="94">
        <f t="shared" si="0"/>
        <v>16.504033333333336</v>
      </c>
      <c r="F64" s="94">
        <f t="shared" si="1"/>
        <v>18.004399999999997</v>
      </c>
      <c r="G64" s="29"/>
      <c r="H64" s="97">
        <f t="shared" si="2"/>
        <v>16.367636363636361</v>
      </c>
    </row>
    <row r="65" spans="1:8" ht="20.100000000000001" customHeight="1">
      <c r="A65" s="21" t="s">
        <v>5083</v>
      </c>
      <c r="B65" s="21" t="s">
        <v>5082</v>
      </c>
      <c r="C65" s="28" t="s">
        <v>5084</v>
      </c>
      <c r="D65" s="30">
        <v>508.82</v>
      </c>
      <c r="E65" s="94">
        <f t="shared" si="0"/>
        <v>18.656733333333332</v>
      </c>
      <c r="F65" s="94">
        <f t="shared" si="1"/>
        <v>20.352799999999998</v>
      </c>
      <c r="G65" s="29"/>
      <c r="H65" s="97">
        <f t="shared" si="2"/>
        <v>18.502545454545452</v>
      </c>
    </row>
    <row r="66" spans="1:8" ht="20.100000000000001" customHeight="1">
      <c r="A66" s="22" t="s">
        <v>5086</v>
      </c>
      <c r="B66" s="22" t="s">
        <v>5085</v>
      </c>
      <c r="C66" s="23" t="s">
        <v>5087</v>
      </c>
      <c r="D66" s="30">
        <v>515</v>
      </c>
      <c r="E66" s="94">
        <f t="shared" ref="E66:E129" si="3">+(D66*1.1/30)</f>
        <v>18.883333333333333</v>
      </c>
      <c r="F66" s="94">
        <f t="shared" ref="F66:F129" si="4">+(D66*1.2/30)</f>
        <v>20.6</v>
      </c>
      <c r="G66" s="29"/>
      <c r="H66" s="97">
        <f t="shared" ref="H66:H129" si="5">+(D66*1.2/33)</f>
        <v>18.727272727272727</v>
      </c>
    </row>
    <row r="67" spans="1:8" ht="20.100000000000001" customHeight="1">
      <c r="A67" s="22" t="s">
        <v>5089</v>
      </c>
      <c r="B67" s="22" t="s">
        <v>5088</v>
      </c>
      <c r="C67" s="23" t="s">
        <v>5090</v>
      </c>
      <c r="D67" s="30">
        <v>827.72860000000003</v>
      </c>
      <c r="E67" s="94">
        <f t="shared" si="3"/>
        <v>30.35004866666667</v>
      </c>
      <c r="F67" s="94">
        <f t="shared" si="4"/>
        <v>33.109144000000001</v>
      </c>
      <c r="G67" s="29"/>
      <c r="H67" s="97">
        <f t="shared" si="5"/>
        <v>30.099221818181817</v>
      </c>
    </row>
    <row r="68" spans="1:8" ht="20.100000000000001" customHeight="1">
      <c r="A68" s="22" t="s">
        <v>5092</v>
      </c>
      <c r="B68" s="22" t="s">
        <v>5091</v>
      </c>
      <c r="C68" s="23" t="s">
        <v>5093</v>
      </c>
      <c r="D68" s="30">
        <v>567.53</v>
      </c>
      <c r="E68" s="94">
        <f t="shared" si="3"/>
        <v>20.809433333333335</v>
      </c>
      <c r="F68" s="94">
        <f t="shared" si="4"/>
        <v>22.701199999999996</v>
      </c>
      <c r="G68" s="29"/>
      <c r="H68" s="97">
        <f t="shared" si="5"/>
        <v>20.637454545454545</v>
      </c>
    </row>
    <row r="69" spans="1:8" ht="20.100000000000001" customHeight="1">
      <c r="A69" s="22" t="s">
        <v>5095</v>
      </c>
      <c r="B69" s="22" t="s">
        <v>5094</v>
      </c>
      <c r="C69" s="23" t="s">
        <v>5096</v>
      </c>
      <c r="D69" s="30">
        <v>1346.2203</v>
      </c>
      <c r="E69" s="94">
        <f t="shared" si="3"/>
        <v>49.361411000000004</v>
      </c>
      <c r="F69" s="94">
        <f t="shared" si="4"/>
        <v>53.848811999999995</v>
      </c>
      <c r="G69" s="29"/>
      <c r="H69" s="97">
        <f t="shared" si="5"/>
        <v>48.953465454545452</v>
      </c>
    </row>
    <row r="70" spans="1:8" ht="20.100000000000001" customHeight="1">
      <c r="A70" s="22" t="s">
        <v>5098</v>
      </c>
      <c r="B70" s="22" t="s">
        <v>5097</v>
      </c>
      <c r="C70" s="23" t="s">
        <v>5099</v>
      </c>
      <c r="D70" s="30">
        <v>1346.2203</v>
      </c>
      <c r="E70" s="94">
        <f t="shared" si="3"/>
        <v>49.361411000000004</v>
      </c>
      <c r="F70" s="94">
        <f t="shared" si="4"/>
        <v>53.848811999999995</v>
      </c>
      <c r="G70" s="29"/>
      <c r="H70" s="97">
        <f t="shared" si="5"/>
        <v>48.953465454545452</v>
      </c>
    </row>
    <row r="71" spans="1:8" ht="20.100000000000001" customHeight="1">
      <c r="A71" s="22" t="s">
        <v>5101</v>
      </c>
      <c r="B71" s="22" t="s">
        <v>5100</v>
      </c>
      <c r="C71" s="23" t="s">
        <v>5102</v>
      </c>
      <c r="D71" s="30">
        <v>667.44</v>
      </c>
      <c r="E71" s="94">
        <f t="shared" si="3"/>
        <v>24.472800000000003</v>
      </c>
      <c r="F71" s="94">
        <f t="shared" si="4"/>
        <v>26.697600000000001</v>
      </c>
      <c r="G71" s="29"/>
      <c r="H71" s="97">
        <f t="shared" si="5"/>
        <v>24.270545454545456</v>
      </c>
    </row>
    <row r="72" spans="1:8" ht="20.100000000000001" customHeight="1">
      <c r="A72" s="22" t="s">
        <v>3518</v>
      </c>
      <c r="B72" s="22" t="s">
        <v>3517</v>
      </c>
      <c r="C72" s="23" t="s">
        <v>3519</v>
      </c>
      <c r="D72" s="30">
        <v>509.85</v>
      </c>
      <c r="E72" s="94">
        <f t="shared" si="3"/>
        <v>18.694500000000001</v>
      </c>
      <c r="F72" s="94">
        <f t="shared" si="4"/>
        <v>20.394000000000002</v>
      </c>
      <c r="G72" s="29"/>
      <c r="H72" s="97">
        <f t="shared" si="5"/>
        <v>18.540000000000003</v>
      </c>
    </row>
    <row r="73" spans="1:8" ht="20.100000000000001" customHeight="1">
      <c r="A73" s="22" t="s">
        <v>5104</v>
      </c>
      <c r="B73" s="22" t="s">
        <v>5103</v>
      </c>
      <c r="C73" s="23" t="s">
        <v>5105</v>
      </c>
      <c r="D73" s="30">
        <v>672.59</v>
      </c>
      <c r="E73" s="94">
        <f t="shared" si="3"/>
        <v>24.661633333333334</v>
      </c>
      <c r="F73" s="94">
        <f t="shared" si="4"/>
        <v>26.903600000000001</v>
      </c>
      <c r="G73" s="29"/>
      <c r="H73" s="97">
        <f t="shared" si="5"/>
        <v>24.457818181818183</v>
      </c>
    </row>
    <row r="74" spans="1:8" ht="20.100000000000001" customHeight="1">
      <c r="A74" s="22" t="s">
        <v>5107</v>
      </c>
      <c r="B74" s="22" t="s">
        <v>5106</v>
      </c>
      <c r="C74" s="23" t="s">
        <v>5108</v>
      </c>
      <c r="D74" s="30">
        <v>526.33000000000004</v>
      </c>
      <c r="E74" s="94">
        <f t="shared" si="3"/>
        <v>19.298766666666669</v>
      </c>
      <c r="F74" s="94">
        <f t="shared" si="4"/>
        <v>21.0532</v>
      </c>
      <c r="G74" s="29"/>
      <c r="H74" s="97">
        <f t="shared" si="5"/>
        <v>19.139272727272726</v>
      </c>
    </row>
    <row r="75" spans="1:8" ht="20.100000000000001" customHeight="1">
      <c r="A75" s="22" t="s">
        <v>5110</v>
      </c>
      <c r="B75" s="22" t="s">
        <v>5109</v>
      </c>
      <c r="C75" s="23" t="s">
        <v>5111</v>
      </c>
      <c r="D75" s="30">
        <v>1203.1532999999999</v>
      </c>
      <c r="E75" s="94">
        <f t="shared" si="3"/>
        <v>44.115621000000004</v>
      </c>
      <c r="F75" s="94">
        <f t="shared" si="4"/>
        <v>48.126131999999998</v>
      </c>
      <c r="G75" s="29"/>
      <c r="H75" s="97">
        <f t="shared" si="5"/>
        <v>43.751029090909093</v>
      </c>
    </row>
    <row r="76" spans="1:8" ht="20.100000000000001" customHeight="1">
      <c r="A76" s="22" t="s">
        <v>5113</v>
      </c>
      <c r="B76" s="22" t="s">
        <v>5112</v>
      </c>
      <c r="C76" s="23" t="s">
        <v>5114</v>
      </c>
      <c r="D76" s="30">
        <v>573.71</v>
      </c>
      <c r="E76" s="94">
        <f t="shared" si="3"/>
        <v>21.036033333333339</v>
      </c>
      <c r="F76" s="94">
        <f t="shared" si="4"/>
        <v>22.948399999999999</v>
      </c>
      <c r="G76" s="29"/>
      <c r="H76" s="97">
        <f t="shared" si="5"/>
        <v>20.862181818181817</v>
      </c>
    </row>
    <row r="77" spans="1:8" ht="20.100000000000001" customHeight="1">
      <c r="A77" s="22" t="s">
        <v>5116</v>
      </c>
      <c r="B77" s="22" t="s">
        <v>5115</v>
      </c>
      <c r="C77" s="23" t="s">
        <v>5117</v>
      </c>
      <c r="D77" s="30">
        <v>1060.076</v>
      </c>
      <c r="E77" s="94">
        <f t="shared" si="3"/>
        <v>38.86945333333334</v>
      </c>
      <c r="F77" s="94">
        <f t="shared" si="4"/>
        <v>42.403040000000004</v>
      </c>
      <c r="G77" s="29"/>
      <c r="H77" s="97">
        <f t="shared" si="5"/>
        <v>38.548218181818186</v>
      </c>
    </row>
    <row r="78" spans="1:8" ht="20.100000000000001" customHeight="1">
      <c r="A78" s="22" t="s">
        <v>5119</v>
      </c>
      <c r="B78" s="22" t="s">
        <v>5118</v>
      </c>
      <c r="C78" s="23" t="s">
        <v>5120</v>
      </c>
      <c r="D78" s="30">
        <v>479.98</v>
      </c>
      <c r="E78" s="94">
        <f t="shared" si="3"/>
        <v>17.599266666666669</v>
      </c>
      <c r="F78" s="94">
        <f t="shared" si="4"/>
        <v>19.199200000000001</v>
      </c>
      <c r="G78" s="29"/>
      <c r="H78" s="97">
        <f t="shared" si="5"/>
        <v>17.453818181818182</v>
      </c>
    </row>
    <row r="79" spans="1:8" ht="20.100000000000001" customHeight="1">
      <c r="A79" s="22" t="s">
        <v>5122</v>
      </c>
      <c r="B79" s="22" t="s">
        <v>5121</v>
      </c>
      <c r="C79" s="23" t="s">
        <v>5123</v>
      </c>
      <c r="D79" s="30">
        <v>515</v>
      </c>
      <c r="E79" s="94">
        <f t="shared" si="3"/>
        <v>18.883333333333333</v>
      </c>
      <c r="F79" s="94">
        <f t="shared" si="4"/>
        <v>20.6</v>
      </c>
      <c r="G79" s="29"/>
      <c r="H79" s="97">
        <f t="shared" si="5"/>
        <v>18.727272727272727</v>
      </c>
    </row>
    <row r="80" spans="1:8" ht="20.100000000000001" customHeight="1">
      <c r="A80" s="22" t="s">
        <v>5125</v>
      </c>
      <c r="B80" s="22" t="s">
        <v>5124</v>
      </c>
      <c r="C80" s="23" t="s">
        <v>5126</v>
      </c>
      <c r="D80" s="30">
        <v>503.67</v>
      </c>
      <c r="E80" s="94">
        <f t="shared" si="3"/>
        <v>18.4679</v>
      </c>
      <c r="F80" s="94">
        <f t="shared" si="4"/>
        <v>20.146799999999999</v>
      </c>
      <c r="G80" s="29"/>
      <c r="H80" s="97">
        <f t="shared" si="5"/>
        <v>18.315272727272728</v>
      </c>
    </row>
    <row r="81" spans="1:8" ht="20.100000000000001" customHeight="1">
      <c r="A81" s="22" t="s">
        <v>5128</v>
      </c>
      <c r="B81" s="22" t="s">
        <v>5127</v>
      </c>
      <c r="C81" s="23" t="s">
        <v>5129</v>
      </c>
      <c r="D81" s="30">
        <v>556.20000000000005</v>
      </c>
      <c r="E81" s="94">
        <f t="shared" si="3"/>
        <v>20.394000000000002</v>
      </c>
      <c r="F81" s="94">
        <f t="shared" si="4"/>
        <v>22.248000000000001</v>
      </c>
      <c r="G81" s="29"/>
      <c r="H81" s="97">
        <f t="shared" si="5"/>
        <v>20.225454545454546</v>
      </c>
    </row>
    <row r="82" spans="1:8" ht="20.100000000000001" customHeight="1">
      <c r="A82" s="22" t="s">
        <v>5131</v>
      </c>
      <c r="B82" s="22" t="s">
        <v>5130</v>
      </c>
      <c r="C82" s="23" t="s">
        <v>5132</v>
      </c>
      <c r="D82" s="30">
        <v>978.5</v>
      </c>
      <c r="E82" s="94">
        <f t="shared" si="3"/>
        <v>35.878333333333337</v>
      </c>
      <c r="F82" s="94">
        <f t="shared" si="4"/>
        <v>39.14</v>
      </c>
      <c r="G82" s="29"/>
      <c r="H82" s="97">
        <f t="shared" si="5"/>
        <v>35.581818181818186</v>
      </c>
    </row>
    <row r="83" spans="1:8" ht="20.100000000000001" customHeight="1">
      <c r="A83" s="22" t="s">
        <v>5134</v>
      </c>
      <c r="B83" s="22" t="s">
        <v>5133</v>
      </c>
      <c r="C83" s="23" t="s">
        <v>5135</v>
      </c>
      <c r="D83" s="30">
        <v>654.05000000000007</v>
      </c>
      <c r="E83" s="94">
        <f t="shared" si="3"/>
        <v>23.981833333333338</v>
      </c>
      <c r="F83" s="94">
        <f t="shared" si="4"/>
        <v>26.161999999999999</v>
      </c>
      <c r="G83" s="29"/>
      <c r="H83" s="97">
        <f t="shared" si="5"/>
        <v>23.783636363636365</v>
      </c>
    </row>
    <row r="84" spans="1:8" ht="20.100000000000001" customHeight="1">
      <c r="A84" s="22" t="s">
        <v>5137</v>
      </c>
      <c r="B84" s="22" t="s">
        <v>5136</v>
      </c>
      <c r="C84" s="23" t="s">
        <v>5138</v>
      </c>
      <c r="D84" s="30">
        <v>1011.0068</v>
      </c>
      <c r="E84" s="94">
        <f t="shared" si="3"/>
        <v>37.070249333333336</v>
      </c>
      <c r="F84" s="94">
        <f t="shared" si="4"/>
        <v>40.440272</v>
      </c>
      <c r="G84" s="29"/>
      <c r="H84" s="97">
        <f t="shared" si="5"/>
        <v>36.76388363636363</v>
      </c>
    </row>
    <row r="85" spans="1:8" ht="20.100000000000001" customHeight="1">
      <c r="A85" s="22" t="s">
        <v>5140</v>
      </c>
      <c r="B85" s="22" t="s">
        <v>5139</v>
      </c>
      <c r="C85" s="23" t="s">
        <v>5141</v>
      </c>
      <c r="D85" s="30">
        <v>550.02</v>
      </c>
      <c r="E85" s="94">
        <f t="shared" si="3"/>
        <v>20.167400000000001</v>
      </c>
      <c r="F85" s="94">
        <f t="shared" si="4"/>
        <v>22.000800000000002</v>
      </c>
      <c r="G85" s="29"/>
      <c r="H85" s="97">
        <f t="shared" si="5"/>
        <v>20.000727272727271</v>
      </c>
    </row>
    <row r="86" spans="1:8" ht="20.100000000000001" customHeight="1">
      <c r="A86" s="22" t="s">
        <v>5143</v>
      </c>
      <c r="B86" s="22" t="s">
        <v>5142</v>
      </c>
      <c r="C86" s="23" t="s">
        <v>5144</v>
      </c>
      <c r="D86" s="30">
        <v>1148.4706000000001</v>
      </c>
      <c r="E86" s="94">
        <f t="shared" si="3"/>
        <v>42.110588666666672</v>
      </c>
      <c r="F86" s="94">
        <f t="shared" si="4"/>
        <v>45.938823999999997</v>
      </c>
      <c r="G86" s="29"/>
      <c r="H86" s="97">
        <f t="shared" si="5"/>
        <v>41.762567272727274</v>
      </c>
    </row>
    <row r="87" spans="1:8" ht="20.100000000000001" customHeight="1">
      <c r="A87" s="22" t="s">
        <v>5143</v>
      </c>
      <c r="B87" s="22" t="s">
        <v>5142</v>
      </c>
      <c r="C87" s="23" t="s">
        <v>5145</v>
      </c>
      <c r="D87" s="30">
        <v>1148.4706000000001</v>
      </c>
      <c r="E87" s="94">
        <f t="shared" si="3"/>
        <v>42.110588666666672</v>
      </c>
      <c r="F87" s="94">
        <f t="shared" si="4"/>
        <v>45.938823999999997</v>
      </c>
      <c r="G87" s="29"/>
      <c r="H87" s="97">
        <f t="shared" si="5"/>
        <v>41.762567272727274</v>
      </c>
    </row>
    <row r="88" spans="1:8" ht="20.100000000000001" customHeight="1">
      <c r="A88" s="22" t="s">
        <v>5147</v>
      </c>
      <c r="B88" s="22" t="s">
        <v>5146</v>
      </c>
      <c r="C88" s="23" t="s">
        <v>5148</v>
      </c>
      <c r="D88" s="30">
        <v>1011.0068</v>
      </c>
      <c r="E88" s="94">
        <f t="shared" si="3"/>
        <v>37.070249333333336</v>
      </c>
      <c r="F88" s="94">
        <f t="shared" si="4"/>
        <v>40.440272</v>
      </c>
      <c r="G88" s="29"/>
      <c r="H88" s="97">
        <f t="shared" si="5"/>
        <v>36.76388363636363</v>
      </c>
    </row>
    <row r="89" spans="1:8" ht="20.100000000000001" customHeight="1">
      <c r="A89" s="22" t="s">
        <v>5150</v>
      </c>
      <c r="B89" s="22" t="s">
        <v>5149</v>
      </c>
      <c r="C89" s="23" t="s">
        <v>5151</v>
      </c>
      <c r="D89" s="30">
        <v>693.11789999999996</v>
      </c>
      <c r="E89" s="94">
        <f t="shared" si="3"/>
        <v>25.414323000000003</v>
      </c>
      <c r="F89" s="94">
        <f t="shared" si="4"/>
        <v>27.724715999999997</v>
      </c>
      <c r="G89" s="29"/>
      <c r="H89" s="97">
        <f t="shared" si="5"/>
        <v>25.204287272727271</v>
      </c>
    </row>
    <row r="90" spans="1:8" ht="20.100000000000001" customHeight="1">
      <c r="A90" s="22" t="s">
        <v>5153</v>
      </c>
      <c r="B90" s="22" t="s">
        <v>5152</v>
      </c>
      <c r="C90" s="23" t="s">
        <v>5154</v>
      </c>
      <c r="D90" s="30">
        <v>628.30000000000007</v>
      </c>
      <c r="E90" s="94">
        <f t="shared" si="3"/>
        <v>23.03766666666667</v>
      </c>
      <c r="F90" s="94">
        <f t="shared" si="4"/>
        <v>25.132000000000001</v>
      </c>
      <c r="G90" s="29"/>
      <c r="H90" s="97">
        <f t="shared" si="5"/>
        <v>22.847272727272728</v>
      </c>
    </row>
    <row r="91" spans="1:8" ht="20.100000000000001" customHeight="1">
      <c r="A91" s="22" t="s">
        <v>5156</v>
      </c>
      <c r="B91" s="22" t="s">
        <v>5155</v>
      </c>
      <c r="C91" s="23" t="s">
        <v>5157</v>
      </c>
      <c r="D91" s="30">
        <v>532.51</v>
      </c>
      <c r="E91" s="94">
        <f t="shared" si="3"/>
        <v>19.52536666666667</v>
      </c>
      <c r="F91" s="94">
        <f t="shared" si="4"/>
        <v>21.3004</v>
      </c>
      <c r="G91" s="29"/>
      <c r="H91" s="97">
        <f t="shared" si="5"/>
        <v>19.363999999999997</v>
      </c>
    </row>
    <row r="92" spans="1:8" ht="20.100000000000001" customHeight="1">
      <c r="A92" s="22" t="s">
        <v>5159</v>
      </c>
      <c r="B92" s="22" t="s">
        <v>5158</v>
      </c>
      <c r="C92" s="23" t="s">
        <v>5160</v>
      </c>
      <c r="D92" s="30">
        <v>561.35</v>
      </c>
      <c r="E92" s="94">
        <f t="shared" si="3"/>
        <v>20.582833333333337</v>
      </c>
      <c r="F92" s="94">
        <f t="shared" si="4"/>
        <v>22.454000000000001</v>
      </c>
      <c r="G92" s="29"/>
      <c r="H92" s="97">
        <f t="shared" si="5"/>
        <v>20.412727272727274</v>
      </c>
    </row>
    <row r="93" spans="1:8" ht="20.100000000000001" customHeight="1">
      <c r="A93" s="22" t="s">
        <v>5162</v>
      </c>
      <c r="B93" s="22" t="s">
        <v>5161</v>
      </c>
      <c r="C93" s="23" t="s">
        <v>5163</v>
      </c>
      <c r="D93" s="30">
        <v>1060.076</v>
      </c>
      <c r="E93" s="94">
        <f t="shared" si="3"/>
        <v>38.86945333333334</v>
      </c>
      <c r="F93" s="94">
        <f t="shared" si="4"/>
        <v>42.403040000000004</v>
      </c>
      <c r="G93" s="29"/>
      <c r="H93" s="97">
        <f t="shared" si="5"/>
        <v>38.548218181818186</v>
      </c>
    </row>
    <row r="94" spans="1:8" ht="20.100000000000001" customHeight="1">
      <c r="A94" s="21" t="s">
        <v>5165</v>
      </c>
      <c r="B94" s="21" t="s">
        <v>5164</v>
      </c>
      <c r="C94" s="23" t="s">
        <v>5166</v>
      </c>
      <c r="D94" s="30">
        <v>503.67</v>
      </c>
      <c r="E94" s="94">
        <f t="shared" si="3"/>
        <v>18.4679</v>
      </c>
      <c r="F94" s="94">
        <f t="shared" si="4"/>
        <v>20.146799999999999</v>
      </c>
      <c r="G94" s="29"/>
      <c r="H94" s="97">
        <f t="shared" si="5"/>
        <v>18.315272727272728</v>
      </c>
    </row>
    <row r="95" spans="1:8" ht="20.100000000000001" customHeight="1">
      <c r="A95" s="21" t="s">
        <v>5168</v>
      </c>
      <c r="B95" s="21" t="s">
        <v>5167</v>
      </c>
      <c r="C95" s="23" t="s">
        <v>5169</v>
      </c>
      <c r="D95" s="30">
        <v>543.84</v>
      </c>
      <c r="E95" s="94">
        <f t="shared" si="3"/>
        <v>19.940800000000003</v>
      </c>
      <c r="F95" s="94">
        <f t="shared" si="4"/>
        <v>21.753600000000002</v>
      </c>
      <c r="G95" s="29"/>
      <c r="H95" s="97">
        <f t="shared" si="5"/>
        <v>19.776000000000003</v>
      </c>
    </row>
    <row r="96" spans="1:8" ht="20.100000000000001" customHeight="1">
      <c r="A96" s="22" t="s">
        <v>5171</v>
      </c>
      <c r="B96" s="22" t="s">
        <v>5170</v>
      </c>
      <c r="C96" s="23" t="s">
        <v>5172</v>
      </c>
      <c r="D96" s="30">
        <v>637.57000000000005</v>
      </c>
      <c r="E96" s="94">
        <f t="shared" si="3"/>
        <v>23.37756666666667</v>
      </c>
      <c r="F96" s="94">
        <f t="shared" si="4"/>
        <v>25.502800000000001</v>
      </c>
      <c r="G96" s="29"/>
      <c r="H96" s="97">
        <f t="shared" si="5"/>
        <v>23.184363636363639</v>
      </c>
    </row>
    <row r="97" spans="1:8" ht="20.100000000000001" customHeight="1">
      <c r="A97" s="21" t="s">
        <v>3701</v>
      </c>
      <c r="B97" s="21" t="s">
        <v>3700</v>
      </c>
      <c r="C97" s="28" t="s">
        <v>3702</v>
      </c>
      <c r="D97" s="30">
        <v>1011.8926</v>
      </c>
      <c r="E97" s="94">
        <f t="shared" si="3"/>
        <v>37.102728666666664</v>
      </c>
      <c r="F97" s="94">
        <f t="shared" si="4"/>
        <v>40.475703999999993</v>
      </c>
      <c r="G97" s="29"/>
      <c r="H97" s="97">
        <f t="shared" si="5"/>
        <v>36.796094545454544</v>
      </c>
    </row>
    <row r="98" spans="1:8" ht="20.100000000000001" customHeight="1">
      <c r="A98" s="22" t="s">
        <v>5177</v>
      </c>
      <c r="B98" s="22" t="s">
        <v>5176</v>
      </c>
      <c r="C98" s="23" t="s">
        <v>5178</v>
      </c>
      <c r="D98" s="30">
        <v>1092.2944</v>
      </c>
      <c r="E98" s="94">
        <f t="shared" si="3"/>
        <v>40.050794666666668</v>
      </c>
      <c r="F98" s="94">
        <f t="shared" si="4"/>
        <v>43.691775999999997</v>
      </c>
      <c r="G98" s="29"/>
      <c r="H98" s="97">
        <f t="shared" si="5"/>
        <v>39.719796363636362</v>
      </c>
    </row>
    <row r="99" spans="1:8" ht="20.100000000000001" customHeight="1">
      <c r="A99" s="22" t="s">
        <v>5180</v>
      </c>
      <c r="B99" s="22" t="s">
        <v>5179</v>
      </c>
      <c r="C99" s="23" t="s">
        <v>5181</v>
      </c>
      <c r="D99" s="30">
        <v>495.43</v>
      </c>
      <c r="E99" s="94">
        <f t="shared" si="3"/>
        <v>18.16576666666667</v>
      </c>
      <c r="F99" s="94">
        <f t="shared" si="4"/>
        <v>19.8172</v>
      </c>
      <c r="G99" s="29"/>
      <c r="H99" s="97">
        <f t="shared" si="5"/>
        <v>18.015636363636361</v>
      </c>
    </row>
    <row r="100" spans="1:8" ht="20.100000000000001" customHeight="1">
      <c r="A100" s="22" t="s">
        <v>5183</v>
      </c>
      <c r="B100" s="22" t="s">
        <v>5182</v>
      </c>
      <c r="C100" s="23" t="s">
        <v>5184</v>
      </c>
      <c r="D100" s="30">
        <v>432.6</v>
      </c>
      <c r="E100" s="94">
        <f t="shared" si="3"/>
        <v>15.862000000000002</v>
      </c>
      <c r="F100" s="94">
        <f t="shared" si="4"/>
        <v>17.303999999999998</v>
      </c>
      <c r="G100" s="29"/>
      <c r="H100" s="97">
        <f t="shared" si="5"/>
        <v>15.730909090909091</v>
      </c>
    </row>
    <row r="101" spans="1:8" ht="20.100000000000001" customHeight="1">
      <c r="A101" s="21" t="s">
        <v>5186</v>
      </c>
      <c r="B101" s="21" t="s">
        <v>5185</v>
      </c>
      <c r="C101" s="28" t="s">
        <v>5187</v>
      </c>
      <c r="D101" s="30">
        <v>925.85670000000005</v>
      </c>
      <c r="E101" s="94">
        <f t="shared" si="3"/>
        <v>33.948079</v>
      </c>
      <c r="F101" s="94">
        <f t="shared" si="4"/>
        <v>37.034267999999997</v>
      </c>
      <c r="G101" s="29"/>
      <c r="H101" s="97">
        <f t="shared" si="5"/>
        <v>33.667516363636359</v>
      </c>
    </row>
    <row r="102" spans="1:8" ht="20.100000000000001" customHeight="1">
      <c r="A102" s="21" t="s">
        <v>5189</v>
      </c>
      <c r="B102" s="21" t="s">
        <v>5188</v>
      </c>
      <c r="C102" s="23" t="s">
        <v>5190</v>
      </c>
      <c r="D102" s="30">
        <v>866.23</v>
      </c>
      <c r="E102" s="94">
        <f t="shared" si="3"/>
        <v>31.76176666666667</v>
      </c>
      <c r="F102" s="94">
        <f t="shared" si="4"/>
        <v>34.649199999999993</v>
      </c>
      <c r="G102" s="29"/>
      <c r="H102" s="97">
        <f t="shared" si="5"/>
        <v>31.499272727272725</v>
      </c>
    </row>
    <row r="103" spans="1:8" ht="20.100000000000001" customHeight="1">
      <c r="A103" s="21" t="s">
        <v>5192</v>
      </c>
      <c r="B103" s="21" t="s">
        <v>5191</v>
      </c>
      <c r="C103" s="28" t="s">
        <v>3705</v>
      </c>
      <c r="D103" s="30">
        <v>863.19150000000002</v>
      </c>
      <c r="E103" s="94">
        <f t="shared" si="3"/>
        <v>31.650355000000001</v>
      </c>
      <c r="F103" s="94">
        <f t="shared" si="4"/>
        <v>34.527659999999997</v>
      </c>
      <c r="G103" s="29"/>
      <c r="H103" s="97">
        <f t="shared" si="5"/>
        <v>31.388781818181819</v>
      </c>
    </row>
    <row r="104" spans="1:8" ht="20.100000000000001" customHeight="1">
      <c r="A104" s="21" t="s">
        <v>5192</v>
      </c>
      <c r="B104" s="21" t="s">
        <v>5191</v>
      </c>
      <c r="C104" s="28" t="s">
        <v>3705</v>
      </c>
      <c r="D104" s="30">
        <v>863.19150000000002</v>
      </c>
      <c r="E104" s="94">
        <f t="shared" si="3"/>
        <v>31.650355000000001</v>
      </c>
      <c r="F104" s="94">
        <f t="shared" si="4"/>
        <v>34.527659999999997</v>
      </c>
      <c r="G104" s="29"/>
      <c r="H104" s="97">
        <f t="shared" si="5"/>
        <v>31.388781818181819</v>
      </c>
    </row>
    <row r="105" spans="1:8" ht="20.100000000000001" customHeight="1">
      <c r="A105" s="21" t="s">
        <v>5194</v>
      </c>
      <c r="B105" s="21" t="s">
        <v>5193</v>
      </c>
      <c r="C105" s="28" t="s">
        <v>5195</v>
      </c>
      <c r="D105" s="30">
        <v>925.85670000000005</v>
      </c>
      <c r="E105" s="94">
        <f t="shared" si="3"/>
        <v>33.948079</v>
      </c>
      <c r="F105" s="94">
        <f t="shared" si="4"/>
        <v>37.034267999999997</v>
      </c>
      <c r="G105" s="29"/>
      <c r="H105" s="97">
        <f t="shared" si="5"/>
        <v>33.667516363636359</v>
      </c>
    </row>
    <row r="106" spans="1:8" ht="20.100000000000001" customHeight="1">
      <c r="A106" s="22" t="s">
        <v>5197</v>
      </c>
      <c r="B106" s="22" t="s">
        <v>5196</v>
      </c>
      <c r="C106" s="23" t="s">
        <v>5198</v>
      </c>
      <c r="D106" s="30">
        <v>679.80000000000007</v>
      </c>
      <c r="E106" s="94">
        <f t="shared" si="3"/>
        <v>24.926000000000002</v>
      </c>
      <c r="F106" s="94">
        <f t="shared" si="4"/>
        <v>27.192000000000004</v>
      </c>
      <c r="G106" s="29"/>
      <c r="H106" s="97">
        <f t="shared" si="5"/>
        <v>24.720000000000002</v>
      </c>
    </row>
    <row r="107" spans="1:8" ht="20.100000000000001" customHeight="1">
      <c r="A107" s="21" t="s">
        <v>3704</v>
      </c>
      <c r="B107" s="21" t="s">
        <v>3703</v>
      </c>
      <c r="C107" s="28" t="s">
        <v>3705</v>
      </c>
      <c r="D107" s="30">
        <v>1011.8926</v>
      </c>
      <c r="E107" s="94">
        <f t="shared" si="3"/>
        <v>37.102728666666664</v>
      </c>
      <c r="F107" s="94">
        <f t="shared" si="4"/>
        <v>40.475703999999993</v>
      </c>
      <c r="G107" s="29"/>
      <c r="H107" s="97">
        <f t="shared" si="5"/>
        <v>36.796094545454544</v>
      </c>
    </row>
    <row r="108" spans="1:8" ht="20.100000000000001" customHeight="1">
      <c r="A108" s="21" t="s">
        <v>5203</v>
      </c>
      <c r="B108" s="21" t="s">
        <v>5202</v>
      </c>
      <c r="C108" s="23" t="s">
        <v>5204</v>
      </c>
      <c r="D108" s="30">
        <v>626.24</v>
      </c>
      <c r="E108" s="94">
        <f t="shared" si="3"/>
        <v>22.962133333333334</v>
      </c>
      <c r="F108" s="94">
        <f t="shared" si="4"/>
        <v>25.049599999999998</v>
      </c>
      <c r="G108" s="29"/>
      <c r="H108" s="97">
        <f t="shared" si="5"/>
        <v>22.772363636363636</v>
      </c>
    </row>
    <row r="109" spans="1:8" ht="20.100000000000001" customHeight="1">
      <c r="A109" s="22" t="s">
        <v>5206</v>
      </c>
      <c r="B109" s="22" t="s">
        <v>5205</v>
      </c>
      <c r="C109" s="23" t="s">
        <v>5207</v>
      </c>
      <c r="D109" s="30">
        <v>819.22080000000005</v>
      </c>
      <c r="E109" s="94">
        <f t="shared" si="3"/>
        <v>30.038096000000003</v>
      </c>
      <c r="F109" s="94">
        <f t="shared" si="4"/>
        <v>32.768832000000003</v>
      </c>
      <c r="G109" s="29"/>
      <c r="H109" s="97">
        <f t="shared" si="5"/>
        <v>29.789847272727275</v>
      </c>
    </row>
    <row r="110" spans="1:8" ht="20.100000000000001" customHeight="1">
      <c r="A110" s="21" t="s">
        <v>5209</v>
      </c>
      <c r="B110" s="21" t="s">
        <v>5208</v>
      </c>
      <c r="C110" s="23" t="s">
        <v>5210</v>
      </c>
      <c r="D110" s="30">
        <v>503.67</v>
      </c>
      <c r="E110" s="94">
        <f t="shared" si="3"/>
        <v>18.4679</v>
      </c>
      <c r="F110" s="94">
        <f t="shared" si="4"/>
        <v>20.146799999999999</v>
      </c>
      <c r="G110" s="29"/>
      <c r="H110" s="97">
        <f t="shared" si="5"/>
        <v>18.315272727272728</v>
      </c>
    </row>
    <row r="111" spans="1:8" ht="20.100000000000001" customHeight="1">
      <c r="A111" s="21" t="s">
        <v>5212</v>
      </c>
      <c r="B111" s="21" t="s">
        <v>5211</v>
      </c>
      <c r="C111" s="28" t="s">
        <v>5213</v>
      </c>
      <c r="D111" s="30">
        <v>638.6</v>
      </c>
      <c r="E111" s="94">
        <f t="shared" si="3"/>
        <v>23.415333333333333</v>
      </c>
      <c r="F111" s="94">
        <f t="shared" si="4"/>
        <v>25.544</v>
      </c>
      <c r="G111" s="29"/>
      <c r="H111" s="97">
        <f t="shared" si="5"/>
        <v>23.221818181818183</v>
      </c>
    </row>
    <row r="112" spans="1:8" ht="20.100000000000001" customHeight="1">
      <c r="A112" s="22" t="s">
        <v>5215</v>
      </c>
      <c r="B112" s="22" t="s">
        <v>5214</v>
      </c>
      <c r="C112" s="23" t="s">
        <v>5216</v>
      </c>
      <c r="D112" s="30">
        <v>707.75419999999997</v>
      </c>
      <c r="E112" s="94">
        <f t="shared" si="3"/>
        <v>25.950987333333334</v>
      </c>
      <c r="F112" s="94">
        <f t="shared" si="4"/>
        <v>28.310167999999997</v>
      </c>
      <c r="G112" s="29"/>
      <c r="H112" s="97">
        <f t="shared" si="5"/>
        <v>25.736516363636362</v>
      </c>
    </row>
    <row r="113" spans="1:8" ht="20.100000000000001" customHeight="1">
      <c r="A113" s="21" t="s">
        <v>5218</v>
      </c>
      <c r="B113" s="21" t="s">
        <v>5217</v>
      </c>
      <c r="C113" s="28" t="s">
        <v>3705</v>
      </c>
      <c r="D113" s="30">
        <v>863.19150000000002</v>
      </c>
      <c r="E113" s="94">
        <f t="shared" si="3"/>
        <v>31.650355000000001</v>
      </c>
      <c r="F113" s="94">
        <f t="shared" si="4"/>
        <v>34.527659999999997</v>
      </c>
      <c r="G113" s="29"/>
      <c r="H113" s="97">
        <f t="shared" si="5"/>
        <v>31.388781818181819</v>
      </c>
    </row>
    <row r="114" spans="1:8" ht="20.100000000000001" customHeight="1">
      <c r="A114" s="21" t="s">
        <v>5218</v>
      </c>
      <c r="B114" s="21" t="s">
        <v>5217</v>
      </c>
      <c r="C114" s="28" t="s">
        <v>5219</v>
      </c>
      <c r="D114" s="30">
        <v>863.19150000000002</v>
      </c>
      <c r="E114" s="94">
        <f t="shared" si="3"/>
        <v>31.650355000000001</v>
      </c>
      <c r="F114" s="94">
        <f t="shared" si="4"/>
        <v>34.527659999999997</v>
      </c>
      <c r="G114" s="29"/>
      <c r="H114" s="97">
        <f t="shared" si="5"/>
        <v>31.388781818181819</v>
      </c>
    </row>
    <row r="115" spans="1:8" ht="20.100000000000001" customHeight="1">
      <c r="A115" s="22" t="s">
        <v>3521</v>
      </c>
      <c r="B115" s="22" t="s">
        <v>3520</v>
      </c>
      <c r="C115" s="23" t="s">
        <v>3522</v>
      </c>
      <c r="D115" s="30" t="e">
        <f>#REF!+#REF!</f>
        <v>#REF!</v>
      </c>
      <c r="E115" s="94" t="e">
        <f t="shared" si="3"/>
        <v>#REF!</v>
      </c>
      <c r="F115" s="94" t="e">
        <f t="shared" si="4"/>
        <v>#REF!</v>
      </c>
      <c r="G115" s="29"/>
      <c r="H115" s="97" t="e">
        <f t="shared" si="5"/>
        <v>#REF!</v>
      </c>
    </row>
    <row r="116" spans="1:8" ht="20.100000000000001" customHeight="1">
      <c r="A116" s="21" t="s">
        <v>5221</v>
      </c>
      <c r="B116" s="21" t="s">
        <v>5220</v>
      </c>
      <c r="C116" s="23" t="s">
        <v>5222</v>
      </c>
      <c r="D116" s="30">
        <v>596.37</v>
      </c>
      <c r="E116" s="94">
        <f t="shared" si="3"/>
        <v>21.866900000000001</v>
      </c>
      <c r="F116" s="94">
        <f t="shared" si="4"/>
        <v>23.854800000000001</v>
      </c>
      <c r="G116" s="29"/>
      <c r="H116" s="97">
        <f t="shared" si="5"/>
        <v>21.686181818181819</v>
      </c>
    </row>
    <row r="117" spans="1:8" ht="20.100000000000001" customHeight="1">
      <c r="A117" s="21" t="s">
        <v>5224</v>
      </c>
      <c r="B117" s="21" t="s">
        <v>5223</v>
      </c>
      <c r="C117" s="23" t="s">
        <v>5225</v>
      </c>
      <c r="D117" s="30">
        <v>659.2</v>
      </c>
      <c r="E117" s="94">
        <f t="shared" si="3"/>
        <v>24.170666666666669</v>
      </c>
      <c r="F117" s="94">
        <f t="shared" si="4"/>
        <v>26.368000000000002</v>
      </c>
      <c r="G117" s="29"/>
      <c r="H117" s="97">
        <f t="shared" si="5"/>
        <v>23.970909090909092</v>
      </c>
    </row>
    <row r="118" spans="1:8" ht="20.100000000000001" customHeight="1">
      <c r="A118" s="21" t="s">
        <v>5227</v>
      </c>
      <c r="B118" s="21" t="s">
        <v>5226</v>
      </c>
      <c r="C118" s="23" t="s">
        <v>5228</v>
      </c>
      <c r="D118" s="30">
        <v>1011.8926</v>
      </c>
      <c r="E118" s="94">
        <f t="shared" si="3"/>
        <v>37.102728666666664</v>
      </c>
      <c r="F118" s="94">
        <f t="shared" si="4"/>
        <v>40.475703999999993</v>
      </c>
      <c r="G118" s="29"/>
      <c r="H118" s="97">
        <f t="shared" si="5"/>
        <v>36.796094545454544</v>
      </c>
    </row>
    <row r="119" spans="1:8" ht="20.100000000000001" customHeight="1">
      <c r="A119" s="21" t="s">
        <v>5227</v>
      </c>
      <c r="B119" s="21" t="s">
        <v>5226</v>
      </c>
      <c r="C119" s="28" t="s">
        <v>5229</v>
      </c>
      <c r="D119" s="30">
        <v>1011.8926</v>
      </c>
      <c r="E119" s="94">
        <f t="shared" si="3"/>
        <v>37.102728666666664</v>
      </c>
      <c r="F119" s="94">
        <f t="shared" si="4"/>
        <v>40.475703999999993</v>
      </c>
      <c r="G119" s="29"/>
      <c r="H119" s="97">
        <f t="shared" si="5"/>
        <v>36.796094545454544</v>
      </c>
    </row>
    <row r="120" spans="1:8" ht="20.100000000000001" customHeight="1">
      <c r="A120" s="22" t="s">
        <v>5231</v>
      </c>
      <c r="B120" s="22" t="s">
        <v>5230</v>
      </c>
      <c r="C120" s="23" t="s">
        <v>5232</v>
      </c>
      <c r="D120" s="30">
        <v>503.67</v>
      </c>
      <c r="E120" s="94">
        <f t="shared" si="3"/>
        <v>18.4679</v>
      </c>
      <c r="F120" s="94">
        <f t="shared" si="4"/>
        <v>20.146799999999999</v>
      </c>
      <c r="G120" s="29"/>
      <c r="H120" s="97">
        <f t="shared" si="5"/>
        <v>18.315272727272728</v>
      </c>
    </row>
    <row r="121" spans="1:8" ht="20.100000000000001" customHeight="1">
      <c r="A121" s="21" t="s">
        <v>5234</v>
      </c>
      <c r="B121" s="21" t="s">
        <v>5233</v>
      </c>
      <c r="C121" s="23" t="s">
        <v>5235</v>
      </c>
      <c r="D121" s="30">
        <v>444.96</v>
      </c>
      <c r="E121" s="94">
        <f t="shared" si="3"/>
        <v>16.315200000000001</v>
      </c>
      <c r="F121" s="94">
        <f t="shared" si="4"/>
        <v>17.798400000000001</v>
      </c>
      <c r="G121" s="29"/>
      <c r="H121" s="97">
        <f t="shared" si="5"/>
        <v>16.180363636363637</v>
      </c>
    </row>
    <row r="122" spans="1:8" ht="20.100000000000001" customHeight="1">
      <c r="A122" s="21" t="s">
        <v>5237</v>
      </c>
      <c r="B122" s="21" t="s">
        <v>5236</v>
      </c>
      <c r="C122" s="23" t="s">
        <v>5238</v>
      </c>
      <c r="D122" s="30">
        <v>521.17999999999995</v>
      </c>
      <c r="E122" s="94">
        <f t="shared" si="3"/>
        <v>19.109933333333334</v>
      </c>
      <c r="F122" s="94">
        <f t="shared" si="4"/>
        <v>20.847199999999997</v>
      </c>
      <c r="G122" s="29"/>
      <c r="H122" s="97">
        <f t="shared" si="5"/>
        <v>18.951999999999998</v>
      </c>
    </row>
    <row r="123" spans="1:8" ht="20.100000000000001" customHeight="1">
      <c r="A123" s="21" t="s">
        <v>5240</v>
      </c>
      <c r="B123" s="21" t="s">
        <v>5239</v>
      </c>
      <c r="C123" s="23" t="s">
        <v>5241</v>
      </c>
      <c r="D123" s="30">
        <v>573.71</v>
      </c>
      <c r="E123" s="94">
        <f t="shared" si="3"/>
        <v>21.036033333333339</v>
      </c>
      <c r="F123" s="94">
        <f t="shared" si="4"/>
        <v>22.948399999999999</v>
      </c>
      <c r="G123" s="29"/>
      <c r="H123" s="97">
        <f t="shared" si="5"/>
        <v>20.862181818181817</v>
      </c>
    </row>
    <row r="124" spans="1:8" ht="20.100000000000001" customHeight="1">
      <c r="A124" s="21" t="s">
        <v>5243</v>
      </c>
      <c r="B124" s="21" t="s">
        <v>5242</v>
      </c>
      <c r="C124" s="23" t="s">
        <v>5244</v>
      </c>
      <c r="D124" s="30">
        <v>649.92999999999995</v>
      </c>
      <c r="E124" s="94">
        <f t="shared" si="3"/>
        <v>23.830766666666666</v>
      </c>
      <c r="F124" s="94">
        <f t="shared" si="4"/>
        <v>25.997199999999999</v>
      </c>
      <c r="G124" s="29"/>
      <c r="H124" s="97">
        <f t="shared" si="5"/>
        <v>23.633818181818182</v>
      </c>
    </row>
    <row r="125" spans="1:8" ht="20.100000000000001" customHeight="1">
      <c r="A125" s="21" t="s">
        <v>5246</v>
      </c>
      <c r="B125" s="21" t="s">
        <v>5245</v>
      </c>
      <c r="C125" s="23" t="s">
        <v>5247</v>
      </c>
      <c r="D125" s="30">
        <v>526.33000000000004</v>
      </c>
      <c r="E125" s="94">
        <f t="shared" si="3"/>
        <v>19.298766666666669</v>
      </c>
      <c r="F125" s="94">
        <f t="shared" si="4"/>
        <v>21.0532</v>
      </c>
      <c r="G125" s="29"/>
      <c r="H125" s="97">
        <f t="shared" si="5"/>
        <v>19.139272727272726</v>
      </c>
    </row>
    <row r="126" spans="1:8" ht="20.100000000000001" customHeight="1">
      <c r="A126" s="21" t="s">
        <v>5249</v>
      </c>
      <c r="B126" s="21" t="s">
        <v>5248</v>
      </c>
      <c r="C126" s="23" t="s">
        <v>5250</v>
      </c>
      <c r="D126" s="30">
        <v>614.91</v>
      </c>
      <c r="E126" s="94">
        <f t="shared" si="3"/>
        <v>22.546700000000001</v>
      </c>
      <c r="F126" s="94">
        <f t="shared" si="4"/>
        <v>24.596399999999999</v>
      </c>
      <c r="G126" s="29"/>
      <c r="H126" s="97">
        <f t="shared" si="5"/>
        <v>22.360363636363633</v>
      </c>
    </row>
    <row r="127" spans="1:8" ht="20.100000000000001" customHeight="1">
      <c r="A127" s="21" t="s">
        <v>5252</v>
      </c>
      <c r="B127" s="21" t="s">
        <v>5251</v>
      </c>
      <c r="C127" s="23" t="s">
        <v>5253</v>
      </c>
      <c r="D127" s="30">
        <v>620.05999999999995</v>
      </c>
      <c r="E127" s="94">
        <f t="shared" si="3"/>
        <v>22.735533333333333</v>
      </c>
      <c r="F127" s="94">
        <f t="shared" si="4"/>
        <v>24.802399999999995</v>
      </c>
      <c r="G127" s="29"/>
      <c r="H127" s="97">
        <f t="shared" si="5"/>
        <v>22.547636363636361</v>
      </c>
    </row>
    <row r="128" spans="1:8" ht="20.100000000000001" customHeight="1">
      <c r="A128" s="21" t="s">
        <v>5255</v>
      </c>
      <c r="B128" s="21" t="s">
        <v>5254</v>
      </c>
      <c r="C128" s="28" t="s">
        <v>3705</v>
      </c>
      <c r="D128" s="30">
        <v>508.82</v>
      </c>
      <c r="E128" s="94">
        <f t="shared" si="3"/>
        <v>18.656733333333332</v>
      </c>
      <c r="F128" s="94">
        <f t="shared" si="4"/>
        <v>20.352799999999998</v>
      </c>
      <c r="G128" s="29"/>
      <c r="H128" s="97">
        <f t="shared" si="5"/>
        <v>18.502545454545452</v>
      </c>
    </row>
    <row r="129" spans="1:8" ht="20.100000000000001" customHeight="1">
      <c r="A129" s="21" t="s">
        <v>5255</v>
      </c>
      <c r="B129" s="21" t="s">
        <v>5254</v>
      </c>
      <c r="C129" s="28" t="s">
        <v>5256</v>
      </c>
      <c r="D129" s="30" t="e">
        <f>#REF!+#REF!</f>
        <v>#REF!</v>
      </c>
      <c r="E129" s="94" t="e">
        <f t="shared" si="3"/>
        <v>#REF!</v>
      </c>
      <c r="F129" s="94" t="e">
        <f t="shared" si="4"/>
        <v>#REF!</v>
      </c>
      <c r="G129" s="29"/>
      <c r="H129" s="97" t="e">
        <f t="shared" si="5"/>
        <v>#REF!</v>
      </c>
    </row>
    <row r="130" spans="1:8" ht="20.100000000000001" customHeight="1">
      <c r="A130" s="21" t="s">
        <v>5258</v>
      </c>
      <c r="B130" s="21" t="s">
        <v>5257</v>
      </c>
      <c r="C130" s="23" t="s">
        <v>5259</v>
      </c>
      <c r="D130" s="30" t="e">
        <f>#REF!+#REF!</f>
        <v>#REF!</v>
      </c>
      <c r="E130" s="94" t="e">
        <f t="shared" ref="E130:E193" si="6">+(D130*1.1/30)</f>
        <v>#REF!</v>
      </c>
      <c r="F130" s="94" t="e">
        <f t="shared" ref="F130:F193" si="7">+(D130*1.2/30)</f>
        <v>#REF!</v>
      </c>
      <c r="G130" s="29"/>
      <c r="H130" s="97" t="e">
        <f t="shared" ref="H130:H193" si="8">+(D130*1.2/33)</f>
        <v>#REF!</v>
      </c>
    </row>
    <row r="131" spans="1:8" ht="20.100000000000001" customHeight="1">
      <c r="A131" s="22" t="s">
        <v>5261</v>
      </c>
      <c r="B131" s="22" t="s">
        <v>5260</v>
      </c>
      <c r="C131" s="23" t="s">
        <v>5262</v>
      </c>
      <c r="D131" s="30">
        <v>863.19150000000002</v>
      </c>
      <c r="E131" s="94">
        <f t="shared" si="6"/>
        <v>31.650355000000001</v>
      </c>
      <c r="F131" s="94">
        <f t="shared" si="7"/>
        <v>34.527659999999997</v>
      </c>
      <c r="G131" s="29"/>
      <c r="H131" s="97">
        <f t="shared" si="8"/>
        <v>31.388781818181819</v>
      </c>
    </row>
    <row r="132" spans="1:8" ht="20.100000000000001" customHeight="1">
      <c r="A132" s="22" t="s">
        <v>5264</v>
      </c>
      <c r="B132" s="22" t="s">
        <v>5263</v>
      </c>
      <c r="C132" s="28" t="s">
        <v>5265</v>
      </c>
      <c r="D132" s="30">
        <v>591.22</v>
      </c>
      <c r="E132" s="94">
        <f t="shared" si="6"/>
        <v>21.67806666666667</v>
      </c>
      <c r="F132" s="94">
        <f t="shared" si="7"/>
        <v>23.648800000000001</v>
      </c>
      <c r="G132" s="29"/>
      <c r="H132" s="97">
        <f t="shared" si="8"/>
        <v>21.498909090909091</v>
      </c>
    </row>
    <row r="133" spans="1:8" ht="20.100000000000001" customHeight="1">
      <c r="A133" s="22" t="s">
        <v>5267</v>
      </c>
      <c r="B133" s="22" t="s">
        <v>5266</v>
      </c>
      <c r="C133" s="28" t="s">
        <v>5268</v>
      </c>
      <c r="D133" s="30">
        <v>1135.1526999999999</v>
      </c>
      <c r="E133" s="94">
        <f t="shared" si="6"/>
        <v>41.622265666666664</v>
      </c>
      <c r="F133" s="94">
        <f t="shared" si="7"/>
        <v>45.406107999999996</v>
      </c>
      <c r="G133" s="29"/>
      <c r="H133" s="97">
        <f t="shared" si="8"/>
        <v>41.278279999999995</v>
      </c>
    </row>
    <row r="134" spans="1:8" ht="20.100000000000001" customHeight="1">
      <c r="A134" s="22" t="s">
        <v>5270</v>
      </c>
      <c r="B134" s="22" t="s">
        <v>5269</v>
      </c>
      <c r="C134" s="23" t="s">
        <v>5271</v>
      </c>
      <c r="D134" s="30">
        <v>591.22</v>
      </c>
      <c r="E134" s="94">
        <f t="shared" si="6"/>
        <v>21.67806666666667</v>
      </c>
      <c r="F134" s="94">
        <f t="shared" si="7"/>
        <v>23.648800000000001</v>
      </c>
      <c r="G134" s="29"/>
      <c r="H134" s="97">
        <f t="shared" si="8"/>
        <v>21.498909090909091</v>
      </c>
    </row>
    <row r="135" spans="1:8" ht="20.100000000000001" customHeight="1">
      <c r="A135" s="22" t="s">
        <v>5273</v>
      </c>
      <c r="B135" s="22" t="s">
        <v>5272</v>
      </c>
      <c r="C135" s="23" t="s">
        <v>5274</v>
      </c>
      <c r="D135" s="30" t="e">
        <f>#REF!+#REF!</f>
        <v>#REF!</v>
      </c>
      <c r="E135" s="94" t="e">
        <f t="shared" si="6"/>
        <v>#REF!</v>
      </c>
      <c r="F135" s="94" t="e">
        <f t="shared" si="7"/>
        <v>#REF!</v>
      </c>
      <c r="G135" s="29"/>
      <c r="H135" s="97" t="e">
        <f t="shared" si="8"/>
        <v>#REF!</v>
      </c>
    </row>
    <row r="136" spans="1:8" ht="20.100000000000001" customHeight="1">
      <c r="A136" s="22" t="s">
        <v>5273</v>
      </c>
      <c r="B136" s="22" t="s">
        <v>5272</v>
      </c>
      <c r="C136" s="23" t="s">
        <v>5275</v>
      </c>
      <c r="D136" s="30" t="e">
        <f>#REF!+#REF!</f>
        <v>#REF!</v>
      </c>
      <c r="E136" s="94" t="e">
        <f t="shared" si="6"/>
        <v>#REF!</v>
      </c>
      <c r="F136" s="94" t="e">
        <f t="shared" si="7"/>
        <v>#REF!</v>
      </c>
      <c r="G136" s="29"/>
      <c r="H136" s="97" t="e">
        <f t="shared" si="8"/>
        <v>#REF!</v>
      </c>
    </row>
    <row r="137" spans="1:8" ht="20.100000000000001" customHeight="1">
      <c r="A137" s="22" t="s">
        <v>5277</v>
      </c>
      <c r="B137" s="22" t="s">
        <v>5276</v>
      </c>
      <c r="C137" s="23" t="s">
        <v>5278</v>
      </c>
      <c r="D137" s="30">
        <v>790.01</v>
      </c>
      <c r="E137" s="94">
        <f t="shared" si="6"/>
        <v>28.967033333333337</v>
      </c>
      <c r="F137" s="94">
        <f t="shared" si="7"/>
        <v>31.600399999999997</v>
      </c>
      <c r="G137" s="29"/>
      <c r="H137" s="97">
        <f t="shared" si="8"/>
        <v>28.727636363636361</v>
      </c>
    </row>
    <row r="138" spans="1:8" ht="20.100000000000001" customHeight="1">
      <c r="A138" s="22" t="s">
        <v>5280</v>
      </c>
      <c r="B138" s="22" t="s">
        <v>5279</v>
      </c>
      <c r="C138" s="23" t="s">
        <v>5281</v>
      </c>
      <c r="D138" s="30">
        <v>1060.076</v>
      </c>
      <c r="E138" s="94">
        <f t="shared" si="6"/>
        <v>38.86945333333334</v>
      </c>
      <c r="F138" s="94">
        <f t="shared" si="7"/>
        <v>42.403040000000004</v>
      </c>
      <c r="G138" s="29"/>
      <c r="H138" s="97">
        <f t="shared" si="8"/>
        <v>38.548218181818186</v>
      </c>
    </row>
    <row r="139" spans="1:8" ht="20.100000000000001" customHeight="1">
      <c r="A139" s="22" t="s">
        <v>5283</v>
      </c>
      <c r="B139" s="22" t="s">
        <v>5282</v>
      </c>
      <c r="C139" s="23" t="s">
        <v>5284</v>
      </c>
      <c r="D139" s="30">
        <v>587.1</v>
      </c>
      <c r="E139" s="94">
        <f t="shared" si="6"/>
        <v>21.527000000000001</v>
      </c>
      <c r="F139" s="94">
        <f t="shared" si="7"/>
        <v>23.483999999999998</v>
      </c>
      <c r="G139" s="29"/>
      <c r="H139" s="97">
        <f t="shared" si="8"/>
        <v>21.349090909090908</v>
      </c>
    </row>
    <row r="140" spans="1:8" ht="20.100000000000001" customHeight="1">
      <c r="A140" s="22" t="s">
        <v>5286</v>
      </c>
      <c r="B140" s="22" t="s">
        <v>5285</v>
      </c>
      <c r="C140" s="23" t="s">
        <v>5287</v>
      </c>
      <c r="D140" s="30">
        <v>519.12</v>
      </c>
      <c r="E140" s="94">
        <f t="shared" si="6"/>
        <v>19.034400000000002</v>
      </c>
      <c r="F140" s="94">
        <f t="shared" si="7"/>
        <v>20.764799999999997</v>
      </c>
      <c r="G140" s="29"/>
      <c r="H140" s="97">
        <f t="shared" si="8"/>
        <v>18.877090909090906</v>
      </c>
    </row>
    <row r="141" spans="1:8" ht="20.100000000000001" customHeight="1">
      <c r="A141" s="22" t="s">
        <v>5289</v>
      </c>
      <c r="B141" s="22" t="s">
        <v>5288</v>
      </c>
      <c r="C141" s="23" t="s">
        <v>5290</v>
      </c>
      <c r="D141" s="30">
        <v>886.09870000000001</v>
      </c>
      <c r="E141" s="94">
        <f t="shared" si="6"/>
        <v>32.490285666666672</v>
      </c>
      <c r="F141" s="94">
        <f t="shared" si="7"/>
        <v>35.443947999999999</v>
      </c>
      <c r="G141" s="29"/>
      <c r="H141" s="97">
        <f t="shared" si="8"/>
        <v>32.221770909090907</v>
      </c>
    </row>
    <row r="142" spans="1:8" ht="20.100000000000001" customHeight="1">
      <c r="A142" s="22" t="s">
        <v>5292</v>
      </c>
      <c r="B142" s="22" t="s">
        <v>5291</v>
      </c>
      <c r="C142" s="23" t="s">
        <v>5293</v>
      </c>
      <c r="D142" s="30">
        <v>521.17999999999995</v>
      </c>
      <c r="E142" s="94">
        <f t="shared" si="6"/>
        <v>19.109933333333334</v>
      </c>
      <c r="F142" s="94">
        <f t="shared" si="7"/>
        <v>20.847199999999997</v>
      </c>
      <c r="G142" s="29"/>
      <c r="H142" s="97">
        <f t="shared" si="8"/>
        <v>18.951999999999998</v>
      </c>
    </row>
    <row r="143" spans="1:8" ht="20.100000000000001" customHeight="1">
      <c r="A143" s="22" t="s">
        <v>5295</v>
      </c>
      <c r="B143" s="22" t="s">
        <v>5294</v>
      </c>
      <c r="C143" s="23" t="s">
        <v>5296</v>
      </c>
      <c r="D143" s="30">
        <v>763.48750000000007</v>
      </c>
      <c r="E143" s="94">
        <f t="shared" si="6"/>
        <v>27.994541666666674</v>
      </c>
      <c r="F143" s="94">
        <f t="shared" si="7"/>
        <v>30.5395</v>
      </c>
      <c r="G143" s="29"/>
      <c r="H143" s="97">
        <f t="shared" si="8"/>
        <v>27.76318181818182</v>
      </c>
    </row>
    <row r="144" spans="1:8" ht="20.100000000000001" customHeight="1">
      <c r="A144" s="22" t="s">
        <v>3524</v>
      </c>
      <c r="B144" s="22" t="s">
        <v>3523</v>
      </c>
      <c r="C144" s="23" t="s">
        <v>3525</v>
      </c>
      <c r="D144" s="30">
        <v>556.20000000000005</v>
      </c>
      <c r="E144" s="94">
        <f t="shared" si="6"/>
        <v>20.394000000000002</v>
      </c>
      <c r="F144" s="94">
        <f t="shared" si="7"/>
        <v>22.248000000000001</v>
      </c>
      <c r="G144" s="29"/>
      <c r="H144" s="97">
        <f t="shared" si="8"/>
        <v>20.225454545454546</v>
      </c>
    </row>
    <row r="145" spans="1:8" ht="20.100000000000001" customHeight="1">
      <c r="A145" s="21" t="s">
        <v>5298</v>
      </c>
      <c r="B145" s="21" t="s">
        <v>5297</v>
      </c>
      <c r="C145" s="28" t="s">
        <v>5299</v>
      </c>
      <c r="D145" s="30">
        <v>879.15649999999994</v>
      </c>
      <c r="E145" s="94">
        <f t="shared" si="6"/>
        <v>32.23573833333333</v>
      </c>
      <c r="F145" s="94">
        <f t="shared" si="7"/>
        <v>35.166259999999994</v>
      </c>
      <c r="G145" s="29"/>
      <c r="H145" s="97">
        <f t="shared" si="8"/>
        <v>31.96932727272727</v>
      </c>
    </row>
    <row r="146" spans="1:8" ht="20.100000000000001" customHeight="1">
      <c r="A146" s="22" t="s">
        <v>5301</v>
      </c>
      <c r="B146" s="22" t="s">
        <v>5300</v>
      </c>
      <c r="C146" s="23" t="s">
        <v>5302</v>
      </c>
      <c r="D146" s="30">
        <v>515</v>
      </c>
      <c r="E146" s="94">
        <f t="shared" si="6"/>
        <v>18.883333333333333</v>
      </c>
      <c r="F146" s="94">
        <f t="shared" si="7"/>
        <v>20.6</v>
      </c>
      <c r="G146" s="29"/>
      <c r="H146" s="97">
        <f t="shared" si="8"/>
        <v>18.727272727272727</v>
      </c>
    </row>
    <row r="147" spans="1:8" ht="20.100000000000001" customHeight="1">
      <c r="A147" s="22" t="s">
        <v>5304</v>
      </c>
      <c r="B147" s="22" t="s">
        <v>5303</v>
      </c>
      <c r="C147" s="23" t="s">
        <v>5305</v>
      </c>
      <c r="D147" s="30">
        <v>403.76</v>
      </c>
      <c r="E147" s="94">
        <f t="shared" si="6"/>
        <v>14.804533333333334</v>
      </c>
      <c r="F147" s="94">
        <f t="shared" si="7"/>
        <v>16.150399999999998</v>
      </c>
      <c r="G147" s="29"/>
      <c r="H147" s="97">
        <f t="shared" si="8"/>
        <v>14.682181818181817</v>
      </c>
    </row>
    <row r="148" spans="1:8" ht="20.100000000000001" customHeight="1">
      <c r="A148" s="22" t="s">
        <v>5307</v>
      </c>
      <c r="B148" s="22" t="s">
        <v>5306</v>
      </c>
      <c r="C148" s="23" t="s">
        <v>5308</v>
      </c>
      <c r="D148" s="30">
        <v>925.85670000000005</v>
      </c>
      <c r="E148" s="94">
        <f t="shared" si="6"/>
        <v>33.948079</v>
      </c>
      <c r="F148" s="94">
        <f t="shared" si="7"/>
        <v>37.034267999999997</v>
      </c>
      <c r="G148" s="29"/>
      <c r="H148" s="97">
        <f t="shared" si="8"/>
        <v>33.667516363636359</v>
      </c>
    </row>
    <row r="149" spans="1:8" ht="20.100000000000001" customHeight="1">
      <c r="A149" s="22" t="s">
        <v>5310</v>
      </c>
      <c r="B149" s="22" t="s">
        <v>5309</v>
      </c>
      <c r="C149" s="23" t="s">
        <v>5311</v>
      </c>
      <c r="D149" s="30">
        <v>672.59</v>
      </c>
      <c r="E149" s="94">
        <f t="shared" si="6"/>
        <v>24.661633333333334</v>
      </c>
      <c r="F149" s="94">
        <f t="shared" si="7"/>
        <v>26.903600000000001</v>
      </c>
      <c r="G149" s="29"/>
      <c r="H149" s="97">
        <f t="shared" si="8"/>
        <v>24.457818181818183</v>
      </c>
    </row>
    <row r="150" spans="1:8" ht="20.100000000000001" customHeight="1">
      <c r="A150" s="22" t="s">
        <v>5313</v>
      </c>
      <c r="B150" s="22" t="s">
        <v>5312</v>
      </c>
      <c r="C150" s="23" t="s">
        <v>5314</v>
      </c>
      <c r="D150" s="30">
        <v>672.59</v>
      </c>
      <c r="E150" s="94">
        <f t="shared" si="6"/>
        <v>24.661633333333334</v>
      </c>
      <c r="F150" s="94">
        <f t="shared" si="7"/>
        <v>26.903600000000001</v>
      </c>
      <c r="G150" s="29"/>
      <c r="H150" s="97">
        <f t="shared" si="8"/>
        <v>24.457818181818183</v>
      </c>
    </row>
    <row r="151" spans="1:8" ht="20.100000000000001" customHeight="1">
      <c r="A151" s="22" t="s">
        <v>3527</v>
      </c>
      <c r="B151" s="22" t="s">
        <v>3526</v>
      </c>
      <c r="C151" s="23" t="s">
        <v>3528</v>
      </c>
      <c r="D151" s="30" t="e">
        <f>#REF!+#REF!</f>
        <v>#REF!</v>
      </c>
      <c r="E151" s="94" t="e">
        <f t="shared" si="6"/>
        <v>#REF!</v>
      </c>
      <c r="F151" s="94" t="e">
        <f t="shared" si="7"/>
        <v>#REF!</v>
      </c>
      <c r="G151" s="29"/>
      <c r="H151" s="97" t="e">
        <f t="shared" si="8"/>
        <v>#REF!</v>
      </c>
    </row>
    <row r="152" spans="1:8" ht="20.100000000000001" customHeight="1">
      <c r="A152" s="22" t="s">
        <v>5316</v>
      </c>
      <c r="B152" s="22" t="s">
        <v>5315</v>
      </c>
      <c r="C152" s="23" t="s">
        <v>5317</v>
      </c>
      <c r="D152" s="30">
        <v>886.09870000000001</v>
      </c>
      <c r="E152" s="94">
        <f t="shared" si="6"/>
        <v>32.490285666666672</v>
      </c>
      <c r="F152" s="94">
        <f t="shared" si="7"/>
        <v>35.443947999999999</v>
      </c>
      <c r="G152" s="29"/>
      <c r="H152" s="97">
        <f t="shared" si="8"/>
        <v>32.221770909090907</v>
      </c>
    </row>
    <row r="153" spans="1:8" ht="20.100000000000001" customHeight="1">
      <c r="A153" s="22" t="s">
        <v>5319</v>
      </c>
      <c r="B153" s="22" t="s">
        <v>5318</v>
      </c>
      <c r="C153" s="23" t="s">
        <v>5320</v>
      </c>
      <c r="D153" s="30">
        <v>618</v>
      </c>
      <c r="E153" s="94">
        <f t="shared" si="6"/>
        <v>22.660000000000004</v>
      </c>
      <c r="F153" s="94">
        <f t="shared" si="7"/>
        <v>24.720000000000002</v>
      </c>
      <c r="G153" s="29"/>
      <c r="H153" s="97">
        <f t="shared" si="8"/>
        <v>22.472727272727273</v>
      </c>
    </row>
    <row r="154" spans="1:8" ht="20.100000000000001" customHeight="1">
      <c r="A154" s="22" t="s">
        <v>5322</v>
      </c>
      <c r="B154" s="22" t="s">
        <v>5321</v>
      </c>
      <c r="C154" s="23" t="s">
        <v>5323</v>
      </c>
      <c r="D154" s="30">
        <v>659.2</v>
      </c>
      <c r="E154" s="94">
        <f t="shared" si="6"/>
        <v>24.170666666666669</v>
      </c>
      <c r="F154" s="94">
        <f t="shared" si="7"/>
        <v>26.368000000000002</v>
      </c>
      <c r="G154" s="29"/>
      <c r="H154" s="97">
        <f t="shared" si="8"/>
        <v>23.970909090909092</v>
      </c>
    </row>
    <row r="155" spans="1:8" ht="20.100000000000001" customHeight="1">
      <c r="A155" s="22" t="s">
        <v>5325</v>
      </c>
      <c r="B155" s="22" t="s">
        <v>5324</v>
      </c>
      <c r="C155" s="23" t="s">
        <v>5326</v>
      </c>
      <c r="D155" s="30">
        <v>648.9</v>
      </c>
      <c r="E155" s="94">
        <f t="shared" si="6"/>
        <v>23.793000000000003</v>
      </c>
      <c r="F155" s="94">
        <f t="shared" si="7"/>
        <v>25.956</v>
      </c>
      <c r="G155" s="29"/>
      <c r="H155" s="97">
        <f t="shared" si="8"/>
        <v>23.596363636363634</v>
      </c>
    </row>
    <row r="156" spans="1:8" ht="20.100000000000001" customHeight="1">
      <c r="A156" s="22" t="s">
        <v>5328</v>
      </c>
      <c r="B156" s="22" t="s">
        <v>5327</v>
      </c>
      <c r="C156" s="23" t="s">
        <v>5329</v>
      </c>
      <c r="D156" s="30">
        <v>1149.3461</v>
      </c>
      <c r="E156" s="94">
        <f t="shared" si="6"/>
        <v>42.142690333333334</v>
      </c>
      <c r="F156" s="94">
        <f t="shared" si="7"/>
        <v>45.973844</v>
      </c>
      <c r="G156" s="29"/>
      <c r="H156" s="97">
        <f t="shared" si="8"/>
        <v>41.79440363636364</v>
      </c>
    </row>
    <row r="157" spans="1:8" ht="20.100000000000001" customHeight="1">
      <c r="A157" s="22" t="s">
        <v>5331</v>
      </c>
      <c r="B157" s="22" t="s">
        <v>5330</v>
      </c>
      <c r="C157" s="23" t="s">
        <v>5332</v>
      </c>
      <c r="D157" s="30">
        <v>761.17</v>
      </c>
      <c r="E157" s="94">
        <f t="shared" si="6"/>
        <v>27.909566666666667</v>
      </c>
      <c r="F157" s="94">
        <f t="shared" si="7"/>
        <v>30.446799999999996</v>
      </c>
      <c r="G157" s="29"/>
      <c r="H157" s="97">
        <f t="shared" si="8"/>
        <v>27.678909090909087</v>
      </c>
    </row>
    <row r="158" spans="1:8" ht="20.100000000000001" customHeight="1">
      <c r="A158" s="22" t="s">
        <v>5334</v>
      </c>
      <c r="B158" s="22" t="s">
        <v>5333</v>
      </c>
      <c r="C158" s="23" t="s">
        <v>5335</v>
      </c>
      <c r="D158" s="30">
        <v>940.39</v>
      </c>
      <c r="E158" s="94">
        <f t="shared" si="6"/>
        <v>34.480966666666667</v>
      </c>
      <c r="F158" s="94">
        <f t="shared" si="7"/>
        <v>37.615599999999993</v>
      </c>
      <c r="G158" s="29"/>
      <c r="H158" s="97">
        <f t="shared" si="8"/>
        <v>34.195999999999998</v>
      </c>
    </row>
    <row r="159" spans="1:8" ht="20.100000000000001" customHeight="1">
      <c r="A159" s="22" t="s">
        <v>3530</v>
      </c>
      <c r="B159" s="22" t="s">
        <v>3529</v>
      </c>
      <c r="C159" s="23" t="s">
        <v>3531</v>
      </c>
      <c r="D159" s="30" t="e">
        <f>#REF!+#REF!</f>
        <v>#REF!</v>
      </c>
      <c r="E159" s="94" t="e">
        <f t="shared" si="6"/>
        <v>#REF!</v>
      </c>
      <c r="F159" s="94" t="e">
        <f t="shared" si="7"/>
        <v>#REF!</v>
      </c>
      <c r="G159" s="29"/>
      <c r="H159" s="97" t="e">
        <f t="shared" si="8"/>
        <v>#REF!</v>
      </c>
    </row>
    <row r="160" spans="1:8" ht="20.100000000000001" customHeight="1">
      <c r="A160" s="22" t="s">
        <v>5337</v>
      </c>
      <c r="B160" s="22" t="s">
        <v>5336</v>
      </c>
      <c r="C160" s="23" t="s">
        <v>5338</v>
      </c>
      <c r="D160" s="30">
        <v>222.9126</v>
      </c>
      <c r="E160" s="94">
        <f t="shared" si="6"/>
        <v>8.1734620000000007</v>
      </c>
      <c r="F160" s="94">
        <f t="shared" si="7"/>
        <v>8.9165039999999998</v>
      </c>
      <c r="G160" s="29"/>
      <c r="H160" s="97">
        <f t="shared" si="8"/>
        <v>8.1059127272727274</v>
      </c>
    </row>
    <row r="161" spans="1:9" ht="20.100000000000001" customHeight="1">
      <c r="A161" s="22" t="s">
        <v>5340</v>
      </c>
      <c r="B161" s="22" t="s">
        <v>5339</v>
      </c>
      <c r="C161" s="23" t="s">
        <v>5341</v>
      </c>
      <c r="D161" s="30">
        <v>574.00869999999998</v>
      </c>
      <c r="E161" s="94">
        <f t="shared" si="6"/>
        <v>21.046985666666668</v>
      </c>
      <c r="F161" s="94">
        <f t="shared" si="7"/>
        <v>22.960348</v>
      </c>
      <c r="G161" s="29"/>
      <c r="H161" s="97">
        <f t="shared" si="8"/>
        <v>20.873043636363636</v>
      </c>
    </row>
    <row r="162" spans="1:9" ht="20.100000000000001" customHeight="1">
      <c r="A162" s="22" t="s">
        <v>5343</v>
      </c>
      <c r="B162" s="22" t="s">
        <v>5342</v>
      </c>
      <c r="C162" s="23" t="s">
        <v>5344</v>
      </c>
      <c r="D162" s="30">
        <v>684.95</v>
      </c>
      <c r="E162" s="94">
        <f t="shared" si="6"/>
        <v>25.11483333333334</v>
      </c>
      <c r="F162" s="94">
        <f t="shared" si="7"/>
        <v>27.398000000000003</v>
      </c>
      <c r="G162" s="29"/>
      <c r="H162" s="97">
        <f t="shared" si="8"/>
        <v>24.90727272727273</v>
      </c>
    </row>
    <row r="163" spans="1:9" ht="20.100000000000001" customHeight="1">
      <c r="A163" s="22" t="s">
        <v>5346</v>
      </c>
      <c r="B163" s="22" t="s">
        <v>5345</v>
      </c>
      <c r="C163" s="23" t="s">
        <v>5347</v>
      </c>
      <c r="D163" s="30">
        <v>1149.3461</v>
      </c>
      <c r="E163" s="94">
        <f t="shared" si="6"/>
        <v>42.142690333333334</v>
      </c>
      <c r="F163" s="94">
        <f t="shared" si="7"/>
        <v>45.973844</v>
      </c>
      <c r="G163" s="29"/>
      <c r="H163" s="97">
        <f t="shared" si="8"/>
        <v>41.79440363636364</v>
      </c>
    </row>
    <row r="164" spans="1:9" ht="20.100000000000001" customHeight="1">
      <c r="A164" s="21" t="s">
        <v>5349</v>
      </c>
      <c r="B164" s="21" t="s">
        <v>5348</v>
      </c>
      <c r="C164" s="28" t="s">
        <v>5350</v>
      </c>
      <c r="D164" s="30">
        <v>1149.3461</v>
      </c>
      <c r="E164" s="94">
        <f t="shared" si="6"/>
        <v>42.142690333333334</v>
      </c>
      <c r="F164" s="94">
        <f t="shared" si="7"/>
        <v>45.973844</v>
      </c>
      <c r="G164" s="29"/>
      <c r="H164" s="97">
        <f t="shared" si="8"/>
        <v>41.79440363636364</v>
      </c>
    </row>
    <row r="165" spans="1:9" ht="20.100000000000001" customHeight="1">
      <c r="A165" s="22" t="s">
        <v>5352</v>
      </c>
      <c r="B165" s="22" t="s">
        <v>5351</v>
      </c>
      <c r="C165" s="23" t="s">
        <v>5353</v>
      </c>
      <c r="D165" s="30">
        <v>473.8</v>
      </c>
      <c r="E165" s="94">
        <f t="shared" si="6"/>
        <v>17.372666666666667</v>
      </c>
      <c r="F165" s="94">
        <f t="shared" si="7"/>
        <v>18.951999999999998</v>
      </c>
      <c r="G165" s="29"/>
      <c r="H165" s="97">
        <f t="shared" si="8"/>
        <v>17.229090909090907</v>
      </c>
    </row>
    <row r="166" spans="1:9" ht="20.100000000000001" customHeight="1">
      <c r="A166" s="22" t="s">
        <v>5355</v>
      </c>
      <c r="B166" s="22" t="s">
        <v>5354</v>
      </c>
      <c r="C166" s="23" t="s">
        <v>5356</v>
      </c>
      <c r="D166" s="30">
        <v>491.31</v>
      </c>
      <c r="E166" s="94">
        <f t="shared" si="6"/>
        <v>18.014700000000001</v>
      </c>
      <c r="F166" s="94">
        <f t="shared" si="7"/>
        <v>19.6524</v>
      </c>
      <c r="G166" s="29"/>
      <c r="H166" s="97">
        <f t="shared" si="8"/>
        <v>17.865818181818181</v>
      </c>
    </row>
    <row r="167" spans="1:9" ht="20.100000000000001" customHeight="1">
      <c r="A167" s="22" t="s">
        <v>5358</v>
      </c>
      <c r="B167" s="22" t="s">
        <v>5357</v>
      </c>
      <c r="C167" s="23" t="s">
        <v>5359</v>
      </c>
      <c r="D167" s="30">
        <v>672.59</v>
      </c>
      <c r="E167" s="94">
        <f t="shared" si="6"/>
        <v>24.661633333333334</v>
      </c>
      <c r="F167" s="94">
        <f t="shared" si="7"/>
        <v>26.903600000000001</v>
      </c>
      <c r="G167" s="29"/>
      <c r="H167" s="97">
        <f t="shared" si="8"/>
        <v>24.457818181818183</v>
      </c>
    </row>
    <row r="168" spans="1:9" ht="20.100000000000001" customHeight="1">
      <c r="A168" s="22" t="s">
        <v>5361</v>
      </c>
      <c r="B168" s="22" t="s">
        <v>5360</v>
      </c>
      <c r="C168" s="23" t="s">
        <v>5362</v>
      </c>
      <c r="D168" s="30">
        <v>679.92360000000008</v>
      </c>
      <c r="E168" s="94">
        <f t="shared" si="6"/>
        <v>24.930532000000007</v>
      </c>
      <c r="F168" s="94">
        <f t="shared" si="7"/>
        <v>27.196944000000006</v>
      </c>
      <c r="G168" s="29"/>
      <c r="H168" s="97">
        <f t="shared" si="8"/>
        <v>24.724494545454547</v>
      </c>
    </row>
    <row r="169" spans="1:9" ht="20.100000000000001" customHeight="1">
      <c r="A169" s="22" t="s">
        <v>5364</v>
      </c>
      <c r="B169" s="22" t="s">
        <v>5363</v>
      </c>
      <c r="C169" s="28" t="s">
        <v>5365</v>
      </c>
      <c r="D169" s="30">
        <v>511.91</v>
      </c>
      <c r="E169" s="94">
        <f t="shared" si="6"/>
        <v>18.770033333333338</v>
      </c>
      <c r="F169" s="94">
        <f t="shared" si="7"/>
        <v>20.476400000000002</v>
      </c>
      <c r="G169" s="29"/>
      <c r="H169" s="97">
        <f t="shared" si="8"/>
        <v>18.614909090909091</v>
      </c>
    </row>
    <row r="170" spans="1:9" ht="20.100000000000001" customHeight="1">
      <c r="A170" s="22" t="s">
        <v>5367</v>
      </c>
      <c r="B170" s="22" t="s">
        <v>5366</v>
      </c>
      <c r="C170" s="23" t="s">
        <v>5368</v>
      </c>
      <c r="D170" s="30">
        <v>624.16970000000003</v>
      </c>
      <c r="E170" s="94">
        <f t="shared" si="6"/>
        <v>22.88622233333334</v>
      </c>
      <c r="F170" s="94">
        <f t="shared" si="7"/>
        <v>24.966788000000001</v>
      </c>
      <c r="G170" s="29"/>
      <c r="H170" s="97">
        <f t="shared" si="8"/>
        <v>22.69708</v>
      </c>
    </row>
    <row r="171" spans="1:9" ht="20.100000000000001" customHeight="1">
      <c r="A171" s="22" t="s">
        <v>5370</v>
      </c>
      <c r="B171" s="22" t="s">
        <v>5369</v>
      </c>
      <c r="C171" s="23" t="s">
        <v>5362</v>
      </c>
      <c r="D171" s="30">
        <v>652.03120000000001</v>
      </c>
      <c r="E171" s="94">
        <f t="shared" si="6"/>
        <v>23.907810666666666</v>
      </c>
      <c r="F171" s="94">
        <f t="shared" si="7"/>
        <v>26.081248000000002</v>
      </c>
      <c r="G171" s="29"/>
      <c r="H171" s="97">
        <f t="shared" si="8"/>
        <v>23.710225454545455</v>
      </c>
    </row>
    <row r="172" spans="1:9" ht="20.100000000000001" customHeight="1">
      <c r="A172" s="22" t="s">
        <v>5372</v>
      </c>
      <c r="B172" s="22" t="s">
        <v>5371</v>
      </c>
      <c r="C172" s="23" t="s">
        <v>5373</v>
      </c>
      <c r="D172" s="30">
        <v>535.6</v>
      </c>
      <c r="E172" s="94">
        <f t="shared" si="6"/>
        <v>19.638666666666669</v>
      </c>
      <c r="F172" s="94">
        <f t="shared" si="7"/>
        <v>21.423999999999999</v>
      </c>
      <c r="G172" s="29"/>
      <c r="H172" s="97">
        <f t="shared" si="8"/>
        <v>19.476363636363637</v>
      </c>
    </row>
    <row r="173" spans="1:9" ht="20.100000000000001" customHeight="1">
      <c r="A173" s="22" t="s">
        <v>5375</v>
      </c>
      <c r="B173" s="22" t="s">
        <v>5374</v>
      </c>
      <c r="C173" s="23" t="s">
        <v>5376</v>
      </c>
      <c r="D173" s="30">
        <v>529.43029999999999</v>
      </c>
      <c r="E173" s="94">
        <f t="shared" si="6"/>
        <v>19.412444333333333</v>
      </c>
      <c r="F173" s="94">
        <f t="shared" si="7"/>
        <v>21.177211999999997</v>
      </c>
      <c r="G173" s="29"/>
      <c r="H173" s="97">
        <f t="shared" si="8"/>
        <v>19.252010909090906</v>
      </c>
      <c r="I173" s="54">
        <v>45208</v>
      </c>
    </row>
    <row r="174" spans="1:9" ht="20.100000000000001" customHeight="1">
      <c r="A174" s="22" t="s">
        <v>5378</v>
      </c>
      <c r="B174" s="22" t="s">
        <v>5377</v>
      </c>
      <c r="C174" s="23" t="s">
        <v>5379</v>
      </c>
      <c r="D174" s="30">
        <v>679.90300000000002</v>
      </c>
      <c r="E174" s="94">
        <f t="shared" si="6"/>
        <v>24.929776666666669</v>
      </c>
      <c r="F174" s="94">
        <f t="shared" si="7"/>
        <v>27.196120000000001</v>
      </c>
      <c r="G174" s="29"/>
      <c r="H174" s="97">
        <f t="shared" si="8"/>
        <v>24.723745454545455</v>
      </c>
    </row>
    <row r="175" spans="1:9" ht="20.100000000000001" customHeight="1">
      <c r="A175" s="22" t="s">
        <v>5381</v>
      </c>
      <c r="B175" s="22" t="s">
        <v>5380</v>
      </c>
      <c r="C175" s="23" t="s">
        <v>5382</v>
      </c>
      <c r="D175" s="30">
        <v>661.26</v>
      </c>
      <c r="E175" s="94">
        <f t="shared" si="6"/>
        <v>24.246200000000002</v>
      </c>
      <c r="F175" s="94">
        <f t="shared" si="7"/>
        <v>26.450399999999998</v>
      </c>
      <c r="G175" s="29"/>
      <c r="H175" s="97">
        <f t="shared" si="8"/>
        <v>24.045818181818181</v>
      </c>
    </row>
    <row r="176" spans="1:9" ht="20.100000000000001" customHeight="1">
      <c r="A176" s="22" t="s">
        <v>3820</v>
      </c>
      <c r="B176" s="22" t="s">
        <v>3819</v>
      </c>
      <c r="C176" s="23" t="s">
        <v>3821</v>
      </c>
      <c r="D176" s="30">
        <v>551.71950000000004</v>
      </c>
      <c r="E176" s="94">
        <f t="shared" si="6"/>
        <v>20.229715000000002</v>
      </c>
      <c r="F176" s="94">
        <f t="shared" si="7"/>
        <v>22.06878</v>
      </c>
      <c r="G176" s="29"/>
      <c r="H176" s="97">
        <f t="shared" si="8"/>
        <v>20.062527272727273</v>
      </c>
    </row>
    <row r="177" spans="1:8" ht="20.100000000000001" customHeight="1">
      <c r="A177" s="22" t="s">
        <v>4291</v>
      </c>
      <c r="B177" s="22" t="s">
        <v>4290</v>
      </c>
      <c r="C177" s="23" t="s">
        <v>4292</v>
      </c>
      <c r="D177" s="30" t="s">
        <v>2</v>
      </c>
      <c r="E177" s="94" t="e">
        <f t="shared" si="6"/>
        <v>#VALUE!</v>
      </c>
      <c r="F177" s="94" t="e">
        <f t="shared" si="7"/>
        <v>#VALUE!</v>
      </c>
      <c r="G177" s="29"/>
      <c r="H177" s="97" t="e">
        <f t="shared" si="8"/>
        <v>#VALUE!</v>
      </c>
    </row>
    <row r="178" spans="1:8" ht="20.100000000000001" customHeight="1">
      <c r="A178" s="21" t="s">
        <v>5390</v>
      </c>
      <c r="B178" s="21" t="s">
        <v>5389</v>
      </c>
      <c r="C178" s="28" t="s">
        <v>5391</v>
      </c>
      <c r="D178" s="30">
        <v>422.3</v>
      </c>
      <c r="E178" s="94">
        <f t="shared" si="6"/>
        <v>15.484333333333334</v>
      </c>
      <c r="F178" s="94">
        <f t="shared" si="7"/>
        <v>16.891999999999999</v>
      </c>
      <c r="G178" s="29"/>
      <c r="H178" s="97">
        <f t="shared" si="8"/>
        <v>15.356363636363636</v>
      </c>
    </row>
    <row r="179" spans="1:8" ht="20.100000000000001" customHeight="1">
      <c r="A179" s="21" t="s">
        <v>5393</v>
      </c>
      <c r="B179" s="21" t="s">
        <v>5392</v>
      </c>
      <c r="C179" s="28" t="s">
        <v>5394</v>
      </c>
      <c r="D179" s="30">
        <v>442.90000000000003</v>
      </c>
      <c r="E179" s="94">
        <f t="shared" si="6"/>
        <v>16.239666666666668</v>
      </c>
      <c r="F179" s="94">
        <f t="shared" si="7"/>
        <v>17.716000000000001</v>
      </c>
      <c r="G179" s="29"/>
      <c r="H179" s="97">
        <f t="shared" si="8"/>
        <v>16.105454545454545</v>
      </c>
    </row>
    <row r="180" spans="1:8" ht="20.100000000000001" customHeight="1">
      <c r="A180" s="22" t="s">
        <v>5396</v>
      </c>
      <c r="B180" s="22" t="s">
        <v>5395</v>
      </c>
      <c r="C180" s="23" t="s">
        <v>5397</v>
      </c>
      <c r="D180" s="30">
        <v>684.95</v>
      </c>
      <c r="E180" s="94">
        <f t="shared" si="6"/>
        <v>25.11483333333334</v>
      </c>
      <c r="F180" s="94">
        <f t="shared" si="7"/>
        <v>27.398000000000003</v>
      </c>
      <c r="G180" s="29"/>
      <c r="H180" s="97">
        <f t="shared" si="8"/>
        <v>24.90727272727273</v>
      </c>
    </row>
    <row r="181" spans="1:8" ht="20.100000000000001" customHeight="1">
      <c r="A181" s="22" t="s">
        <v>5399</v>
      </c>
      <c r="B181" s="22" t="s">
        <v>5398</v>
      </c>
      <c r="C181" s="23" t="s">
        <v>5400</v>
      </c>
      <c r="D181" s="30">
        <v>710.7</v>
      </c>
      <c r="E181" s="94">
        <f t="shared" si="6"/>
        <v>26.059000000000005</v>
      </c>
      <c r="F181" s="94">
        <f t="shared" si="7"/>
        <v>28.428000000000001</v>
      </c>
      <c r="G181" s="29"/>
      <c r="H181" s="97">
        <f t="shared" si="8"/>
        <v>25.843636363636364</v>
      </c>
    </row>
    <row r="182" spans="1:8" ht="20.100000000000001" customHeight="1">
      <c r="A182" s="22" t="s">
        <v>5402</v>
      </c>
      <c r="B182" s="22" t="s">
        <v>5401</v>
      </c>
      <c r="C182" s="23" t="s">
        <v>5403</v>
      </c>
      <c r="D182" s="30">
        <v>0</v>
      </c>
      <c r="E182" s="94">
        <f t="shared" si="6"/>
        <v>0</v>
      </c>
      <c r="F182" s="94">
        <f t="shared" si="7"/>
        <v>0</v>
      </c>
      <c r="G182" s="29"/>
      <c r="H182" s="97">
        <f t="shared" si="8"/>
        <v>0</v>
      </c>
    </row>
    <row r="183" spans="1:8" ht="20.100000000000001" customHeight="1">
      <c r="A183" s="22" t="s">
        <v>5405</v>
      </c>
      <c r="B183" s="22" t="s">
        <v>5404</v>
      </c>
      <c r="C183" s="23" t="s">
        <v>5406</v>
      </c>
      <c r="D183" s="30">
        <v>550.02</v>
      </c>
      <c r="E183" s="94">
        <f t="shared" si="6"/>
        <v>20.167400000000001</v>
      </c>
      <c r="F183" s="94">
        <f t="shared" si="7"/>
        <v>22.000800000000002</v>
      </c>
      <c r="G183" s="29"/>
      <c r="H183" s="97">
        <f t="shared" si="8"/>
        <v>20.000727272727271</v>
      </c>
    </row>
    <row r="184" spans="1:8" ht="20.100000000000001" customHeight="1">
      <c r="A184" s="22" t="s">
        <v>5408</v>
      </c>
      <c r="B184" s="22" t="s">
        <v>5407</v>
      </c>
      <c r="C184" s="23" t="s">
        <v>5409</v>
      </c>
      <c r="D184" s="30">
        <v>545.9</v>
      </c>
      <c r="E184" s="94">
        <f t="shared" si="6"/>
        <v>20.016333333333332</v>
      </c>
      <c r="F184" s="94">
        <f t="shared" si="7"/>
        <v>21.835999999999999</v>
      </c>
      <c r="G184" s="29"/>
      <c r="H184" s="97">
        <f t="shared" si="8"/>
        <v>19.850909090909088</v>
      </c>
    </row>
    <row r="185" spans="1:8" ht="20.100000000000001" customHeight="1">
      <c r="A185" s="22" t="s">
        <v>5411</v>
      </c>
      <c r="B185" s="22" t="s">
        <v>5410</v>
      </c>
      <c r="C185" s="23" t="s">
        <v>5412</v>
      </c>
      <c r="D185" s="30">
        <v>679.92360000000008</v>
      </c>
      <c r="E185" s="94">
        <f t="shared" si="6"/>
        <v>24.930532000000007</v>
      </c>
      <c r="F185" s="94">
        <f t="shared" si="7"/>
        <v>27.196944000000006</v>
      </c>
      <c r="G185" s="29"/>
      <c r="H185" s="97">
        <f t="shared" si="8"/>
        <v>24.724494545454547</v>
      </c>
    </row>
    <row r="186" spans="1:8" ht="20.100000000000001" customHeight="1">
      <c r="A186" s="22" t="s">
        <v>5414</v>
      </c>
      <c r="B186" s="22" t="s">
        <v>5413</v>
      </c>
      <c r="C186" s="23" t="s">
        <v>5415</v>
      </c>
      <c r="D186" s="30">
        <v>827.72860000000003</v>
      </c>
      <c r="E186" s="94">
        <f t="shared" si="6"/>
        <v>30.35004866666667</v>
      </c>
      <c r="F186" s="94">
        <f t="shared" si="7"/>
        <v>33.109144000000001</v>
      </c>
      <c r="G186" s="29"/>
      <c r="H186" s="97">
        <f t="shared" si="8"/>
        <v>30.099221818181817</v>
      </c>
    </row>
    <row r="187" spans="1:8" ht="20.100000000000001" customHeight="1">
      <c r="A187" s="22" t="s">
        <v>5414</v>
      </c>
      <c r="B187" s="22" t="s">
        <v>5413</v>
      </c>
      <c r="C187" s="23" t="s">
        <v>5416</v>
      </c>
      <c r="D187" s="30">
        <v>827.72860000000003</v>
      </c>
      <c r="E187" s="94">
        <f t="shared" si="6"/>
        <v>30.35004866666667</v>
      </c>
      <c r="F187" s="94">
        <f t="shared" si="7"/>
        <v>33.109144000000001</v>
      </c>
      <c r="G187" s="29"/>
      <c r="H187" s="97">
        <f t="shared" si="8"/>
        <v>30.099221818181817</v>
      </c>
    </row>
    <row r="188" spans="1:8" ht="20.100000000000001" customHeight="1">
      <c r="A188" s="22" t="s">
        <v>5418</v>
      </c>
      <c r="B188" s="22" t="s">
        <v>5417</v>
      </c>
      <c r="C188" s="23" t="s">
        <v>5419</v>
      </c>
      <c r="D188" s="30">
        <v>648.9</v>
      </c>
      <c r="E188" s="94">
        <f t="shared" si="6"/>
        <v>23.793000000000003</v>
      </c>
      <c r="F188" s="94">
        <f t="shared" si="7"/>
        <v>25.956</v>
      </c>
      <c r="G188" s="29"/>
      <c r="H188" s="97">
        <f t="shared" si="8"/>
        <v>23.596363636363634</v>
      </c>
    </row>
    <row r="189" spans="1:8" ht="20.100000000000001" customHeight="1">
      <c r="A189" s="22" t="s">
        <v>5421</v>
      </c>
      <c r="B189" s="22" t="s">
        <v>5420</v>
      </c>
      <c r="C189" s="23" t="s">
        <v>5422</v>
      </c>
      <c r="D189" s="30">
        <v>543.84</v>
      </c>
      <c r="E189" s="94">
        <f t="shared" si="6"/>
        <v>19.940800000000003</v>
      </c>
      <c r="F189" s="94">
        <f t="shared" si="7"/>
        <v>21.753600000000002</v>
      </c>
      <c r="G189" s="29"/>
      <c r="H189" s="97">
        <f t="shared" si="8"/>
        <v>19.776000000000003</v>
      </c>
    </row>
    <row r="190" spans="1:8" ht="20.100000000000001" customHeight="1">
      <c r="A190" s="22" t="s">
        <v>5424</v>
      </c>
      <c r="B190" s="22" t="s">
        <v>5423</v>
      </c>
      <c r="C190" s="23" t="s">
        <v>5425</v>
      </c>
      <c r="D190" s="30">
        <v>497.49</v>
      </c>
      <c r="E190" s="94">
        <f t="shared" si="6"/>
        <v>18.241300000000003</v>
      </c>
      <c r="F190" s="94">
        <f t="shared" si="7"/>
        <v>19.8996</v>
      </c>
      <c r="G190" s="29"/>
      <c r="H190" s="97">
        <f t="shared" si="8"/>
        <v>18.090545454545452</v>
      </c>
    </row>
    <row r="191" spans="1:8" ht="20.100000000000001" customHeight="1">
      <c r="A191" s="22" t="s">
        <v>5427</v>
      </c>
      <c r="B191" s="22" t="s">
        <v>5426</v>
      </c>
      <c r="C191" s="23" t="s">
        <v>5428</v>
      </c>
      <c r="D191" s="30">
        <v>886.09870000000001</v>
      </c>
      <c r="E191" s="94">
        <f t="shared" si="6"/>
        <v>32.490285666666672</v>
      </c>
      <c r="F191" s="94">
        <f t="shared" si="7"/>
        <v>35.443947999999999</v>
      </c>
      <c r="G191" s="29"/>
      <c r="H191" s="97">
        <f t="shared" si="8"/>
        <v>32.221770909090907</v>
      </c>
    </row>
    <row r="192" spans="1:8" ht="20.100000000000001" customHeight="1">
      <c r="A192" s="22" t="s">
        <v>5430</v>
      </c>
      <c r="B192" s="22" t="s">
        <v>5429</v>
      </c>
      <c r="C192" s="23" t="s">
        <v>5431</v>
      </c>
      <c r="D192" s="30">
        <v>655.08000000000004</v>
      </c>
      <c r="E192" s="94">
        <f t="shared" si="6"/>
        <v>24.019600000000004</v>
      </c>
      <c r="F192" s="94">
        <f t="shared" si="7"/>
        <v>26.203199999999999</v>
      </c>
      <c r="G192" s="29"/>
      <c r="H192" s="97">
        <f t="shared" si="8"/>
        <v>23.821090909090909</v>
      </c>
    </row>
    <row r="193" spans="1:8" ht="20.100000000000001" customHeight="1">
      <c r="A193" s="22" t="s">
        <v>5433</v>
      </c>
      <c r="B193" s="22" t="s">
        <v>5432</v>
      </c>
      <c r="C193" s="23" t="s">
        <v>5434</v>
      </c>
      <c r="D193" s="30">
        <v>538.69000000000005</v>
      </c>
      <c r="E193" s="94">
        <f t="shared" si="6"/>
        <v>19.751966666666668</v>
      </c>
      <c r="F193" s="94">
        <f t="shared" si="7"/>
        <v>21.547599999999999</v>
      </c>
      <c r="G193" s="29"/>
      <c r="H193" s="97">
        <f t="shared" si="8"/>
        <v>19.588727272727272</v>
      </c>
    </row>
    <row r="194" spans="1:8" ht="20.100000000000001" customHeight="1">
      <c r="A194" s="22" t="s">
        <v>5436</v>
      </c>
      <c r="B194" s="22" t="s">
        <v>5435</v>
      </c>
      <c r="C194" s="23" t="s">
        <v>5437</v>
      </c>
      <c r="D194" s="30">
        <v>1011.0068</v>
      </c>
      <c r="E194" s="94">
        <f t="shared" ref="E194:E257" si="9">+(D194*1.1/30)</f>
        <v>37.070249333333336</v>
      </c>
      <c r="F194" s="94">
        <f t="shared" ref="F194:F257" si="10">+(D194*1.2/30)</f>
        <v>40.440272</v>
      </c>
      <c r="G194" s="29"/>
      <c r="H194" s="97">
        <f t="shared" ref="H194:H257" si="11">+(D194*1.2/33)</f>
        <v>36.76388363636363</v>
      </c>
    </row>
    <row r="195" spans="1:8" ht="20.100000000000001" customHeight="1">
      <c r="A195" s="22" t="s">
        <v>5439</v>
      </c>
      <c r="B195" s="22" t="s">
        <v>5438</v>
      </c>
      <c r="C195" s="23" t="s">
        <v>5440</v>
      </c>
      <c r="D195" s="30">
        <v>491.31</v>
      </c>
      <c r="E195" s="94">
        <f t="shared" si="9"/>
        <v>18.014700000000001</v>
      </c>
      <c r="F195" s="94">
        <f t="shared" si="10"/>
        <v>19.6524</v>
      </c>
      <c r="G195" s="29"/>
      <c r="H195" s="97">
        <f t="shared" si="11"/>
        <v>17.865818181818181</v>
      </c>
    </row>
    <row r="196" spans="1:8" ht="20.100000000000001" customHeight="1">
      <c r="A196" s="22" t="s">
        <v>5442</v>
      </c>
      <c r="B196" s="22" t="s">
        <v>5441</v>
      </c>
      <c r="C196" s="23" t="s">
        <v>5443</v>
      </c>
      <c r="D196" s="30">
        <v>1060.076</v>
      </c>
      <c r="E196" s="94">
        <f t="shared" si="9"/>
        <v>38.86945333333334</v>
      </c>
      <c r="F196" s="94">
        <f t="shared" si="10"/>
        <v>42.403040000000004</v>
      </c>
      <c r="G196" s="29"/>
      <c r="H196" s="97">
        <f t="shared" si="11"/>
        <v>38.548218181818186</v>
      </c>
    </row>
    <row r="197" spans="1:8" ht="20.100000000000001" customHeight="1">
      <c r="A197" s="22" t="s">
        <v>5445</v>
      </c>
      <c r="B197" s="22" t="s">
        <v>5444</v>
      </c>
      <c r="C197" s="23" t="s">
        <v>5446</v>
      </c>
      <c r="D197" s="30">
        <v>578.86</v>
      </c>
      <c r="E197" s="94">
        <f t="shared" si="9"/>
        <v>21.224866666666671</v>
      </c>
      <c r="F197" s="94">
        <f t="shared" si="10"/>
        <v>23.154399999999999</v>
      </c>
      <c r="G197" s="29"/>
      <c r="H197" s="97">
        <f t="shared" si="11"/>
        <v>21.049454545454545</v>
      </c>
    </row>
    <row r="198" spans="1:8" ht="20.100000000000001" customHeight="1">
      <c r="A198" s="22" t="s">
        <v>5448</v>
      </c>
      <c r="B198" s="22" t="s">
        <v>5447</v>
      </c>
      <c r="C198" s="23" t="s">
        <v>5449</v>
      </c>
      <c r="D198" s="30">
        <v>787.95</v>
      </c>
      <c r="E198" s="94">
        <f t="shared" si="9"/>
        <v>28.891500000000004</v>
      </c>
      <c r="F198" s="94">
        <f t="shared" si="10"/>
        <v>31.517999999999997</v>
      </c>
      <c r="G198" s="29"/>
      <c r="H198" s="97">
        <f t="shared" si="11"/>
        <v>28.652727272727272</v>
      </c>
    </row>
    <row r="199" spans="1:8" ht="20.100000000000001" customHeight="1">
      <c r="A199" s="22" t="s">
        <v>3533</v>
      </c>
      <c r="B199" s="22" t="s">
        <v>3532</v>
      </c>
      <c r="C199" s="23" t="s">
        <v>3534</v>
      </c>
      <c r="D199" s="30">
        <v>619.03</v>
      </c>
      <c r="E199" s="94">
        <f t="shared" si="9"/>
        <v>22.697766666666666</v>
      </c>
      <c r="F199" s="94">
        <f t="shared" si="10"/>
        <v>24.761199999999995</v>
      </c>
      <c r="G199" s="29"/>
      <c r="H199" s="97">
        <f t="shared" si="11"/>
        <v>22.510181818181817</v>
      </c>
    </row>
    <row r="200" spans="1:8" ht="20.100000000000001" customHeight="1">
      <c r="A200" s="22" t="s">
        <v>5451</v>
      </c>
      <c r="B200" s="22" t="s">
        <v>5450</v>
      </c>
      <c r="C200" s="23" t="s">
        <v>5452</v>
      </c>
      <c r="D200" s="30">
        <v>889.92</v>
      </c>
      <c r="E200" s="94">
        <f t="shared" si="9"/>
        <v>32.630400000000002</v>
      </c>
      <c r="F200" s="94">
        <f t="shared" si="10"/>
        <v>35.596800000000002</v>
      </c>
      <c r="G200" s="29"/>
      <c r="H200" s="97">
        <f t="shared" si="11"/>
        <v>32.360727272727274</v>
      </c>
    </row>
    <row r="201" spans="1:8" ht="20.100000000000001" customHeight="1">
      <c r="A201" s="22" t="s">
        <v>5454</v>
      </c>
      <c r="B201" s="22" t="s">
        <v>5453</v>
      </c>
      <c r="C201" s="23" t="s">
        <v>5455</v>
      </c>
      <c r="D201" s="30">
        <v>596.37</v>
      </c>
      <c r="E201" s="94">
        <f t="shared" si="9"/>
        <v>21.866900000000001</v>
      </c>
      <c r="F201" s="94">
        <f t="shared" si="10"/>
        <v>23.854800000000001</v>
      </c>
      <c r="G201" s="29"/>
      <c r="H201" s="97">
        <f t="shared" si="11"/>
        <v>21.686181818181819</v>
      </c>
    </row>
    <row r="202" spans="1:8" ht="20.100000000000001" customHeight="1">
      <c r="A202" s="22" t="s">
        <v>5457</v>
      </c>
      <c r="B202" s="22" t="s">
        <v>5456</v>
      </c>
      <c r="C202" s="23" t="s">
        <v>5458</v>
      </c>
      <c r="D202" s="30">
        <v>523.24</v>
      </c>
      <c r="E202" s="94">
        <f t="shared" si="9"/>
        <v>19.18546666666667</v>
      </c>
      <c r="F202" s="94">
        <f t="shared" si="10"/>
        <v>20.929600000000001</v>
      </c>
      <c r="G202" s="29"/>
      <c r="H202" s="97">
        <f t="shared" si="11"/>
        <v>19.026909090909093</v>
      </c>
    </row>
    <row r="203" spans="1:8" ht="20.100000000000001" customHeight="1">
      <c r="A203" s="22" t="s">
        <v>5460</v>
      </c>
      <c r="B203" s="22" t="s">
        <v>5459</v>
      </c>
      <c r="C203" s="23" t="s">
        <v>5461</v>
      </c>
      <c r="D203" s="30">
        <v>591.22</v>
      </c>
      <c r="E203" s="94">
        <f t="shared" si="9"/>
        <v>21.67806666666667</v>
      </c>
      <c r="F203" s="94">
        <f t="shared" si="10"/>
        <v>23.648800000000001</v>
      </c>
      <c r="G203" s="29"/>
      <c r="H203" s="97">
        <f t="shared" si="11"/>
        <v>21.498909090909091</v>
      </c>
    </row>
    <row r="204" spans="1:8" ht="20.100000000000001" customHeight="1">
      <c r="A204" s="22" t="s">
        <v>5463</v>
      </c>
      <c r="B204" s="22" t="s">
        <v>5462</v>
      </c>
      <c r="C204" s="23" t="s">
        <v>5464</v>
      </c>
      <c r="D204" s="30">
        <v>618</v>
      </c>
      <c r="E204" s="94">
        <f t="shared" si="9"/>
        <v>22.660000000000004</v>
      </c>
      <c r="F204" s="94">
        <f t="shared" si="10"/>
        <v>24.720000000000002</v>
      </c>
      <c r="G204" s="29"/>
      <c r="H204" s="97">
        <f t="shared" si="11"/>
        <v>22.472727272727273</v>
      </c>
    </row>
    <row r="205" spans="1:8" ht="20.100000000000001" customHeight="1">
      <c r="A205" s="22" t="s">
        <v>5466</v>
      </c>
      <c r="B205" s="22" t="s">
        <v>5465</v>
      </c>
      <c r="C205" s="23" t="s">
        <v>5467</v>
      </c>
      <c r="D205" s="30">
        <v>503.67</v>
      </c>
      <c r="E205" s="94">
        <f t="shared" si="9"/>
        <v>18.4679</v>
      </c>
      <c r="F205" s="94">
        <f t="shared" si="10"/>
        <v>20.146799999999999</v>
      </c>
      <c r="G205" s="29"/>
      <c r="H205" s="97">
        <f t="shared" si="11"/>
        <v>18.315272727272728</v>
      </c>
    </row>
    <row r="206" spans="1:8" ht="20.100000000000001" customHeight="1">
      <c r="A206" s="22" t="s">
        <v>5469</v>
      </c>
      <c r="B206" s="22" t="s">
        <v>5468</v>
      </c>
      <c r="C206" s="23" t="s">
        <v>5470</v>
      </c>
      <c r="D206" s="30">
        <v>573.71</v>
      </c>
      <c r="E206" s="94">
        <f t="shared" si="9"/>
        <v>21.036033333333339</v>
      </c>
      <c r="F206" s="94">
        <f t="shared" si="10"/>
        <v>22.948399999999999</v>
      </c>
      <c r="G206" s="29"/>
      <c r="H206" s="97">
        <f t="shared" si="11"/>
        <v>20.862181818181817</v>
      </c>
    </row>
    <row r="207" spans="1:8" ht="20.100000000000001" customHeight="1">
      <c r="A207" s="22" t="s">
        <v>5472</v>
      </c>
      <c r="B207" s="22" t="s">
        <v>5471</v>
      </c>
      <c r="C207" s="23" t="s">
        <v>5473</v>
      </c>
      <c r="D207" s="30">
        <v>602.54999999999995</v>
      </c>
      <c r="E207" s="94">
        <f t="shared" si="9"/>
        <v>22.093499999999999</v>
      </c>
      <c r="F207" s="94">
        <f t="shared" si="10"/>
        <v>24.101999999999997</v>
      </c>
      <c r="G207" s="29"/>
      <c r="H207" s="97">
        <f t="shared" si="11"/>
        <v>21.91090909090909</v>
      </c>
    </row>
    <row r="208" spans="1:8" ht="20.100000000000001" customHeight="1">
      <c r="A208" s="22" t="s">
        <v>5475</v>
      </c>
      <c r="B208" s="22" t="s">
        <v>5474</v>
      </c>
      <c r="C208" s="23" t="s">
        <v>5476</v>
      </c>
      <c r="D208" s="30">
        <v>489.25</v>
      </c>
      <c r="E208" s="94">
        <f t="shared" si="9"/>
        <v>17.939166666666669</v>
      </c>
      <c r="F208" s="94">
        <f t="shared" si="10"/>
        <v>19.57</v>
      </c>
      <c r="G208" s="29"/>
      <c r="H208" s="97">
        <f t="shared" si="11"/>
        <v>17.790909090909093</v>
      </c>
    </row>
    <row r="209" spans="1:8" ht="20.100000000000001" customHeight="1">
      <c r="A209" s="22" t="s">
        <v>5478</v>
      </c>
      <c r="B209" s="22" t="s">
        <v>5477</v>
      </c>
      <c r="C209" s="23" t="s">
        <v>5479</v>
      </c>
      <c r="D209" s="30">
        <v>473.8</v>
      </c>
      <c r="E209" s="94">
        <f t="shared" si="9"/>
        <v>17.372666666666667</v>
      </c>
      <c r="F209" s="94">
        <f t="shared" si="10"/>
        <v>18.951999999999998</v>
      </c>
      <c r="G209" s="29"/>
      <c r="H209" s="97">
        <f t="shared" si="11"/>
        <v>17.229090909090907</v>
      </c>
    </row>
    <row r="210" spans="1:8" ht="20.100000000000001" customHeight="1">
      <c r="A210" s="22" t="s">
        <v>5481</v>
      </c>
      <c r="B210" s="22" t="s">
        <v>5480</v>
      </c>
      <c r="C210" s="23" t="s">
        <v>5482</v>
      </c>
      <c r="D210" s="30">
        <v>863.19150000000002</v>
      </c>
      <c r="E210" s="94">
        <f t="shared" si="9"/>
        <v>31.650355000000001</v>
      </c>
      <c r="F210" s="94">
        <f t="shared" si="10"/>
        <v>34.527659999999997</v>
      </c>
      <c r="G210" s="29"/>
      <c r="H210" s="97">
        <f t="shared" si="11"/>
        <v>31.388781818181819</v>
      </c>
    </row>
    <row r="211" spans="1:8" ht="20.100000000000001" customHeight="1">
      <c r="A211" s="21" t="s">
        <v>5484</v>
      </c>
      <c r="B211" s="21" t="s">
        <v>5483</v>
      </c>
      <c r="C211" s="28" t="s">
        <v>5485</v>
      </c>
      <c r="D211" s="30">
        <v>863.19150000000002</v>
      </c>
      <c r="E211" s="94">
        <f t="shared" si="9"/>
        <v>31.650355000000001</v>
      </c>
      <c r="F211" s="94">
        <f t="shared" si="10"/>
        <v>34.527659999999997</v>
      </c>
      <c r="G211" s="29"/>
      <c r="H211" s="97">
        <f t="shared" si="11"/>
        <v>31.388781818181819</v>
      </c>
    </row>
    <row r="212" spans="1:8" ht="20.100000000000001" customHeight="1">
      <c r="A212" s="22" t="s">
        <v>5487</v>
      </c>
      <c r="B212" s="22" t="s">
        <v>5486</v>
      </c>
      <c r="C212" s="23" t="s">
        <v>5488</v>
      </c>
      <c r="D212" s="30">
        <v>763.48750000000007</v>
      </c>
      <c r="E212" s="94">
        <f t="shared" si="9"/>
        <v>27.994541666666674</v>
      </c>
      <c r="F212" s="94">
        <f t="shared" si="10"/>
        <v>30.5395</v>
      </c>
      <c r="G212" s="29"/>
      <c r="H212" s="97">
        <f t="shared" si="11"/>
        <v>27.76318181818182</v>
      </c>
    </row>
    <row r="213" spans="1:8" ht="20.100000000000001" customHeight="1">
      <c r="A213" s="22" t="s">
        <v>5490</v>
      </c>
      <c r="B213" s="22" t="s">
        <v>5489</v>
      </c>
      <c r="C213" s="23" t="s">
        <v>5491</v>
      </c>
      <c r="D213" s="30">
        <v>729.24</v>
      </c>
      <c r="E213" s="94">
        <f t="shared" si="9"/>
        <v>26.738800000000005</v>
      </c>
      <c r="F213" s="94">
        <f t="shared" si="10"/>
        <v>29.169599999999999</v>
      </c>
      <c r="G213" s="29"/>
      <c r="H213" s="97">
        <f t="shared" si="11"/>
        <v>26.517818181818182</v>
      </c>
    </row>
    <row r="214" spans="1:8" ht="20.100000000000001" customHeight="1">
      <c r="A214" s="22" t="s">
        <v>5493</v>
      </c>
      <c r="B214" s="22" t="s">
        <v>5492</v>
      </c>
      <c r="C214" s="23" t="s">
        <v>5494</v>
      </c>
      <c r="D214" s="30">
        <v>525.30000000000007</v>
      </c>
      <c r="E214" s="94">
        <f t="shared" si="9"/>
        <v>19.261000000000006</v>
      </c>
      <c r="F214" s="94">
        <f t="shared" si="10"/>
        <v>21.012</v>
      </c>
      <c r="G214" s="29"/>
      <c r="H214" s="97">
        <f t="shared" si="11"/>
        <v>19.101818181818182</v>
      </c>
    </row>
    <row r="215" spans="1:8" ht="20.100000000000001" customHeight="1">
      <c r="A215" s="22" t="s">
        <v>5496</v>
      </c>
      <c r="B215" s="22" t="s">
        <v>5495</v>
      </c>
      <c r="C215" s="23" t="s">
        <v>5497</v>
      </c>
      <c r="D215" s="30">
        <v>562.86410000000001</v>
      </c>
      <c r="E215" s="94">
        <f t="shared" si="9"/>
        <v>20.638350333333335</v>
      </c>
      <c r="F215" s="94">
        <f t="shared" si="10"/>
        <v>22.514564</v>
      </c>
      <c r="G215" s="29"/>
      <c r="H215" s="97">
        <f t="shared" si="11"/>
        <v>20.467785454545453</v>
      </c>
    </row>
    <row r="216" spans="1:8" ht="20.100000000000001" customHeight="1">
      <c r="A216" s="22" t="s">
        <v>5499</v>
      </c>
      <c r="B216" s="22" t="s">
        <v>5498</v>
      </c>
      <c r="C216" s="23" t="s">
        <v>5500</v>
      </c>
      <c r="D216" s="30">
        <v>618</v>
      </c>
      <c r="E216" s="94">
        <f t="shared" si="9"/>
        <v>22.660000000000004</v>
      </c>
      <c r="F216" s="94">
        <f t="shared" si="10"/>
        <v>24.720000000000002</v>
      </c>
      <c r="G216" s="29"/>
      <c r="H216" s="97">
        <f t="shared" si="11"/>
        <v>22.472727272727273</v>
      </c>
    </row>
    <row r="217" spans="1:8" ht="20.100000000000001" customHeight="1">
      <c r="A217" s="21" t="s">
        <v>6151</v>
      </c>
      <c r="B217" s="21" t="s">
        <v>6150</v>
      </c>
      <c r="C217" s="28" t="s">
        <v>6152</v>
      </c>
      <c r="D217" s="30">
        <v>0</v>
      </c>
      <c r="E217" s="94">
        <f t="shared" si="9"/>
        <v>0</v>
      </c>
      <c r="F217" s="94">
        <f t="shared" si="10"/>
        <v>0</v>
      </c>
      <c r="G217" s="29"/>
      <c r="H217" s="97">
        <f t="shared" si="11"/>
        <v>0</v>
      </c>
    </row>
    <row r="218" spans="1:8" ht="20.100000000000001" customHeight="1">
      <c r="A218" s="22" t="s">
        <v>5502</v>
      </c>
      <c r="B218" s="22" t="s">
        <v>5501</v>
      </c>
      <c r="C218" s="23" t="s">
        <v>5503</v>
      </c>
      <c r="D218" s="30">
        <v>667.44</v>
      </c>
      <c r="E218" s="94">
        <f t="shared" si="9"/>
        <v>24.472800000000003</v>
      </c>
      <c r="F218" s="94">
        <f t="shared" si="10"/>
        <v>26.697600000000001</v>
      </c>
      <c r="G218" s="29"/>
      <c r="H218" s="97">
        <f t="shared" si="11"/>
        <v>24.270545454545456</v>
      </c>
    </row>
    <row r="219" spans="1:8" ht="20.100000000000001" customHeight="1">
      <c r="A219" s="22" t="s">
        <v>5505</v>
      </c>
      <c r="B219" s="22" t="s">
        <v>5504</v>
      </c>
      <c r="C219" s="23" t="s">
        <v>5506</v>
      </c>
      <c r="D219" s="30">
        <v>1011.0068</v>
      </c>
      <c r="E219" s="94">
        <f t="shared" si="9"/>
        <v>37.070249333333336</v>
      </c>
      <c r="F219" s="94">
        <f t="shared" si="10"/>
        <v>40.440272</v>
      </c>
      <c r="G219" s="29"/>
      <c r="H219" s="97">
        <f t="shared" si="11"/>
        <v>36.76388363636363</v>
      </c>
    </row>
    <row r="220" spans="1:8" ht="20.100000000000001" customHeight="1">
      <c r="A220" s="22" t="s">
        <v>5508</v>
      </c>
      <c r="B220" s="22" t="s">
        <v>5507</v>
      </c>
      <c r="C220" s="23" t="s">
        <v>5506</v>
      </c>
      <c r="D220" s="30">
        <v>596.37</v>
      </c>
      <c r="E220" s="94">
        <f t="shared" si="9"/>
        <v>21.866900000000001</v>
      </c>
      <c r="F220" s="94">
        <f t="shared" si="10"/>
        <v>23.854800000000001</v>
      </c>
      <c r="G220" s="29"/>
      <c r="H220" s="97">
        <f t="shared" si="11"/>
        <v>21.686181818181819</v>
      </c>
    </row>
    <row r="221" spans="1:8" ht="20.100000000000001" customHeight="1">
      <c r="A221" s="22" t="s">
        <v>5510</v>
      </c>
      <c r="B221" s="22" t="s">
        <v>5509</v>
      </c>
      <c r="C221" s="23" t="s">
        <v>5511</v>
      </c>
      <c r="D221" s="30">
        <v>596.37</v>
      </c>
      <c r="E221" s="94">
        <f t="shared" si="9"/>
        <v>21.866900000000001</v>
      </c>
      <c r="F221" s="94">
        <f t="shared" si="10"/>
        <v>23.854800000000001</v>
      </c>
      <c r="G221" s="29"/>
      <c r="H221" s="97">
        <f t="shared" si="11"/>
        <v>21.686181818181819</v>
      </c>
    </row>
    <row r="222" spans="1:8" ht="20.100000000000001" customHeight="1">
      <c r="A222" s="22" t="s">
        <v>5513</v>
      </c>
      <c r="B222" s="22" t="s">
        <v>5512</v>
      </c>
      <c r="C222" s="23" t="s">
        <v>5514</v>
      </c>
      <c r="D222" s="30">
        <v>620.05999999999995</v>
      </c>
      <c r="E222" s="94">
        <f t="shared" si="9"/>
        <v>22.735533333333333</v>
      </c>
      <c r="F222" s="94">
        <f t="shared" si="10"/>
        <v>24.802399999999995</v>
      </c>
      <c r="G222" s="29"/>
      <c r="H222" s="97">
        <f t="shared" si="11"/>
        <v>22.547636363636361</v>
      </c>
    </row>
    <row r="223" spans="1:8" ht="20.100000000000001" customHeight="1">
      <c r="A223" s="22" t="s">
        <v>5516</v>
      </c>
      <c r="B223" s="22" t="s">
        <v>5515</v>
      </c>
      <c r="C223" s="23" t="s">
        <v>5517</v>
      </c>
      <c r="D223" s="30">
        <v>607.70000000000005</v>
      </c>
      <c r="E223" s="94">
        <f t="shared" si="9"/>
        <v>22.282333333333337</v>
      </c>
      <c r="F223" s="94">
        <f t="shared" si="10"/>
        <v>24.308</v>
      </c>
      <c r="G223" s="29"/>
      <c r="H223" s="97">
        <f t="shared" si="11"/>
        <v>22.098181818181818</v>
      </c>
    </row>
    <row r="224" spans="1:8" ht="20.100000000000001" customHeight="1">
      <c r="A224" s="22" t="s">
        <v>5519</v>
      </c>
      <c r="B224" s="22" t="s">
        <v>5518</v>
      </c>
      <c r="C224" s="23" t="s">
        <v>5520</v>
      </c>
      <c r="D224" s="30">
        <v>591.22</v>
      </c>
      <c r="E224" s="94">
        <f t="shared" si="9"/>
        <v>21.67806666666667</v>
      </c>
      <c r="F224" s="94">
        <f t="shared" si="10"/>
        <v>23.648800000000001</v>
      </c>
      <c r="G224" s="29"/>
      <c r="H224" s="97">
        <f t="shared" si="11"/>
        <v>21.498909090909091</v>
      </c>
    </row>
    <row r="225" spans="1:8" ht="20.100000000000001" customHeight="1">
      <c r="A225" s="22" t="s">
        <v>5522</v>
      </c>
      <c r="B225" s="22" t="s">
        <v>5521</v>
      </c>
      <c r="C225" s="23" t="s">
        <v>5523</v>
      </c>
      <c r="D225" s="30">
        <v>597.4</v>
      </c>
      <c r="E225" s="94">
        <f t="shared" si="9"/>
        <v>21.904666666666667</v>
      </c>
      <c r="F225" s="94">
        <f t="shared" si="10"/>
        <v>23.896000000000001</v>
      </c>
      <c r="G225" s="29"/>
      <c r="H225" s="97">
        <f t="shared" si="11"/>
        <v>21.723636363636363</v>
      </c>
    </row>
    <row r="226" spans="1:8" ht="20.100000000000001" customHeight="1">
      <c r="A226" s="22" t="s">
        <v>5525</v>
      </c>
      <c r="B226" s="22" t="s">
        <v>5524</v>
      </c>
      <c r="C226" s="23" t="s">
        <v>5526</v>
      </c>
      <c r="D226" s="30">
        <v>521.17999999999995</v>
      </c>
      <c r="E226" s="94">
        <f t="shared" si="9"/>
        <v>19.109933333333334</v>
      </c>
      <c r="F226" s="94">
        <f t="shared" si="10"/>
        <v>20.847199999999997</v>
      </c>
      <c r="G226" s="29"/>
      <c r="H226" s="97">
        <f t="shared" si="11"/>
        <v>18.951999999999998</v>
      </c>
    </row>
    <row r="227" spans="1:8" ht="20.100000000000001" customHeight="1">
      <c r="A227" s="22" t="s">
        <v>5528</v>
      </c>
      <c r="B227" s="22" t="s">
        <v>5527</v>
      </c>
      <c r="C227" s="23" t="s">
        <v>5529</v>
      </c>
      <c r="D227" s="30">
        <v>1011.0068</v>
      </c>
      <c r="E227" s="94">
        <f t="shared" si="9"/>
        <v>37.070249333333336</v>
      </c>
      <c r="F227" s="94">
        <f t="shared" si="10"/>
        <v>40.440272</v>
      </c>
      <c r="G227" s="29"/>
      <c r="H227" s="97">
        <f t="shared" si="11"/>
        <v>36.76388363636363</v>
      </c>
    </row>
    <row r="228" spans="1:8" ht="20.100000000000001" customHeight="1">
      <c r="A228" s="21" t="s">
        <v>5531</v>
      </c>
      <c r="B228" s="21" t="s">
        <v>5530</v>
      </c>
      <c r="C228" s="28" t="s">
        <v>5532</v>
      </c>
      <c r="D228" s="30">
        <v>620.05999999999995</v>
      </c>
      <c r="E228" s="94">
        <f t="shared" si="9"/>
        <v>22.735533333333333</v>
      </c>
      <c r="F228" s="94">
        <f t="shared" si="10"/>
        <v>24.802399999999995</v>
      </c>
      <c r="G228" s="29"/>
      <c r="H228" s="97">
        <f t="shared" si="11"/>
        <v>22.547636363636361</v>
      </c>
    </row>
    <row r="229" spans="1:8" ht="20.100000000000001" customHeight="1">
      <c r="A229" s="22" t="s">
        <v>5534</v>
      </c>
      <c r="B229" s="22" t="s">
        <v>5533</v>
      </c>
      <c r="C229" s="23" t="s">
        <v>5535</v>
      </c>
      <c r="D229" s="30">
        <v>640.88660000000004</v>
      </c>
      <c r="E229" s="94">
        <f t="shared" si="9"/>
        <v>23.499175333333337</v>
      </c>
      <c r="F229" s="94">
        <f t="shared" si="10"/>
        <v>25.635464000000002</v>
      </c>
      <c r="G229" s="29"/>
      <c r="H229" s="97">
        <f t="shared" si="11"/>
        <v>23.304967272727275</v>
      </c>
    </row>
    <row r="230" spans="1:8" ht="20.100000000000001" customHeight="1">
      <c r="A230" s="22" t="s">
        <v>5537</v>
      </c>
      <c r="B230" s="22" t="s">
        <v>5536</v>
      </c>
      <c r="C230" s="23" t="s">
        <v>5538</v>
      </c>
      <c r="D230" s="30">
        <v>1011.0068</v>
      </c>
      <c r="E230" s="94">
        <f t="shared" si="9"/>
        <v>37.070249333333336</v>
      </c>
      <c r="F230" s="94">
        <f t="shared" si="10"/>
        <v>40.440272</v>
      </c>
      <c r="G230" s="29"/>
      <c r="H230" s="97">
        <f t="shared" si="11"/>
        <v>36.76388363636363</v>
      </c>
    </row>
    <row r="231" spans="1:8" ht="20.100000000000001" customHeight="1">
      <c r="A231" s="22" t="s">
        <v>5540</v>
      </c>
      <c r="B231" s="22" t="s">
        <v>5539</v>
      </c>
      <c r="C231" s="23" t="s">
        <v>5541</v>
      </c>
      <c r="D231" s="30">
        <v>702.46</v>
      </c>
      <c r="E231" s="94">
        <f t="shared" si="9"/>
        <v>25.756866666666671</v>
      </c>
      <c r="F231" s="94">
        <f t="shared" si="10"/>
        <v>28.098400000000002</v>
      </c>
      <c r="G231" s="29"/>
      <c r="H231" s="97">
        <f t="shared" si="11"/>
        <v>25.544</v>
      </c>
    </row>
    <row r="232" spans="1:8" ht="20.100000000000001" customHeight="1">
      <c r="A232" s="22" t="s">
        <v>5543</v>
      </c>
      <c r="B232" s="22" t="s">
        <v>5542</v>
      </c>
      <c r="C232" s="23" t="s">
        <v>5544</v>
      </c>
      <c r="D232" s="30">
        <v>462.47</v>
      </c>
      <c r="E232" s="94">
        <f t="shared" si="9"/>
        <v>16.957233333333338</v>
      </c>
      <c r="F232" s="94">
        <f t="shared" si="10"/>
        <v>18.498800000000003</v>
      </c>
      <c r="G232" s="29"/>
      <c r="H232" s="97">
        <f t="shared" si="11"/>
        <v>16.817090909090911</v>
      </c>
    </row>
    <row r="233" spans="1:8" ht="20.100000000000001" customHeight="1">
      <c r="A233" s="22" t="s">
        <v>5546</v>
      </c>
      <c r="B233" s="22" t="s">
        <v>5545</v>
      </c>
      <c r="C233" s="23" t="s">
        <v>5547</v>
      </c>
      <c r="D233" s="30">
        <v>521.17999999999995</v>
      </c>
      <c r="E233" s="94">
        <f t="shared" si="9"/>
        <v>19.109933333333334</v>
      </c>
      <c r="F233" s="94">
        <f t="shared" si="10"/>
        <v>20.847199999999997</v>
      </c>
      <c r="G233" s="29"/>
      <c r="H233" s="97">
        <f t="shared" si="11"/>
        <v>18.951999999999998</v>
      </c>
    </row>
    <row r="234" spans="1:8" ht="20.100000000000001" customHeight="1">
      <c r="A234" s="22" t="s">
        <v>5549</v>
      </c>
      <c r="B234" s="22" t="s">
        <v>5548</v>
      </c>
      <c r="C234" s="23" t="s">
        <v>5550</v>
      </c>
      <c r="D234" s="30">
        <v>479.98</v>
      </c>
      <c r="E234" s="94">
        <f t="shared" si="9"/>
        <v>17.599266666666669</v>
      </c>
      <c r="F234" s="94">
        <f t="shared" si="10"/>
        <v>19.199200000000001</v>
      </c>
      <c r="G234" s="29"/>
      <c r="H234" s="97">
        <f t="shared" si="11"/>
        <v>17.453818181818182</v>
      </c>
    </row>
    <row r="235" spans="1:8" ht="20.100000000000001" customHeight="1">
      <c r="A235" s="22" t="s">
        <v>5552</v>
      </c>
      <c r="B235" s="22" t="s">
        <v>5551</v>
      </c>
      <c r="C235" s="23" t="s">
        <v>5553</v>
      </c>
      <c r="D235" s="30">
        <v>538.69000000000005</v>
      </c>
      <c r="E235" s="94">
        <f t="shared" si="9"/>
        <v>19.751966666666668</v>
      </c>
      <c r="F235" s="94">
        <f t="shared" si="10"/>
        <v>21.547599999999999</v>
      </c>
      <c r="G235" s="29"/>
      <c r="H235" s="97">
        <f t="shared" si="11"/>
        <v>19.588727272727272</v>
      </c>
    </row>
    <row r="236" spans="1:8" ht="20.100000000000001" customHeight="1">
      <c r="A236" s="22" t="s">
        <v>5555</v>
      </c>
      <c r="B236" s="22" t="s">
        <v>5554</v>
      </c>
      <c r="C236" s="23" t="s">
        <v>5556</v>
      </c>
      <c r="D236" s="30">
        <v>427.45</v>
      </c>
      <c r="E236" s="94">
        <f t="shared" si="9"/>
        <v>15.673166666666669</v>
      </c>
      <c r="F236" s="94">
        <f t="shared" si="10"/>
        <v>17.097999999999999</v>
      </c>
      <c r="G236" s="29"/>
      <c r="H236" s="97">
        <f t="shared" si="11"/>
        <v>15.543636363636361</v>
      </c>
    </row>
    <row r="237" spans="1:8" ht="20.100000000000001" customHeight="1">
      <c r="A237" s="22" t="s">
        <v>5558</v>
      </c>
      <c r="B237" s="22" t="s">
        <v>5557</v>
      </c>
      <c r="C237" s="23" t="s">
        <v>5559</v>
      </c>
      <c r="D237" s="30">
        <v>415.09</v>
      </c>
      <c r="E237" s="94">
        <f t="shared" si="9"/>
        <v>15.219966666666666</v>
      </c>
      <c r="F237" s="94">
        <f t="shared" si="10"/>
        <v>16.603599999999997</v>
      </c>
      <c r="G237" s="29"/>
      <c r="H237" s="97">
        <f t="shared" si="11"/>
        <v>15.094181818181816</v>
      </c>
    </row>
    <row r="238" spans="1:8" ht="20.100000000000001" customHeight="1">
      <c r="A238" s="22" t="s">
        <v>5561</v>
      </c>
      <c r="B238" s="22" t="s">
        <v>5560</v>
      </c>
      <c r="C238" s="23" t="s">
        <v>5547</v>
      </c>
      <c r="D238" s="30">
        <v>550.02</v>
      </c>
      <c r="E238" s="94">
        <f t="shared" si="9"/>
        <v>20.167400000000001</v>
      </c>
      <c r="F238" s="94">
        <f t="shared" si="10"/>
        <v>22.000800000000002</v>
      </c>
      <c r="G238" s="29"/>
      <c r="H238" s="97">
        <f t="shared" si="11"/>
        <v>20.000727272727271</v>
      </c>
    </row>
    <row r="239" spans="1:8" ht="20.100000000000001" customHeight="1">
      <c r="A239" s="22" t="s">
        <v>5563</v>
      </c>
      <c r="B239" s="22" t="s">
        <v>5562</v>
      </c>
      <c r="C239" s="23" t="s">
        <v>5564</v>
      </c>
      <c r="D239" s="30">
        <v>1011.0068</v>
      </c>
      <c r="E239" s="94">
        <f t="shared" si="9"/>
        <v>37.070249333333336</v>
      </c>
      <c r="F239" s="94">
        <f t="shared" si="10"/>
        <v>40.440272</v>
      </c>
      <c r="G239" s="29"/>
      <c r="H239" s="97">
        <f t="shared" si="11"/>
        <v>36.76388363636363</v>
      </c>
    </row>
    <row r="240" spans="1:8" ht="20.100000000000001" customHeight="1">
      <c r="A240" s="22" t="s">
        <v>5566</v>
      </c>
      <c r="B240" s="22" t="s">
        <v>5565</v>
      </c>
      <c r="C240" s="23" t="s">
        <v>5567</v>
      </c>
      <c r="D240" s="30">
        <v>515</v>
      </c>
      <c r="E240" s="94">
        <f t="shared" si="9"/>
        <v>18.883333333333333</v>
      </c>
      <c r="F240" s="94">
        <f t="shared" si="10"/>
        <v>20.6</v>
      </c>
      <c r="G240" s="29"/>
      <c r="H240" s="97">
        <f t="shared" si="11"/>
        <v>18.727272727272727</v>
      </c>
    </row>
    <row r="241" spans="1:8" ht="20.100000000000001" customHeight="1">
      <c r="A241" s="22" t="s">
        <v>4306</v>
      </c>
      <c r="B241" s="22" t="s">
        <v>4305</v>
      </c>
      <c r="C241" s="23" t="s">
        <v>4307</v>
      </c>
      <c r="D241" s="30">
        <v>532.51</v>
      </c>
      <c r="E241" s="94">
        <f t="shared" si="9"/>
        <v>19.52536666666667</v>
      </c>
      <c r="F241" s="94">
        <f t="shared" si="10"/>
        <v>21.3004</v>
      </c>
      <c r="G241" s="29"/>
      <c r="H241" s="97">
        <f t="shared" si="11"/>
        <v>19.363999999999997</v>
      </c>
    </row>
    <row r="242" spans="1:8" ht="20.100000000000001" customHeight="1">
      <c r="A242" s="22" t="s">
        <v>5572</v>
      </c>
      <c r="B242" s="22" t="s">
        <v>5571</v>
      </c>
      <c r="C242" s="23" t="s">
        <v>5573</v>
      </c>
      <c r="D242" s="30">
        <v>1011.0068</v>
      </c>
      <c r="E242" s="94">
        <f t="shared" si="9"/>
        <v>37.070249333333336</v>
      </c>
      <c r="F242" s="94">
        <f t="shared" si="10"/>
        <v>40.440272</v>
      </c>
      <c r="G242" s="29"/>
      <c r="H242" s="97">
        <f t="shared" si="11"/>
        <v>36.76388363636363</v>
      </c>
    </row>
    <row r="243" spans="1:8" ht="20.100000000000001" customHeight="1">
      <c r="A243" s="22" t="s">
        <v>5575</v>
      </c>
      <c r="B243" s="22" t="s">
        <v>5574</v>
      </c>
      <c r="C243" s="23" t="s">
        <v>5138</v>
      </c>
      <c r="D243" s="30">
        <v>1011.0068</v>
      </c>
      <c r="E243" s="94">
        <f t="shared" si="9"/>
        <v>37.070249333333336</v>
      </c>
      <c r="F243" s="94">
        <f t="shared" si="10"/>
        <v>40.440272</v>
      </c>
      <c r="G243" s="29"/>
      <c r="H243" s="97">
        <f t="shared" si="11"/>
        <v>36.76388363636363</v>
      </c>
    </row>
    <row r="244" spans="1:8" ht="20.100000000000001" customHeight="1">
      <c r="A244" s="22" t="s">
        <v>5577</v>
      </c>
      <c r="B244" s="22" t="s">
        <v>5576</v>
      </c>
      <c r="C244" s="23" t="s">
        <v>5578</v>
      </c>
      <c r="D244" s="30">
        <v>1149.3461</v>
      </c>
      <c r="E244" s="94">
        <f t="shared" si="9"/>
        <v>42.142690333333334</v>
      </c>
      <c r="F244" s="94">
        <f t="shared" si="10"/>
        <v>45.973844</v>
      </c>
      <c r="G244" s="29"/>
      <c r="H244" s="97">
        <f t="shared" si="11"/>
        <v>41.79440363636364</v>
      </c>
    </row>
    <row r="245" spans="1:8" ht="20.100000000000001" customHeight="1">
      <c r="A245" s="22" t="s">
        <v>5580</v>
      </c>
      <c r="B245" s="22" t="s">
        <v>5579</v>
      </c>
      <c r="C245" s="23" t="s">
        <v>5581</v>
      </c>
      <c r="D245" s="30">
        <v>1149.3461</v>
      </c>
      <c r="E245" s="94">
        <f t="shared" si="9"/>
        <v>42.142690333333334</v>
      </c>
      <c r="F245" s="94">
        <f t="shared" si="10"/>
        <v>45.973844</v>
      </c>
      <c r="G245" s="29"/>
      <c r="H245" s="97">
        <f t="shared" si="11"/>
        <v>41.79440363636364</v>
      </c>
    </row>
    <row r="246" spans="1:8" ht="20.100000000000001" customHeight="1">
      <c r="A246" s="22" t="s">
        <v>5583</v>
      </c>
      <c r="B246" s="22" t="s">
        <v>5582</v>
      </c>
      <c r="C246" s="23" t="s">
        <v>5584</v>
      </c>
      <c r="D246" s="30">
        <v>1282.9679999999998</v>
      </c>
      <c r="E246" s="94">
        <f t="shared" si="9"/>
        <v>47.042159999999996</v>
      </c>
      <c r="F246" s="94">
        <f t="shared" si="10"/>
        <v>51.318719999999992</v>
      </c>
      <c r="G246" s="29"/>
      <c r="H246" s="97">
        <f t="shared" si="11"/>
        <v>46.653381818181813</v>
      </c>
    </row>
    <row r="247" spans="1:8" ht="20.100000000000001" customHeight="1">
      <c r="A247" s="22" t="s">
        <v>5586</v>
      </c>
      <c r="B247" s="22" t="s">
        <v>5585</v>
      </c>
      <c r="C247" s="23" t="s">
        <v>5587</v>
      </c>
      <c r="D247" s="30">
        <v>827.72860000000003</v>
      </c>
      <c r="E247" s="94">
        <f t="shared" si="9"/>
        <v>30.35004866666667</v>
      </c>
      <c r="F247" s="94">
        <f t="shared" si="10"/>
        <v>33.109144000000001</v>
      </c>
      <c r="G247" s="29"/>
      <c r="H247" s="97">
        <f t="shared" si="11"/>
        <v>30.099221818181817</v>
      </c>
    </row>
    <row r="248" spans="1:8" ht="20.100000000000001" customHeight="1">
      <c r="A248" s="22" t="s">
        <v>5589</v>
      </c>
      <c r="B248" s="22" t="s">
        <v>5588</v>
      </c>
      <c r="C248" s="23" t="s">
        <v>5590</v>
      </c>
      <c r="D248" s="30">
        <v>573.71</v>
      </c>
      <c r="E248" s="94">
        <f t="shared" si="9"/>
        <v>21.036033333333339</v>
      </c>
      <c r="F248" s="94">
        <f t="shared" si="10"/>
        <v>22.948399999999999</v>
      </c>
      <c r="G248" s="29"/>
      <c r="H248" s="97">
        <f t="shared" si="11"/>
        <v>20.862181818181817</v>
      </c>
    </row>
    <row r="249" spans="1:8" ht="20.100000000000001" customHeight="1">
      <c r="A249" s="22" t="s">
        <v>5592</v>
      </c>
      <c r="B249" s="22" t="s">
        <v>5591</v>
      </c>
      <c r="C249" s="23" t="s">
        <v>5593</v>
      </c>
      <c r="D249" s="30">
        <v>633</v>
      </c>
      <c r="E249" s="94">
        <f t="shared" si="9"/>
        <v>23.21</v>
      </c>
      <c r="F249" s="94">
        <f t="shared" si="10"/>
        <v>25.32</v>
      </c>
      <c r="G249" s="29"/>
      <c r="H249" s="97">
        <f t="shared" si="11"/>
        <v>23.018181818181819</v>
      </c>
    </row>
    <row r="250" spans="1:8" ht="20.100000000000001" customHeight="1">
      <c r="A250" s="22" t="s">
        <v>5595</v>
      </c>
      <c r="B250" s="22" t="s">
        <v>5594</v>
      </c>
      <c r="C250" s="23" t="s">
        <v>5596</v>
      </c>
      <c r="D250" s="30">
        <v>863.19150000000002</v>
      </c>
      <c r="E250" s="94">
        <f t="shared" si="9"/>
        <v>31.650355000000001</v>
      </c>
      <c r="F250" s="94">
        <f t="shared" si="10"/>
        <v>34.527659999999997</v>
      </c>
      <c r="G250" s="29"/>
      <c r="H250" s="97">
        <f t="shared" si="11"/>
        <v>31.388781818181819</v>
      </c>
    </row>
    <row r="251" spans="1:8" ht="20.100000000000001" customHeight="1">
      <c r="A251" s="22" t="s">
        <v>5598</v>
      </c>
      <c r="B251" s="22" t="s">
        <v>5597</v>
      </c>
      <c r="C251" s="23" t="s">
        <v>5599</v>
      </c>
      <c r="D251" s="30">
        <v>690.1</v>
      </c>
      <c r="E251" s="94">
        <f t="shared" si="9"/>
        <v>25.303666666666672</v>
      </c>
      <c r="F251" s="94">
        <f t="shared" si="10"/>
        <v>27.603999999999999</v>
      </c>
      <c r="G251" s="29"/>
      <c r="H251" s="97">
        <f t="shared" si="11"/>
        <v>25.094545454545454</v>
      </c>
    </row>
    <row r="252" spans="1:8" ht="20.100000000000001" customHeight="1">
      <c r="A252" s="22" t="s">
        <v>5601</v>
      </c>
      <c r="B252" s="22" t="s">
        <v>5600</v>
      </c>
      <c r="C252" s="23" t="s">
        <v>5602</v>
      </c>
      <c r="D252" s="30">
        <v>566.5</v>
      </c>
      <c r="E252" s="94">
        <f t="shared" si="9"/>
        <v>20.771666666666668</v>
      </c>
      <c r="F252" s="94">
        <f t="shared" si="10"/>
        <v>22.66</v>
      </c>
      <c r="G252" s="29"/>
      <c r="H252" s="97">
        <f t="shared" si="11"/>
        <v>20.599999999999998</v>
      </c>
    </row>
    <row r="253" spans="1:8" ht="20.100000000000001" customHeight="1">
      <c r="A253" s="22" t="s">
        <v>5604</v>
      </c>
      <c r="B253" s="22" t="s">
        <v>5603</v>
      </c>
      <c r="C253" s="23" t="s">
        <v>5605</v>
      </c>
      <c r="D253" s="30">
        <v>532.51</v>
      </c>
      <c r="E253" s="94">
        <f t="shared" si="9"/>
        <v>19.52536666666667</v>
      </c>
      <c r="F253" s="94">
        <f t="shared" si="10"/>
        <v>21.3004</v>
      </c>
      <c r="G253" s="29"/>
      <c r="H253" s="97">
        <f t="shared" si="11"/>
        <v>19.363999999999997</v>
      </c>
    </row>
    <row r="254" spans="1:8" ht="20.100000000000001" customHeight="1">
      <c r="A254" s="22" t="s">
        <v>5607</v>
      </c>
      <c r="B254" s="22" t="s">
        <v>5606</v>
      </c>
      <c r="C254" s="23" t="s">
        <v>5608</v>
      </c>
      <c r="D254" s="30">
        <v>679.92360000000008</v>
      </c>
      <c r="E254" s="94">
        <f t="shared" si="9"/>
        <v>24.930532000000007</v>
      </c>
      <c r="F254" s="94">
        <f t="shared" si="10"/>
        <v>27.196944000000006</v>
      </c>
      <c r="G254" s="29"/>
      <c r="H254" s="97">
        <f t="shared" si="11"/>
        <v>24.724494545454547</v>
      </c>
    </row>
    <row r="255" spans="1:8" ht="20.100000000000001" customHeight="1">
      <c r="A255" s="22" t="s">
        <v>5610</v>
      </c>
      <c r="B255" s="22" t="s">
        <v>5609</v>
      </c>
      <c r="C255" s="23" t="s">
        <v>5611</v>
      </c>
      <c r="D255" s="30">
        <v>1010.2343</v>
      </c>
      <c r="E255" s="94">
        <f t="shared" si="9"/>
        <v>37.041924333333334</v>
      </c>
      <c r="F255" s="94">
        <f t="shared" si="10"/>
        <v>40.409371999999998</v>
      </c>
      <c r="G255" s="29"/>
      <c r="H255" s="97">
        <f t="shared" si="11"/>
        <v>36.735792727272724</v>
      </c>
    </row>
    <row r="256" spans="1:8" ht="20.100000000000001" customHeight="1">
      <c r="A256" s="22" t="s">
        <v>5613</v>
      </c>
      <c r="B256" s="22" t="s">
        <v>5612</v>
      </c>
      <c r="C256" s="23" t="s">
        <v>5614</v>
      </c>
      <c r="D256" s="30">
        <v>1011.0068</v>
      </c>
      <c r="E256" s="94">
        <f t="shared" si="9"/>
        <v>37.070249333333336</v>
      </c>
      <c r="F256" s="94">
        <f t="shared" si="10"/>
        <v>40.440272</v>
      </c>
      <c r="G256" s="29"/>
      <c r="H256" s="97">
        <f t="shared" si="11"/>
        <v>36.76388363636363</v>
      </c>
    </row>
    <row r="257" spans="1:8" ht="20.100000000000001" customHeight="1">
      <c r="A257" s="22" t="s">
        <v>5616</v>
      </c>
      <c r="B257" s="22" t="s">
        <v>5615</v>
      </c>
      <c r="C257" s="23" t="s">
        <v>5617</v>
      </c>
      <c r="D257" s="30">
        <v>652.03120000000001</v>
      </c>
      <c r="E257" s="94">
        <f t="shared" si="9"/>
        <v>23.907810666666666</v>
      </c>
      <c r="F257" s="94">
        <f t="shared" si="10"/>
        <v>26.081248000000002</v>
      </c>
      <c r="G257" s="29"/>
      <c r="H257" s="97">
        <f t="shared" si="11"/>
        <v>23.710225454545455</v>
      </c>
    </row>
    <row r="258" spans="1:8" ht="20.100000000000001" customHeight="1">
      <c r="A258" s="22" t="s">
        <v>5619</v>
      </c>
      <c r="B258" s="22" t="s">
        <v>5618</v>
      </c>
      <c r="C258" s="23" t="s">
        <v>5620</v>
      </c>
      <c r="D258" s="30">
        <v>643.75</v>
      </c>
      <c r="E258" s="94">
        <f t="shared" ref="E258:E321" si="12">+(D258*1.1/30)</f>
        <v>23.604166666666671</v>
      </c>
      <c r="F258" s="94">
        <f t="shared" ref="F258:F321" si="13">+(D258*1.2/30)</f>
        <v>25.75</v>
      </c>
      <c r="G258" s="29"/>
      <c r="H258" s="97">
        <f t="shared" ref="H258:H321" si="14">+(D258*1.2/33)</f>
        <v>23.40909090909091</v>
      </c>
    </row>
    <row r="259" spans="1:8" ht="20.100000000000001" customHeight="1">
      <c r="A259" s="22" t="s">
        <v>5622</v>
      </c>
      <c r="B259" s="22" t="s">
        <v>5621</v>
      </c>
      <c r="C259" s="23" t="s">
        <v>5623</v>
      </c>
      <c r="D259" s="30">
        <v>467.62</v>
      </c>
      <c r="E259" s="94">
        <f t="shared" si="12"/>
        <v>17.14606666666667</v>
      </c>
      <c r="F259" s="94">
        <f t="shared" si="13"/>
        <v>18.704799999999999</v>
      </c>
      <c r="G259" s="29"/>
      <c r="H259" s="97">
        <f t="shared" si="14"/>
        <v>17.004363636363635</v>
      </c>
    </row>
    <row r="260" spans="1:8" ht="20.100000000000001" customHeight="1">
      <c r="A260" s="22" t="s">
        <v>5625</v>
      </c>
      <c r="B260" s="22" t="s">
        <v>5624</v>
      </c>
      <c r="C260" s="23" t="s">
        <v>5626</v>
      </c>
      <c r="D260" s="30">
        <v>863.19150000000002</v>
      </c>
      <c r="E260" s="94">
        <f t="shared" si="12"/>
        <v>31.650355000000001</v>
      </c>
      <c r="F260" s="94">
        <f t="shared" si="13"/>
        <v>34.527659999999997</v>
      </c>
      <c r="G260" s="29"/>
      <c r="H260" s="97">
        <f t="shared" si="14"/>
        <v>31.388781818181819</v>
      </c>
    </row>
    <row r="261" spans="1:8" ht="20.100000000000001" customHeight="1">
      <c r="A261" s="22" t="s">
        <v>4309</v>
      </c>
      <c r="B261" s="22" t="s">
        <v>4308</v>
      </c>
      <c r="C261" s="23" t="s">
        <v>4310</v>
      </c>
      <c r="D261" s="30">
        <v>456.29</v>
      </c>
      <c r="E261" s="94">
        <f t="shared" si="12"/>
        <v>16.730633333333333</v>
      </c>
      <c r="F261" s="94">
        <f t="shared" si="13"/>
        <v>18.2516</v>
      </c>
      <c r="G261" s="29"/>
      <c r="H261" s="97">
        <f t="shared" si="14"/>
        <v>16.592363636363636</v>
      </c>
    </row>
    <row r="262" spans="1:8" ht="20.100000000000001" customHeight="1">
      <c r="A262" s="22" t="s">
        <v>5628</v>
      </c>
      <c r="B262" s="22" t="s">
        <v>5627</v>
      </c>
      <c r="C262" s="23" t="s">
        <v>5629</v>
      </c>
      <c r="D262" s="30">
        <v>702.46</v>
      </c>
      <c r="E262" s="94">
        <f t="shared" si="12"/>
        <v>25.756866666666671</v>
      </c>
      <c r="F262" s="94">
        <f t="shared" si="13"/>
        <v>28.098400000000002</v>
      </c>
      <c r="G262" s="29"/>
      <c r="H262" s="97">
        <f t="shared" si="14"/>
        <v>25.544</v>
      </c>
    </row>
    <row r="263" spans="1:8" ht="20.100000000000001" customHeight="1">
      <c r="A263" s="22" t="s">
        <v>5631</v>
      </c>
      <c r="B263" s="22" t="s">
        <v>5630</v>
      </c>
      <c r="C263" s="23" t="s">
        <v>5632</v>
      </c>
      <c r="D263" s="30">
        <v>626.24</v>
      </c>
      <c r="E263" s="94">
        <f t="shared" si="12"/>
        <v>22.962133333333334</v>
      </c>
      <c r="F263" s="94">
        <f t="shared" si="13"/>
        <v>25.049599999999998</v>
      </c>
      <c r="G263" s="29"/>
      <c r="H263" s="97">
        <f t="shared" si="14"/>
        <v>22.772363636363636</v>
      </c>
    </row>
    <row r="264" spans="1:8" ht="20.100000000000001" customHeight="1">
      <c r="A264" s="22" t="s">
        <v>5634</v>
      </c>
      <c r="B264" s="22" t="s">
        <v>5633</v>
      </c>
      <c r="C264" s="23" t="s">
        <v>5635</v>
      </c>
      <c r="D264" s="30">
        <v>543.84</v>
      </c>
      <c r="E264" s="94">
        <f t="shared" si="12"/>
        <v>19.940800000000003</v>
      </c>
      <c r="F264" s="94">
        <f t="shared" si="13"/>
        <v>21.753600000000002</v>
      </c>
      <c r="G264" s="29"/>
      <c r="H264" s="97">
        <f t="shared" si="14"/>
        <v>19.776000000000003</v>
      </c>
    </row>
    <row r="265" spans="1:8" ht="20.100000000000001" customHeight="1">
      <c r="A265" s="21" t="s">
        <v>5636</v>
      </c>
      <c r="B265" s="21" t="s">
        <v>5465</v>
      </c>
      <c r="C265" s="28" t="s">
        <v>5637</v>
      </c>
      <c r="D265" s="30">
        <v>503.67</v>
      </c>
      <c r="E265" s="94">
        <f t="shared" si="12"/>
        <v>18.4679</v>
      </c>
      <c r="F265" s="94">
        <f t="shared" si="13"/>
        <v>20.146799999999999</v>
      </c>
      <c r="G265" s="29"/>
      <c r="H265" s="97">
        <f t="shared" si="14"/>
        <v>18.315272727272728</v>
      </c>
    </row>
    <row r="266" spans="1:8" ht="20.100000000000001" customHeight="1">
      <c r="A266" s="22" t="s">
        <v>5639</v>
      </c>
      <c r="B266" s="22" t="s">
        <v>5638</v>
      </c>
      <c r="C266" s="23" t="s">
        <v>5640</v>
      </c>
      <c r="D266" s="30">
        <v>1058.8503000000001</v>
      </c>
      <c r="E266" s="94">
        <f t="shared" si="12"/>
        <v>38.824511000000008</v>
      </c>
      <c r="F266" s="94">
        <f t="shared" si="13"/>
        <v>42.354012000000004</v>
      </c>
      <c r="G266" s="29"/>
      <c r="H266" s="97">
        <f t="shared" si="14"/>
        <v>38.503647272727278</v>
      </c>
    </row>
    <row r="267" spans="1:8" ht="20.100000000000001" customHeight="1">
      <c r="A267" s="21" t="s">
        <v>5642</v>
      </c>
      <c r="B267" s="21" t="s">
        <v>5641</v>
      </c>
      <c r="C267" s="28" t="s">
        <v>5643</v>
      </c>
      <c r="D267" s="30">
        <v>1011.0068</v>
      </c>
      <c r="E267" s="94">
        <f t="shared" si="12"/>
        <v>37.070249333333336</v>
      </c>
      <c r="F267" s="94">
        <f t="shared" si="13"/>
        <v>40.440272</v>
      </c>
      <c r="G267" s="29"/>
      <c r="H267" s="97">
        <f t="shared" si="14"/>
        <v>36.76388363636363</v>
      </c>
    </row>
    <row r="268" spans="1:8" ht="20.100000000000001" customHeight="1">
      <c r="A268" s="22" t="s">
        <v>3539</v>
      </c>
      <c r="B268" s="22" t="s">
        <v>3538</v>
      </c>
      <c r="C268" s="23" t="s">
        <v>3540</v>
      </c>
      <c r="D268" s="30" t="e">
        <f>#REF!+#REF!</f>
        <v>#REF!</v>
      </c>
      <c r="E268" s="94" t="e">
        <f t="shared" si="12"/>
        <v>#REF!</v>
      </c>
      <c r="F268" s="94" t="e">
        <f t="shared" si="13"/>
        <v>#REF!</v>
      </c>
      <c r="G268" s="29"/>
      <c r="H268" s="97" t="e">
        <f t="shared" si="14"/>
        <v>#REF!</v>
      </c>
    </row>
    <row r="269" spans="1:8" ht="20.100000000000001" customHeight="1">
      <c r="A269" s="21" t="s">
        <v>5645</v>
      </c>
      <c r="B269" s="21" t="s">
        <v>5644</v>
      </c>
      <c r="C269" s="28" t="s">
        <v>5646</v>
      </c>
      <c r="D269" s="30">
        <v>1011.0068</v>
      </c>
      <c r="E269" s="94">
        <f t="shared" si="12"/>
        <v>37.070249333333336</v>
      </c>
      <c r="F269" s="94">
        <f t="shared" si="13"/>
        <v>40.440272</v>
      </c>
      <c r="G269" s="29"/>
      <c r="H269" s="97">
        <f t="shared" si="14"/>
        <v>36.76388363636363</v>
      </c>
    </row>
    <row r="270" spans="1:8" ht="20.100000000000001" customHeight="1">
      <c r="A270" s="22" t="s">
        <v>5648</v>
      </c>
      <c r="B270" s="22" t="s">
        <v>5647</v>
      </c>
      <c r="C270" s="23" t="s">
        <v>5649</v>
      </c>
      <c r="D270" s="30">
        <v>1011.0068</v>
      </c>
      <c r="E270" s="94">
        <f t="shared" si="12"/>
        <v>37.070249333333336</v>
      </c>
      <c r="F270" s="94">
        <f t="shared" si="13"/>
        <v>40.440272</v>
      </c>
      <c r="G270" s="29"/>
      <c r="H270" s="97">
        <f t="shared" si="14"/>
        <v>36.76388363636363</v>
      </c>
    </row>
    <row r="271" spans="1:8" ht="20.100000000000001" customHeight="1">
      <c r="A271" s="22" t="s">
        <v>5651</v>
      </c>
      <c r="B271" s="22" t="s">
        <v>5650</v>
      </c>
      <c r="C271" s="23" t="s">
        <v>5652</v>
      </c>
      <c r="D271" s="30">
        <v>863.19150000000002</v>
      </c>
      <c r="E271" s="94">
        <f t="shared" si="12"/>
        <v>31.650355000000001</v>
      </c>
      <c r="F271" s="94">
        <f t="shared" si="13"/>
        <v>34.527659999999997</v>
      </c>
      <c r="G271" s="29"/>
      <c r="H271" s="97">
        <f t="shared" si="14"/>
        <v>31.388781818181819</v>
      </c>
    </row>
    <row r="272" spans="1:8" ht="20.100000000000001" customHeight="1">
      <c r="A272" s="21" t="s">
        <v>5654</v>
      </c>
      <c r="B272" s="21" t="s">
        <v>5653</v>
      </c>
      <c r="C272" s="28" t="s">
        <v>5655</v>
      </c>
      <c r="D272" s="30">
        <v>863.19150000000002</v>
      </c>
      <c r="E272" s="94">
        <f t="shared" si="12"/>
        <v>31.650355000000001</v>
      </c>
      <c r="F272" s="94">
        <f t="shared" si="13"/>
        <v>34.527659999999997</v>
      </c>
      <c r="G272" s="29"/>
      <c r="H272" s="97">
        <f t="shared" si="14"/>
        <v>31.388781818181819</v>
      </c>
    </row>
    <row r="273" spans="1:8" ht="20.100000000000001" customHeight="1">
      <c r="A273" s="21" t="s">
        <v>5657</v>
      </c>
      <c r="B273" s="21" t="s">
        <v>5656</v>
      </c>
      <c r="C273" s="28" t="s">
        <v>5658</v>
      </c>
      <c r="D273" s="30">
        <v>863.19150000000002</v>
      </c>
      <c r="E273" s="94">
        <f t="shared" si="12"/>
        <v>31.650355000000001</v>
      </c>
      <c r="F273" s="94">
        <f t="shared" si="13"/>
        <v>34.527659999999997</v>
      </c>
      <c r="G273" s="29"/>
      <c r="H273" s="97">
        <f t="shared" si="14"/>
        <v>31.388781818181819</v>
      </c>
    </row>
    <row r="274" spans="1:8" ht="20.100000000000001" customHeight="1">
      <c r="A274" s="22" t="s">
        <v>5660</v>
      </c>
      <c r="B274" s="22" t="s">
        <v>5659</v>
      </c>
      <c r="C274" s="23" t="s">
        <v>5661</v>
      </c>
      <c r="D274" s="30">
        <v>863.19150000000002</v>
      </c>
      <c r="E274" s="94">
        <f t="shared" si="12"/>
        <v>31.650355000000001</v>
      </c>
      <c r="F274" s="94">
        <f t="shared" si="13"/>
        <v>34.527659999999997</v>
      </c>
      <c r="G274" s="29"/>
      <c r="H274" s="97">
        <f t="shared" si="14"/>
        <v>31.388781818181819</v>
      </c>
    </row>
    <row r="275" spans="1:8" ht="20.100000000000001" customHeight="1">
      <c r="A275" s="21" t="s">
        <v>5663</v>
      </c>
      <c r="B275" s="21" t="s">
        <v>5662</v>
      </c>
      <c r="C275" s="28" t="s">
        <v>5664</v>
      </c>
      <c r="D275" s="30">
        <v>1011.0068</v>
      </c>
      <c r="E275" s="94">
        <f t="shared" si="12"/>
        <v>37.070249333333336</v>
      </c>
      <c r="F275" s="94">
        <f t="shared" si="13"/>
        <v>40.440272</v>
      </c>
      <c r="G275" s="29"/>
      <c r="H275" s="97">
        <f t="shared" si="14"/>
        <v>36.76388363636363</v>
      </c>
    </row>
    <row r="276" spans="1:8" ht="20.100000000000001" customHeight="1">
      <c r="A276" s="22" t="s">
        <v>5666</v>
      </c>
      <c r="B276" s="22" t="s">
        <v>5665</v>
      </c>
      <c r="C276" s="23" t="s">
        <v>5667</v>
      </c>
      <c r="D276" s="30">
        <v>652.03120000000001</v>
      </c>
      <c r="E276" s="94">
        <f t="shared" si="12"/>
        <v>23.907810666666666</v>
      </c>
      <c r="F276" s="94">
        <f t="shared" si="13"/>
        <v>26.081248000000002</v>
      </c>
      <c r="G276" s="29"/>
      <c r="H276" s="97">
        <f t="shared" si="14"/>
        <v>23.710225454545455</v>
      </c>
    </row>
    <row r="277" spans="1:8" ht="20.100000000000001" customHeight="1">
      <c r="A277" s="21" t="s">
        <v>5669</v>
      </c>
      <c r="B277" s="21" t="s">
        <v>5668</v>
      </c>
      <c r="C277" s="28" t="s">
        <v>5670</v>
      </c>
      <c r="D277" s="30">
        <v>1011.0068</v>
      </c>
      <c r="E277" s="94">
        <f t="shared" si="12"/>
        <v>37.070249333333336</v>
      </c>
      <c r="F277" s="94">
        <f t="shared" si="13"/>
        <v>40.440272</v>
      </c>
      <c r="G277" s="29"/>
      <c r="H277" s="97">
        <f t="shared" si="14"/>
        <v>36.76388363636363</v>
      </c>
    </row>
    <row r="278" spans="1:8" ht="20.100000000000001" customHeight="1">
      <c r="A278" s="22" t="s">
        <v>5672</v>
      </c>
      <c r="B278" s="22" t="s">
        <v>5671</v>
      </c>
      <c r="C278" s="23" t="s">
        <v>5673</v>
      </c>
      <c r="D278" s="30">
        <v>1011.0068</v>
      </c>
      <c r="E278" s="94">
        <f t="shared" si="12"/>
        <v>37.070249333333336</v>
      </c>
      <c r="F278" s="94">
        <f t="shared" si="13"/>
        <v>40.440272</v>
      </c>
      <c r="G278" s="29"/>
      <c r="H278" s="97">
        <f t="shared" si="14"/>
        <v>36.76388363636363</v>
      </c>
    </row>
    <row r="279" spans="1:8" ht="20.100000000000001" customHeight="1">
      <c r="A279" s="22" t="s">
        <v>3542</v>
      </c>
      <c r="B279" s="22" t="s">
        <v>3541</v>
      </c>
      <c r="C279" s="23" t="s">
        <v>3543</v>
      </c>
      <c r="D279" s="30" t="e">
        <f>#REF!+#REF!</f>
        <v>#REF!</v>
      </c>
      <c r="E279" s="94" t="e">
        <f t="shared" si="12"/>
        <v>#REF!</v>
      </c>
      <c r="F279" s="94" t="e">
        <f t="shared" si="13"/>
        <v>#REF!</v>
      </c>
      <c r="G279" s="29"/>
      <c r="H279" s="97" t="e">
        <f t="shared" si="14"/>
        <v>#REF!</v>
      </c>
    </row>
    <row r="280" spans="1:8" ht="20.100000000000001" customHeight="1">
      <c r="A280" s="22" t="s">
        <v>5675</v>
      </c>
      <c r="B280" s="22" t="s">
        <v>5674</v>
      </c>
      <c r="C280" s="23" t="s">
        <v>5676</v>
      </c>
      <c r="D280" s="30">
        <v>427.45</v>
      </c>
      <c r="E280" s="94">
        <f t="shared" si="12"/>
        <v>15.673166666666669</v>
      </c>
      <c r="F280" s="94">
        <f t="shared" si="13"/>
        <v>17.097999999999999</v>
      </c>
      <c r="G280" s="29"/>
      <c r="H280" s="97">
        <f t="shared" si="14"/>
        <v>15.543636363636361</v>
      </c>
    </row>
    <row r="281" spans="1:8" ht="20.100000000000001" customHeight="1">
      <c r="A281" s="22" t="s">
        <v>5678</v>
      </c>
      <c r="B281" s="22" t="s">
        <v>5677</v>
      </c>
      <c r="C281" s="23" t="s">
        <v>5679</v>
      </c>
      <c r="D281" s="30">
        <v>532.51</v>
      </c>
      <c r="E281" s="94">
        <f t="shared" si="12"/>
        <v>19.52536666666667</v>
      </c>
      <c r="F281" s="94">
        <f t="shared" si="13"/>
        <v>21.3004</v>
      </c>
      <c r="G281" s="29"/>
      <c r="H281" s="97">
        <f t="shared" si="14"/>
        <v>19.363999999999997</v>
      </c>
    </row>
    <row r="282" spans="1:8" ht="20.100000000000001" customHeight="1">
      <c r="A282" s="22" t="s">
        <v>5681</v>
      </c>
      <c r="B282" s="22" t="s">
        <v>5680</v>
      </c>
      <c r="C282" s="23" t="s">
        <v>5682</v>
      </c>
      <c r="D282" s="30">
        <v>667.44</v>
      </c>
      <c r="E282" s="94">
        <f t="shared" si="12"/>
        <v>24.472800000000003</v>
      </c>
      <c r="F282" s="94">
        <f t="shared" si="13"/>
        <v>26.697600000000001</v>
      </c>
      <c r="G282" s="29"/>
      <c r="H282" s="97">
        <f t="shared" si="14"/>
        <v>24.270545454545456</v>
      </c>
    </row>
    <row r="283" spans="1:8" ht="20.100000000000001" customHeight="1">
      <c r="A283" s="22" t="s">
        <v>5684</v>
      </c>
      <c r="B283" s="22" t="s">
        <v>5683</v>
      </c>
      <c r="C283" s="23" t="s">
        <v>5685</v>
      </c>
      <c r="D283" s="30">
        <v>655.08000000000004</v>
      </c>
      <c r="E283" s="94">
        <f t="shared" si="12"/>
        <v>24.019600000000004</v>
      </c>
      <c r="F283" s="94">
        <f t="shared" si="13"/>
        <v>26.203199999999999</v>
      </c>
      <c r="G283" s="29"/>
      <c r="H283" s="97">
        <f t="shared" si="14"/>
        <v>23.821090909090909</v>
      </c>
    </row>
    <row r="284" spans="1:8" ht="20.100000000000001" customHeight="1">
      <c r="A284" s="22" t="s">
        <v>5687</v>
      </c>
      <c r="B284" s="22" t="s">
        <v>5686</v>
      </c>
      <c r="C284" s="23" t="s">
        <v>5688</v>
      </c>
      <c r="D284" s="30">
        <v>526.33000000000004</v>
      </c>
      <c r="E284" s="94">
        <f t="shared" si="12"/>
        <v>19.298766666666669</v>
      </c>
      <c r="F284" s="94">
        <f t="shared" si="13"/>
        <v>21.0532</v>
      </c>
      <c r="G284" s="29"/>
      <c r="H284" s="97">
        <f t="shared" si="14"/>
        <v>19.139272727272726</v>
      </c>
    </row>
    <row r="285" spans="1:8" ht="20.100000000000001" customHeight="1">
      <c r="A285" s="22" t="s">
        <v>5687</v>
      </c>
      <c r="B285" s="22" t="s">
        <v>5686</v>
      </c>
      <c r="C285" s="23" t="s">
        <v>5689</v>
      </c>
      <c r="D285" s="30">
        <v>526.33000000000004</v>
      </c>
      <c r="E285" s="94">
        <f t="shared" si="12"/>
        <v>19.298766666666669</v>
      </c>
      <c r="F285" s="94">
        <f t="shared" si="13"/>
        <v>21.0532</v>
      </c>
      <c r="G285" s="29"/>
      <c r="H285" s="97">
        <f t="shared" si="14"/>
        <v>19.139272727272726</v>
      </c>
    </row>
    <row r="286" spans="1:8" ht="20.100000000000001" customHeight="1">
      <c r="A286" s="22" t="s">
        <v>5691</v>
      </c>
      <c r="B286" s="22" t="s">
        <v>5690</v>
      </c>
      <c r="C286" s="23" t="s">
        <v>5692</v>
      </c>
      <c r="D286" s="30">
        <v>613.01480000000004</v>
      </c>
      <c r="E286" s="94">
        <f t="shared" si="12"/>
        <v>22.477209333333338</v>
      </c>
      <c r="F286" s="94">
        <f t="shared" si="13"/>
        <v>24.520592000000001</v>
      </c>
      <c r="G286" s="29"/>
      <c r="H286" s="97">
        <f t="shared" si="14"/>
        <v>22.291447272727272</v>
      </c>
    </row>
    <row r="287" spans="1:8" ht="20.100000000000001" customHeight="1">
      <c r="A287" s="21" t="s">
        <v>5694</v>
      </c>
      <c r="B287" s="21" t="s">
        <v>5693</v>
      </c>
      <c r="C287" s="28" t="s">
        <v>5695</v>
      </c>
      <c r="D287" s="30">
        <v>925.85670000000005</v>
      </c>
      <c r="E287" s="94">
        <f t="shared" si="12"/>
        <v>33.948079</v>
      </c>
      <c r="F287" s="94">
        <f t="shared" si="13"/>
        <v>37.034267999999997</v>
      </c>
      <c r="G287" s="29"/>
      <c r="H287" s="97">
        <f t="shared" si="14"/>
        <v>33.667516363636359</v>
      </c>
    </row>
    <row r="288" spans="1:8" ht="20.100000000000001" customHeight="1">
      <c r="A288" s="22" t="s">
        <v>5697</v>
      </c>
      <c r="B288" s="22" t="s">
        <v>5696</v>
      </c>
      <c r="C288" s="23" t="s">
        <v>4976</v>
      </c>
      <c r="D288" s="30">
        <v>1011.0068</v>
      </c>
      <c r="E288" s="94">
        <f t="shared" si="12"/>
        <v>37.070249333333336</v>
      </c>
      <c r="F288" s="94">
        <f t="shared" si="13"/>
        <v>40.440272</v>
      </c>
      <c r="G288" s="29"/>
      <c r="H288" s="97">
        <f t="shared" si="14"/>
        <v>36.76388363636363</v>
      </c>
    </row>
    <row r="289" spans="1:8" ht="20.100000000000001" customHeight="1">
      <c r="A289" s="22" t="s">
        <v>5699</v>
      </c>
      <c r="B289" s="22" t="s">
        <v>5698</v>
      </c>
      <c r="C289" s="23" t="s">
        <v>5700</v>
      </c>
      <c r="D289" s="30">
        <v>827.72860000000003</v>
      </c>
      <c r="E289" s="94">
        <f t="shared" si="12"/>
        <v>30.35004866666667</v>
      </c>
      <c r="F289" s="94">
        <f t="shared" si="13"/>
        <v>33.109144000000001</v>
      </c>
      <c r="G289" s="29"/>
      <c r="H289" s="97">
        <f t="shared" si="14"/>
        <v>30.099221818181817</v>
      </c>
    </row>
    <row r="290" spans="1:8" ht="20.100000000000001" customHeight="1">
      <c r="A290" s="22" t="s">
        <v>5702</v>
      </c>
      <c r="B290" s="22" t="s">
        <v>5701</v>
      </c>
      <c r="C290" s="23" t="s">
        <v>5703</v>
      </c>
      <c r="D290" s="30">
        <v>907.43</v>
      </c>
      <c r="E290" s="94">
        <f t="shared" si="12"/>
        <v>33.272433333333332</v>
      </c>
      <c r="F290" s="94">
        <f t="shared" si="13"/>
        <v>36.297199999999997</v>
      </c>
      <c r="G290" s="29"/>
      <c r="H290" s="97">
        <f t="shared" si="14"/>
        <v>32.997454545454545</v>
      </c>
    </row>
    <row r="291" spans="1:8" ht="20.100000000000001" customHeight="1">
      <c r="A291" s="22" t="s">
        <v>5705</v>
      </c>
      <c r="B291" s="22" t="s">
        <v>5704</v>
      </c>
      <c r="C291" s="23" t="s">
        <v>5706</v>
      </c>
      <c r="D291" s="30">
        <v>578.86</v>
      </c>
      <c r="E291" s="94">
        <f t="shared" si="12"/>
        <v>21.224866666666671</v>
      </c>
      <c r="F291" s="94">
        <f t="shared" si="13"/>
        <v>23.154399999999999</v>
      </c>
      <c r="G291" s="29"/>
      <c r="H291" s="97">
        <f t="shared" si="14"/>
        <v>21.049454545454545</v>
      </c>
    </row>
    <row r="292" spans="1:8" ht="20.100000000000001" customHeight="1">
      <c r="A292" s="22" t="s">
        <v>5708</v>
      </c>
      <c r="B292" s="22" t="s">
        <v>5707</v>
      </c>
      <c r="C292" s="23" t="s">
        <v>5709</v>
      </c>
      <c r="D292" s="30">
        <v>543.84</v>
      </c>
      <c r="E292" s="94">
        <f t="shared" si="12"/>
        <v>19.940800000000003</v>
      </c>
      <c r="F292" s="94">
        <f t="shared" si="13"/>
        <v>21.753600000000002</v>
      </c>
      <c r="G292" s="29"/>
      <c r="H292" s="97">
        <f t="shared" si="14"/>
        <v>19.776000000000003</v>
      </c>
    </row>
    <row r="293" spans="1:8" ht="20.100000000000001" customHeight="1">
      <c r="A293" s="22" t="s">
        <v>4351</v>
      </c>
      <c r="B293" s="22" t="s">
        <v>4350</v>
      </c>
      <c r="C293" s="23" t="s">
        <v>4352</v>
      </c>
      <c r="D293" s="30">
        <v>525.30000000000007</v>
      </c>
      <c r="E293" s="94">
        <f t="shared" si="12"/>
        <v>19.261000000000006</v>
      </c>
      <c r="F293" s="94">
        <f t="shared" si="13"/>
        <v>21.012</v>
      </c>
      <c r="G293" s="29"/>
      <c r="H293" s="97">
        <f t="shared" si="14"/>
        <v>19.101818181818182</v>
      </c>
    </row>
    <row r="294" spans="1:8" ht="20.100000000000001" customHeight="1">
      <c r="A294" s="22" t="s">
        <v>5714</v>
      </c>
      <c r="B294" s="22" t="s">
        <v>5713</v>
      </c>
      <c r="C294" s="23" t="s">
        <v>5715</v>
      </c>
      <c r="D294" s="30">
        <v>576.80000000000007</v>
      </c>
      <c r="E294" s="94">
        <f t="shared" si="12"/>
        <v>21.149333333333338</v>
      </c>
      <c r="F294" s="94">
        <f t="shared" si="13"/>
        <v>23.072000000000003</v>
      </c>
      <c r="G294" s="29"/>
      <c r="H294" s="97">
        <f t="shared" si="14"/>
        <v>20.974545454545456</v>
      </c>
    </row>
    <row r="295" spans="1:8" ht="20.100000000000001" customHeight="1">
      <c r="A295" s="22" t="s">
        <v>5717</v>
      </c>
      <c r="B295" s="22" t="s">
        <v>5716</v>
      </c>
      <c r="C295" s="23" t="s">
        <v>5718</v>
      </c>
      <c r="D295" s="30">
        <v>463.5</v>
      </c>
      <c r="E295" s="94">
        <f t="shared" si="12"/>
        <v>16.995000000000001</v>
      </c>
      <c r="F295" s="94">
        <f t="shared" si="13"/>
        <v>18.54</v>
      </c>
      <c r="G295" s="29"/>
      <c r="H295" s="97">
        <f t="shared" si="14"/>
        <v>16.854545454545452</v>
      </c>
    </row>
    <row r="296" spans="1:8" ht="20.100000000000001" customHeight="1">
      <c r="A296" s="21" t="s">
        <v>5720</v>
      </c>
      <c r="B296" s="21" t="s">
        <v>5719</v>
      </c>
      <c r="C296" s="28" t="s">
        <v>5721</v>
      </c>
      <c r="D296" s="30">
        <v>863.19150000000002</v>
      </c>
      <c r="E296" s="94">
        <f t="shared" si="12"/>
        <v>31.650355000000001</v>
      </c>
      <c r="F296" s="94">
        <f t="shared" si="13"/>
        <v>34.527659999999997</v>
      </c>
      <c r="G296" s="29"/>
      <c r="H296" s="97">
        <f t="shared" si="14"/>
        <v>31.388781818181819</v>
      </c>
    </row>
    <row r="297" spans="1:8" ht="20.100000000000001" customHeight="1">
      <c r="A297" s="22" t="s">
        <v>5723</v>
      </c>
      <c r="B297" s="22" t="s">
        <v>5722</v>
      </c>
      <c r="C297" s="23" t="s">
        <v>5724</v>
      </c>
      <c r="D297" s="30">
        <v>863.19150000000002</v>
      </c>
      <c r="E297" s="94">
        <f t="shared" si="12"/>
        <v>31.650355000000001</v>
      </c>
      <c r="F297" s="94">
        <f t="shared" si="13"/>
        <v>34.527659999999997</v>
      </c>
      <c r="G297" s="29"/>
      <c r="H297" s="97">
        <f t="shared" si="14"/>
        <v>31.388781818181819</v>
      </c>
    </row>
    <row r="298" spans="1:8" ht="20.100000000000001" customHeight="1">
      <c r="A298" s="22" t="s">
        <v>5726</v>
      </c>
      <c r="B298" s="22" t="s">
        <v>5725</v>
      </c>
      <c r="C298" s="28" t="s">
        <v>5727</v>
      </c>
      <c r="D298" s="30">
        <v>538.69000000000005</v>
      </c>
      <c r="E298" s="94">
        <f t="shared" si="12"/>
        <v>19.751966666666668</v>
      </c>
      <c r="F298" s="94">
        <f t="shared" si="13"/>
        <v>21.547599999999999</v>
      </c>
      <c r="G298" s="29"/>
      <c r="H298" s="97">
        <f t="shared" si="14"/>
        <v>19.588727272727272</v>
      </c>
    </row>
    <row r="299" spans="1:8" ht="20.100000000000001" customHeight="1">
      <c r="A299" s="22" t="s">
        <v>5729</v>
      </c>
      <c r="B299" s="22" t="s">
        <v>5728</v>
      </c>
      <c r="C299" s="23" t="s">
        <v>5730</v>
      </c>
      <c r="D299" s="30">
        <v>572.68000000000006</v>
      </c>
      <c r="E299" s="94">
        <f t="shared" si="12"/>
        <v>20.99826666666667</v>
      </c>
      <c r="F299" s="94">
        <f t="shared" si="13"/>
        <v>22.9072</v>
      </c>
      <c r="G299" s="29"/>
      <c r="H299" s="97">
        <f t="shared" si="14"/>
        <v>20.824727272727273</v>
      </c>
    </row>
    <row r="300" spans="1:8" ht="20.100000000000001" customHeight="1">
      <c r="A300" s="22" t="s">
        <v>5732</v>
      </c>
      <c r="B300" s="22" t="s">
        <v>5731</v>
      </c>
      <c r="C300" s="23" t="s">
        <v>5733</v>
      </c>
      <c r="D300" s="30">
        <v>473.8</v>
      </c>
      <c r="E300" s="94">
        <f t="shared" si="12"/>
        <v>17.372666666666667</v>
      </c>
      <c r="F300" s="94">
        <f t="shared" si="13"/>
        <v>18.951999999999998</v>
      </c>
      <c r="G300" s="29"/>
      <c r="H300" s="97">
        <f t="shared" si="14"/>
        <v>17.229090909090907</v>
      </c>
    </row>
    <row r="301" spans="1:8" ht="20.100000000000001" customHeight="1">
      <c r="A301" s="22" t="s">
        <v>5735</v>
      </c>
      <c r="B301" s="22" t="s">
        <v>5734</v>
      </c>
      <c r="C301" s="23" t="s">
        <v>5736</v>
      </c>
      <c r="D301" s="30">
        <v>473.8</v>
      </c>
      <c r="E301" s="94">
        <f t="shared" si="12"/>
        <v>17.372666666666667</v>
      </c>
      <c r="F301" s="94">
        <f t="shared" si="13"/>
        <v>18.951999999999998</v>
      </c>
      <c r="G301" s="29"/>
      <c r="H301" s="97">
        <f t="shared" si="14"/>
        <v>17.229090909090907</v>
      </c>
    </row>
    <row r="302" spans="1:8" ht="20.100000000000001" customHeight="1">
      <c r="A302" s="22" t="s">
        <v>5738</v>
      </c>
      <c r="B302" s="22" t="s">
        <v>5737</v>
      </c>
      <c r="C302" s="23" t="s">
        <v>5739</v>
      </c>
      <c r="D302" s="30">
        <v>538.69000000000005</v>
      </c>
      <c r="E302" s="94">
        <f t="shared" si="12"/>
        <v>19.751966666666668</v>
      </c>
      <c r="F302" s="94">
        <f t="shared" si="13"/>
        <v>21.547599999999999</v>
      </c>
      <c r="G302" s="29"/>
      <c r="H302" s="97">
        <f t="shared" si="14"/>
        <v>19.588727272727272</v>
      </c>
    </row>
    <row r="303" spans="1:8" ht="20.100000000000001" customHeight="1">
      <c r="A303" s="22" t="s">
        <v>5741</v>
      </c>
      <c r="B303" s="22" t="s">
        <v>5740</v>
      </c>
      <c r="C303" s="23" t="s">
        <v>5742</v>
      </c>
      <c r="D303" s="30">
        <v>538.69000000000005</v>
      </c>
      <c r="E303" s="94">
        <f t="shared" si="12"/>
        <v>19.751966666666668</v>
      </c>
      <c r="F303" s="94">
        <f t="shared" si="13"/>
        <v>21.547599999999999</v>
      </c>
      <c r="G303" s="29"/>
      <c r="H303" s="97">
        <f t="shared" si="14"/>
        <v>19.588727272727272</v>
      </c>
    </row>
    <row r="304" spans="1:8" ht="20.100000000000001" customHeight="1">
      <c r="A304" s="22" t="s">
        <v>5744</v>
      </c>
      <c r="B304" s="22" t="s">
        <v>5743</v>
      </c>
      <c r="C304" s="23" t="s">
        <v>5745</v>
      </c>
      <c r="D304" s="30">
        <v>497.49</v>
      </c>
      <c r="E304" s="94">
        <f t="shared" si="12"/>
        <v>18.241300000000003</v>
      </c>
      <c r="F304" s="94">
        <f t="shared" si="13"/>
        <v>19.8996</v>
      </c>
      <c r="G304" s="29"/>
      <c r="H304" s="97">
        <f t="shared" si="14"/>
        <v>18.090545454545452</v>
      </c>
    </row>
    <row r="305" spans="1:8" ht="20.100000000000001" customHeight="1">
      <c r="A305" s="22" t="s">
        <v>5747</v>
      </c>
      <c r="B305" s="22" t="s">
        <v>5746</v>
      </c>
      <c r="C305" s="23" t="s">
        <v>5748</v>
      </c>
      <c r="D305" s="30">
        <v>508.82</v>
      </c>
      <c r="E305" s="94">
        <f t="shared" si="12"/>
        <v>18.656733333333332</v>
      </c>
      <c r="F305" s="94">
        <f t="shared" si="13"/>
        <v>20.352799999999998</v>
      </c>
      <c r="G305" s="29"/>
      <c r="H305" s="97">
        <f t="shared" si="14"/>
        <v>18.502545454545452</v>
      </c>
    </row>
    <row r="306" spans="1:8" ht="20.100000000000001" customHeight="1">
      <c r="A306" s="21" t="s">
        <v>5750</v>
      </c>
      <c r="B306" s="21" t="s">
        <v>5749</v>
      </c>
      <c r="C306" s="28" t="s">
        <v>5751</v>
      </c>
      <c r="D306" s="30">
        <v>836.36</v>
      </c>
      <c r="E306" s="94">
        <f t="shared" si="12"/>
        <v>30.666533333333337</v>
      </c>
      <c r="F306" s="94">
        <f t="shared" si="13"/>
        <v>33.4544</v>
      </c>
      <c r="G306" s="29"/>
      <c r="H306" s="97">
        <f t="shared" si="14"/>
        <v>30.413090909090908</v>
      </c>
    </row>
    <row r="307" spans="1:8" ht="20.100000000000001" customHeight="1">
      <c r="A307" s="21" t="s">
        <v>5753</v>
      </c>
      <c r="B307" s="21" t="s">
        <v>5752</v>
      </c>
      <c r="C307" s="28" t="s">
        <v>5754</v>
      </c>
      <c r="D307" s="30">
        <v>970.69259999999997</v>
      </c>
      <c r="E307" s="94">
        <f t="shared" si="12"/>
        <v>35.592062000000006</v>
      </c>
      <c r="F307" s="94">
        <f t="shared" si="13"/>
        <v>38.827703999999997</v>
      </c>
      <c r="G307" s="29"/>
      <c r="H307" s="97">
        <f t="shared" si="14"/>
        <v>35.297912727272724</v>
      </c>
    </row>
    <row r="308" spans="1:8" ht="20.100000000000001" customHeight="1">
      <c r="A308" s="22" t="s">
        <v>5756</v>
      </c>
      <c r="B308" s="22" t="s">
        <v>5755</v>
      </c>
      <c r="C308" s="23" t="s">
        <v>5757</v>
      </c>
      <c r="D308" s="30">
        <v>508.82</v>
      </c>
      <c r="E308" s="94">
        <f t="shared" si="12"/>
        <v>18.656733333333332</v>
      </c>
      <c r="F308" s="94">
        <f t="shared" si="13"/>
        <v>20.352799999999998</v>
      </c>
      <c r="G308" s="29"/>
      <c r="H308" s="97">
        <f t="shared" si="14"/>
        <v>18.502545454545452</v>
      </c>
    </row>
    <row r="309" spans="1:8" ht="20.100000000000001" customHeight="1">
      <c r="A309" s="22" t="s">
        <v>5759</v>
      </c>
      <c r="B309" s="22" t="s">
        <v>5758</v>
      </c>
      <c r="C309" s="23" t="s">
        <v>5760</v>
      </c>
      <c r="D309" s="30">
        <v>508.82</v>
      </c>
      <c r="E309" s="94">
        <f t="shared" si="12"/>
        <v>18.656733333333332</v>
      </c>
      <c r="F309" s="94">
        <f t="shared" si="13"/>
        <v>20.352799999999998</v>
      </c>
      <c r="G309" s="29"/>
      <c r="H309" s="97">
        <f t="shared" si="14"/>
        <v>18.502545454545452</v>
      </c>
    </row>
    <row r="310" spans="1:8" ht="20.100000000000001" customHeight="1">
      <c r="A310" s="22" t="s">
        <v>3545</v>
      </c>
      <c r="B310" s="22" t="s">
        <v>3544</v>
      </c>
      <c r="C310" s="23" t="s">
        <v>3546</v>
      </c>
      <c r="D310" s="30" t="e">
        <f>#REF!+#REF!</f>
        <v>#REF!</v>
      </c>
      <c r="E310" s="94" t="e">
        <f t="shared" si="12"/>
        <v>#REF!</v>
      </c>
      <c r="F310" s="94" t="e">
        <f t="shared" si="13"/>
        <v>#REF!</v>
      </c>
      <c r="G310" s="29"/>
      <c r="H310" s="97" t="e">
        <f t="shared" si="14"/>
        <v>#REF!</v>
      </c>
    </row>
    <row r="311" spans="1:8" ht="20.100000000000001" customHeight="1">
      <c r="A311" s="22" t="s">
        <v>5762</v>
      </c>
      <c r="B311" s="22" t="s">
        <v>5761</v>
      </c>
      <c r="C311" s="23" t="s">
        <v>5763</v>
      </c>
      <c r="D311" s="30">
        <v>540.57490000000007</v>
      </c>
      <c r="E311" s="94">
        <f t="shared" si="12"/>
        <v>19.82107966666667</v>
      </c>
      <c r="F311" s="94">
        <f t="shared" si="13"/>
        <v>21.622996000000001</v>
      </c>
      <c r="G311" s="29"/>
      <c r="H311" s="97">
        <f t="shared" si="14"/>
        <v>19.657269090909093</v>
      </c>
    </row>
    <row r="312" spans="1:8" ht="20.100000000000001" customHeight="1">
      <c r="A312" s="22" t="s">
        <v>5765</v>
      </c>
      <c r="B312" s="22" t="s">
        <v>5764</v>
      </c>
      <c r="C312" s="23" t="s">
        <v>5766</v>
      </c>
      <c r="D312" s="30">
        <v>486.16</v>
      </c>
      <c r="E312" s="94">
        <f t="shared" si="12"/>
        <v>17.82586666666667</v>
      </c>
      <c r="F312" s="94">
        <f t="shared" si="13"/>
        <v>19.446400000000001</v>
      </c>
      <c r="G312" s="29"/>
      <c r="H312" s="97">
        <f t="shared" si="14"/>
        <v>17.678545454545457</v>
      </c>
    </row>
    <row r="313" spans="1:8" ht="20.100000000000001" customHeight="1">
      <c r="A313" s="22" t="s">
        <v>5765</v>
      </c>
      <c r="B313" s="22" t="s">
        <v>5764</v>
      </c>
      <c r="C313" s="23" t="s">
        <v>5766</v>
      </c>
      <c r="D313" s="30">
        <v>486.16</v>
      </c>
      <c r="E313" s="94">
        <f t="shared" si="12"/>
        <v>17.82586666666667</v>
      </c>
      <c r="F313" s="94">
        <f t="shared" si="13"/>
        <v>19.446400000000001</v>
      </c>
      <c r="G313" s="29"/>
      <c r="H313" s="97">
        <f t="shared" si="14"/>
        <v>17.678545454545457</v>
      </c>
    </row>
    <row r="314" spans="1:8" ht="20.100000000000001" customHeight="1">
      <c r="A314" s="21" t="s">
        <v>5767</v>
      </c>
      <c r="B314" s="21" t="s">
        <v>5504</v>
      </c>
      <c r="C314" s="28" t="s">
        <v>5768</v>
      </c>
      <c r="D314" s="30">
        <v>1011.0068</v>
      </c>
      <c r="E314" s="94">
        <f t="shared" si="12"/>
        <v>37.070249333333336</v>
      </c>
      <c r="F314" s="94">
        <f t="shared" si="13"/>
        <v>40.440272</v>
      </c>
      <c r="G314" s="29"/>
      <c r="H314" s="97">
        <f t="shared" si="14"/>
        <v>36.76388363636363</v>
      </c>
    </row>
    <row r="315" spans="1:8" ht="20.100000000000001" customHeight="1">
      <c r="A315" s="21" t="s">
        <v>5769</v>
      </c>
      <c r="B315" s="21" t="s">
        <v>5417</v>
      </c>
      <c r="C315" s="28" t="s">
        <v>5770</v>
      </c>
      <c r="D315" s="30">
        <v>668.47</v>
      </c>
      <c r="E315" s="94">
        <f t="shared" si="12"/>
        <v>24.510566666666669</v>
      </c>
      <c r="F315" s="94">
        <f t="shared" si="13"/>
        <v>26.738800000000001</v>
      </c>
      <c r="G315" s="29"/>
      <c r="H315" s="97">
        <f t="shared" si="14"/>
        <v>24.308</v>
      </c>
    </row>
    <row r="316" spans="1:8" ht="20.100000000000001" customHeight="1">
      <c r="A316" s="22" t="s">
        <v>5772</v>
      </c>
      <c r="B316" s="22" t="s">
        <v>5771</v>
      </c>
      <c r="C316" s="23" t="s">
        <v>5773</v>
      </c>
      <c r="D316" s="30">
        <v>438.78</v>
      </c>
      <c r="E316" s="94">
        <f t="shared" si="12"/>
        <v>16.0886</v>
      </c>
      <c r="F316" s="94">
        <f t="shared" si="13"/>
        <v>17.551199999999998</v>
      </c>
      <c r="G316" s="29"/>
      <c r="H316" s="97">
        <f t="shared" si="14"/>
        <v>15.955636363636362</v>
      </c>
    </row>
    <row r="317" spans="1:8" ht="20.100000000000001" customHeight="1">
      <c r="A317" s="22" t="s">
        <v>5775</v>
      </c>
      <c r="B317" s="22" t="s">
        <v>5774</v>
      </c>
      <c r="C317" s="23" t="s">
        <v>5776</v>
      </c>
      <c r="D317" s="30">
        <v>438.78</v>
      </c>
      <c r="E317" s="94">
        <f t="shared" si="12"/>
        <v>16.0886</v>
      </c>
      <c r="F317" s="94">
        <f t="shared" si="13"/>
        <v>17.551199999999998</v>
      </c>
      <c r="G317" s="29"/>
      <c r="H317" s="97">
        <f t="shared" si="14"/>
        <v>15.955636363636362</v>
      </c>
    </row>
    <row r="318" spans="1:8" ht="20.100000000000001" customHeight="1">
      <c r="A318" s="22" t="s">
        <v>5778</v>
      </c>
      <c r="B318" s="22" t="s">
        <v>5777</v>
      </c>
      <c r="C318" s="23" t="s">
        <v>5779</v>
      </c>
      <c r="D318" s="30">
        <v>438.78</v>
      </c>
      <c r="E318" s="94">
        <f t="shared" si="12"/>
        <v>16.0886</v>
      </c>
      <c r="F318" s="94">
        <f t="shared" si="13"/>
        <v>17.551199999999998</v>
      </c>
      <c r="G318" s="29"/>
      <c r="H318" s="97">
        <f t="shared" si="14"/>
        <v>15.955636363636362</v>
      </c>
    </row>
    <row r="319" spans="1:8" ht="20.100000000000001" customHeight="1">
      <c r="A319" s="22" t="s">
        <v>5781</v>
      </c>
      <c r="B319" s="22" t="s">
        <v>5780</v>
      </c>
      <c r="C319" s="23" t="s">
        <v>5782</v>
      </c>
      <c r="D319" s="30">
        <v>510.88</v>
      </c>
      <c r="E319" s="94">
        <f t="shared" si="12"/>
        <v>18.732266666666668</v>
      </c>
      <c r="F319" s="94">
        <f t="shared" si="13"/>
        <v>20.435199999999998</v>
      </c>
      <c r="G319" s="29"/>
      <c r="H319" s="97">
        <f t="shared" si="14"/>
        <v>18.577454545454543</v>
      </c>
    </row>
    <row r="320" spans="1:8" ht="20.100000000000001" customHeight="1">
      <c r="A320" s="22" t="s">
        <v>5784</v>
      </c>
      <c r="B320" s="22" t="s">
        <v>5783</v>
      </c>
      <c r="C320" s="23" t="s">
        <v>5785</v>
      </c>
      <c r="D320" s="30">
        <v>597.4</v>
      </c>
      <c r="E320" s="94">
        <f t="shared" si="12"/>
        <v>21.904666666666667</v>
      </c>
      <c r="F320" s="94">
        <f t="shared" si="13"/>
        <v>23.896000000000001</v>
      </c>
      <c r="G320" s="29"/>
      <c r="H320" s="97">
        <f t="shared" si="14"/>
        <v>21.723636363636363</v>
      </c>
    </row>
    <row r="321" spans="1:8" ht="20.100000000000001" customHeight="1">
      <c r="A321" s="22" t="s">
        <v>5787</v>
      </c>
      <c r="B321" s="22" t="s">
        <v>5786</v>
      </c>
      <c r="C321" s="23" t="s">
        <v>5788</v>
      </c>
      <c r="D321" s="30">
        <v>707.75419999999997</v>
      </c>
      <c r="E321" s="94">
        <f t="shared" si="12"/>
        <v>25.950987333333334</v>
      </c>
      <c r="F321" s="94">
        <f t="shared" si="13"/>
        <v>28.310167999999997</v>
      </c>
      <c r="G321" s="29"/>
      <c r="H321" s="97">
        <f t="shared" si="14"/>
        <v>25.736516363636362</v>
      </c>
    </row>
    <row r="322" spans="1:8" ht="20.100000000000001" customHeight="1">
      <c r="A322" s="22" t="s">
        <v>5790</v>
      </c>
      <c r="B322" s="22" t="s">
        <v>5789</v>
      </c>
      <c r="C322" s="23" t="s">
        <v>5791</v>
      </c>
      <c r="D322" s="30">
        <v>707.75419999999997</v>
      </c>
      <c r="E322" s="94">
        <f t="shared" ref="E322:E385" si="15">+(D322*1.1/30)</f>
        <v>25.950987333333334</v>
      </c>
      <c r="F322" s="94">
        <f t="shared" ref="F322:F385" si="16">+(D322*1.2/30)</f>
        <v>28.310167999999997</v>
      </c>
      <c r="G322" s="29"/>
      <c r="H322" s="97">
        <f t="shared" ref="H322:H385" si="17">+(D322*1.2/33)</f>
        <v>25.736516363636362</v>
      </c>
    </row>
    <row r="323" spans="1:8" ht="20.100000000000001" customHeight="1">
      <c r="A323" s="22" t="s">
        <v>5793</v>
      </c>
      <c r="B323" s="22" t="s">
        <v>5792</v>
      </c>
      <c r="C323" s="23" t="s">
        <v>5794</v>
      </c>
      <c r="D323" s="30">
        <v>572.67999999999995</v>
      </c>
      <c r="E323" s="94">
        <f t="shared" si="15"/>
        <v>20.998266666666666</v>
      </c>
      <c r="F323" s="94">
        <f t="shared" si="16"/>
        <v>22.907199999999996</v>
      </c>
      <c r="G323" s="29"/>
      <c r="H323" s="97">
        <f t="shared" si="17"/>
        <v>20.824727272727269</v>
      </c>
    </row>
    <row r="324" spans="1:8" ht="20.100000000000001" customHeight="1">
      <c r="A324" s="22" t="s">
        <v>3548</v>
      </c>
      <c r="B324" s="22" t="s">
        <v>3547</v>
      </c>
      <c r="C324" s="23" t="s">
        <v>3549</v>
      </c>
      <c r="D324" s="30" t="e">
        <f>#REF!+#REF!</f>
        <v>#REF!</v>
      </c>
      <c r="E324" s="94" t="e">
        <f t="shared" si="15"/>
        <v>#REF!</v>
      </c>
      <c r="F324" s="94" t="e">
        <f t="shared" si="16"/>
        <v>#REF!</v>
      </c>
      <c r="G324" s="29"/>
      <c r="H324" s="97" t="e">
        <f t="shared" si="17"/>
        <v>#REF!</v>
      </c>
    </row>
    <row r="325" spans="1:8" ht="20.100000000000001" customHeight="1">
      <c r="A325" s="22" t="s">
        <v>5796</v>
      </c>
      <c r="B325" s="22" t="s">
        <v>5795</v>
      </c>
      <c r="C325" s="23" t="s">
        <v>5797</v>
      </c>
      <c r="D325" s="30">
        <v>652.03120000000001</v>
      </c>
      <c r="E325" s="94">
        <f t="shared" si="15"/>
        <v>23.907810666666666</v>
      </c>
      <c r="F325" s="94">
        <f t="shared" si="16"/>
        <v>26.081248000000002</v>
      </c>
      <c r="G325" s="29"/>
      <c r="H325" s="97">
        <f t="shared" si="17"/>
        <v>23.710225454545455</v>
      </c>
    </row>
    <row r="326" spans="1:8" ht="20.100000000000001" customHeight="1">
      <c r="A326" s="22" t="s">
        <v>5799</v>
      </c>
      <c r="B326" s="22" t="s">
        <v>5798</v>
      </c>
      <c r="C326" s="23" t="s">
        <v>5800</v>
      </c>
      <c r="D326" s="30">
        <v>503.67</v>
      </c>
      <c r="E326" s="94">
        <f t="shared" si="15"/>
        <v>18.4679</v>
      </c>
      <c r="F326" s="94">
        <f t="shared" si="16"/>
        <v>20.146799999999999</v>
      </c>
      <c r="G326" s="29"/>
      <c r="H326" s="97">
        <f t="shared" si="17"/>
        <v>18.315272727272728</v>
      </c>
    </row>
    <row r="327" spans="1:8" ht="20.100000000000001" customHeight="1">
      <c r="A327" s="22" t="s">
        <v>5802</v>
      </c>
      <c r="B327" s="22" t="s">
        <v>5801</v>
      </c>
      <c r="C327" s="23" t="s">
        <v>5803</v>
      </c>
      <c r="D327" s="30">
        <v>953.65640000000008</v>
      </c>
      <c r="E327" s="94">
        <f t="shared" si="15"/>
        <v>34.967401333333335</v>
      </c>
      <c r="F327" s="94">
        <f t="shared" si="16"/>
        <v>38.146256000000001</v>
      </c>
      <c r="G327" s="29"/>
      <c r="H327" s="97">
        <f t="shared" si="17"/>
        <v>34.678414545454544</v>
      </c>
    </row>
    <row r="328" spans="1:8" ht="20.100000000000001" customHeight="1">
      <c r="A328" s="21" t="s">
        <v>5805</v>
      </c>
      <c r="B328" s="21" t="s">
        <v>5804</v>
      </c>
      <c r="C328" s="28" t="s">
        <v>5806</v>
      </c>
      <c r="D328" s="30">
        <v>518.09</v>
      </c>
      <c r="E328" s="94">
        <f t="shared" si="15"/>
        <v>18.996633333333339</v>
      </c>
      <c r="F328" s="94">
        <f t="shared" si="16"/>
        <v>20.723599999999998</v>
      </c>
      <c r="G328" s="29"/>
      <c r="H328" s="97">
        <f t="shared" si="17"/>
        <v>18.839636363636362</v>
      </c>
    </row>
    <row r="329" spans="1:8" ht="20.100000000000001" customHeight="1">
      <c r="A329" s="22" t="s">
        <v>5808</v>
      </c>
      <c r="B329" s="22" t="s">
        <v>5807</v>
      </c>
      <c r="C329" s="23" t="s">
        <v>5809</v>
      </c>
      <c r="D329" s="30">
        <v>953.65640000000008</v>
      </c>
      <c r="E329" s="94">
        <f t="shared" si="15"/>
        <v>34.967401333333335</v>
      </c>
      <c r="F329" s="94">
        <f t="shared" si="16"/>
        <v>38.146256000000001</v>
      </c>
      <c r="G329" s="29"/>
      <c r="H329" s="97">
        <f t="shared" si="17"/>
        <v>34.678414545454544</v>
      </c>
    </row>
    <row r="330" spans="1:8" ht="20.100000000000001" customHeight="1">
      <c r="A330" s="22" t="s">
        <v>5811</v>
      </c>
      <c r="B330" s="22" t="s">
        <v>5810</v>
      </c>
      <c r="C330" s="23" t="s">
        <v>5812</v>
      </c>
      <c r="D330" s="30">
        <v>943.8302000000001</v>
      </c>
      <c r="E330" s="94">
        <f t="shared" si="15"/>
        <v>34.607107333333339</v>
      </c>
      <c r="F330" s="94">
        <f t="shared" si="16"/>
        <v>37.753208000000001</v>
      </c>
      <c r="G330" s="29"/>
      <c r="H330" s="97">
        <f t="shared" si="17"/>
        <v>34.321098181818186</v>
      </c>
    </row>
    <row r="331" spans="1:8" ht="20.100000000000001" customHeight="1">
      <c r="A331" s="22" t="s">
        <v>5814</v>
      </c>
      <c r="B331" s="22" t="s">
        <v>5813</v>
      </c>
      <c r="C331" s="23" t="s">
        <v>5815</v>
      </c>
      <c r="D331" s="30">
        <v>523.24</v>
      </c>
      <c r="E331" s="94">
        <f t="shared" si="15"/>
        <v>19.18546666666667</v>
      </c>
      <c r="F331" s="94">
        <f t="shared" si="16"/>
        <v>20.929600000000001</v>
      </c>
      <c r="G331" s="29"/>
      <c r="H331" s="97">
        <f t="shared" si="17"/>
        <v>19.026909090909093</v>
      </c>
    </row>
    <row r="332" spans="1:8" ht="20.100000000000001" customHeight="1">
      <c r="A332" s="22" t="s">
        <v>5814</v>
      </c>
      <c r="B332" s="22" t="s">
        <v>5813</v>
      </c>
      <c r="C332" s="23" t="s">
        <v>5816</v>
      </c>
      <c r="D332" s="30">
        <v>523.24</v>
      </c>
      <c r="E332" s="94">
        <f t="shared" si="15"/>
        <v>19.18546666666667</v>
      </c>
      <c r="F332" s="94">
        <f t="shared" si="16"/>
        <v>20.929600000000001</v>
      </c>
      <c r="G332" s="29"/>
      <c r="H332" s="97">
        <f t="shared" si="17"/>
        <v>19.026909090909093</v>
      </c>
    </row>
    <row r="333" spans="1:8" ht="20.100000000000001" customHeight="1">
      <c r="A333" s="22" t="s">
        <v>5818</v>
      </c>
      <c r="B333" s="22" t="s">
        <v>5817</v>
      </c>
      <c r="C333" s="23" t="s">
        <v>5819</v>
      </c>
      <c r="D333" s="30">
        <v>538.69000000000005</v>
      </c>
      <c r="E333" s="94">
        <f t="shared" si="15"/>
        <v>19.751966666666668</v>
      </c>
      <c r="F333" s="94">
        <f t="shared" si="16"/>
        <v>21.547599999999999</v>
      </c>
      <c r="G333" s="29"/>
      <c r="H333" s="97">
        <f t="shared" si="17"/>
        <v>19.588727272727272</v>
      </c>
    </row>
    <row r="334" spans="1:8" ht="20.100000000000001" customHeight="1">
      <c r="A334" s="22" t="s">
        <v>5821</v>
      </c>
      <c r="B334" s="22" t="s">
        <v>5820</v>
      </c>
      <c r="C334" s="23" t="s">
        <v>5822</v>
      </c>
      <c r="D334" s="30">
        <v>676.71</v>
      </c>
      <c r="E334" s="94">
        <f t="shared" si="15"/>
        <v>24.812700000000003</v>
      </c>
      <c r="F334" s="94">
        <f t="shared" si="16"/>
        <v>27.0684</v>
      </c>
      <c r="G334" s="29"/>
      <c r="H334" s="97">
        <f t="shared" si="17"/>
        <v>24.607636363636363</v>
      </c>
    </row>
    <row r="335" spans="1:8" ht="20.100000000000001" customHeight="1">
      <c r="A335" s="22" t="s">
        <v>5824</v>
      </c>
      <c r="B335" s="22" t="s">
        <v>5823</v>
      </c>
      <c r="C335" s="23" t="s">
        <v>5825</v>
      </c>
      <c r="D335" s="30">
        <v>652.03120000000001</v>
      </c>
      <c r="E335" s="94">
        <f t="shared" si="15"/>
        <v>23.907810666666666</v>
      </c>
      <c r="F335" s="94">
        <f t="shared" si="16"/>
        <v>26.081248000000002</v>
      </c>
      <c r="G335" s="29"/>
      <c r="H335" s="97">
        <f t="shared" si="17"/>
        <v>23.710225454545455</v>
      </c>
    </row>
    <row r="336" spans="1:8" ht="20.100000000000001" customHeight="1">
      <c r="A336" s="22" t="s">
        <v>5827</v>
      </c>
      <c r="B336" s="22" t="s">
        <v>5826</v>
      </c>
      <c r="C336" s="23" t="s">
        <v>5828</v>
      </c>
      <c r="D336" s="30">
        <v>953.65640000000008</v>
      </c>
      <c r="E336" s="94">
        <f t="shared" si="15"/>
        <v>34.967401333333335</v>
      </c>
      <c r="F336" s="94">
        <f t="shared" si="16"/>
        <v>38.146256000000001</v>
      </c>
      <c r="G336" s="29"/>
      <c r="H336" s="97">
        <f t="shared" si="17"/>
        <v>34.678414545454544</v>
      </c>
    </row>
    <row r="337" spans="1:9" ht="20.100000000000001" customHeight="1">
      <c r="A337" s="22" t="s">
        <v>5830</v>
      </c>
      <c r="B337" s="22" t="s">
        <v>5829</v>
      </c>
      <c r="C337" s="23" t="s">
        <v>5831</v>
      </c>
      <c r="D337" s="30">
        <v>943.8302000000001</v>
      </c>
      <c r="E337" s="94">
        <f t="shared" si="15"/>
        <v>34.607107333333339</v>
      </c>
      <c r="F337" s="94">
        <f t="shared" si="16"/>
        <v>37.753208000000001</v>
      </c>
      <c r="G337" s="29"/>
      <c r="H337" s="97">
        <f t="shared" si="17"/>
        <v>34.321098181818186</v>
      </c>
    </row>
    <row r="338" spans="1:9" ht="20.100000000000001" customHeight="1">
      <c r="A338" s="22" t="s">
        <v>5833</v>
      </c>
      <c r="B338" s="22" t="s">
        <v>5832</v>
      </c>
      <c r="C338" s="23" t="s">
        <v>5834</v>
      </c>
      <c r="D338" s="30">
        <v>618</v>
      </c>
      <c r="E338" s="94">
        <f t="shared" si="15"/>
        <v>22.660000000000004</v>
      </c>
      <c r="F338" s="94">
        <f t="shared" si="16"/>
        <v>24.720000000000002</v>
      </c>
      <c r="G338" s="29"/>
      <c r="H338" s="97">
        <f t="shared" si="17"/>
        <v>22.472727272727273</v>
      </c>
    </row>
    <row r="339" spans="1:9" ht="20.100000000000001" customHeight="1">
      <c r="A339" s="22" t="s">
        <v>5836</v>
      </c>
      <c r="B339" s="22" t="s">
        <v>5835</v>
      </c>
      <c r="C339" s="23" t="s">
        <v>5837</v>
      </c>
      <c r="D339" s="30">
        <v>652.03120000000001</v>
      </c>
      <c r="E339" s="94">
        <f t="shared" si="15"/>
        <v>23.907810666666666</v>
      </c>
      <c r="F339" s="94">
        <f t="shared" si="16"/>
        <v>26.081248000000002</v>
      </c>
      <c r="G339" s="29"/>
      <c r="H339" s="97">
        <f t="shared" si="17"/>
        <v>23.710225454545455</v>
      </c>
    </row>
    <row r="340" spans="1:9" ht="20.100000000000001" customHeight="1">
      <c r="A340" s="22" t="s">
        <v>5839</v>
      </c>
      <c r="B340" s="22" t="s">
        <v>5838</v>
      </c>
      <c r="C340" s="23" t="s">
        <v>5840</v>
      </c>
      <c r="D340" s="30">
        <v>567.53</v>
      </c>
      <c r="E340" s="94">
        <f t="shared" si="15"/>
        <v>20.809433333333335</v>
      </c>
      <c r="F340" s="94">
        <f t="shared" si="16"/>
        <v>22.701199999999996</v>
      </c>
      <c r="G340" s="29"/>
      <c r="H340" s="97">
        <f t="shared" si="17"/>
        <v>20.637454545454545</v>
      </c>
    </row>
    <row r="341" spans="1:9" ht="20.100000000000001" customHeight="1">
      <c r="A341" s="22" t="s">
        <v>5842</v>
      </c>
      <c r="B341" s="22" t="s">
        <v>5841</v>
      </c>
      <c r="C341" s="23" t="s">
        <v>5843</v>
      </c>
      <c r="D341" s="30">
        <v>462.47</v>
      </c>
      <c r="E341" s="94">
        <f t="shared" si="15"/>
        <v>16.957233333333338</v>
      </c>
      <c r="F341" s="94">
        <f t="shared" si="16"/>
        <v>18.498800000000003</v>
      </c>
      <c r="G341" s="29"/>
      <c r="H341" s="97">
        <f t="shared" si="17"/>
        <v>16.817090909090911</v>
      </c>
    </row>
    <row r="342" spans="1:9" ht="20.100000000000001" customHeight="1">
      <c r="A342" s="22" t="s">
        <v>5845</v>
      </c>
      <c r="B342" s="22" t="s">
        <v>5844</v>
      </c>
      <c r="C342" s="23" t="s">
        <v>5846</v>
      </c>
      <c r="D342" s="30">
        <v>567.53</v>
      </c>
      <c r="E342" s="94">
        <f t="shared" si="15"/>
        <v>20.809433333333335</v>
      </c>
      <c r="F342" s="94">
        <f t="shared" si="16"/>
        <v>22.701199999999996</v>
      </c>
      <c r="G342" s="29"/>
      <c r="H342" s="97">
        <f t="shared" si="17"/>
        <v>20.637454545454545</v>
      </c>
    </row>
    <row r="343" spans="1:9" ht="20.100000000000001" customHeight="1">
      <c r="A343" s="22" t="s">
        <v>5848</v>
      </c>
      <c r="B343" s="22" t="s">
        <v>5847</v>
      </c>
      <c r="C343" s="23" t="s">
        <v>5849</v>
      </c>
      <c r="D343" s="30">
        <v>1157.2049999999999</v>
      </c>
      <c r="E343" s="94">
        <f t="shared" si="15"/>
        <v>42.43085</v>
      </c>
      <c r="F343" s="94">
        <f t="shared" si="16"/>
        <v>46.288199999999996</v>
      </c>
      <c r="G343" s="29"/>
      <c r="H343" s="97">
        <f t="shared" si="17"/>
        <v>42.080181818181813</v>
      </c>
    </row>
    <row r="344" spans="1:9" ht="20.100000000000001" customHeight="1">
      <c r="A344" s="22" t="s">
        <v>5851</v>
      </c>
      <c r="B344" s="22" t="s">
        <v>5850</v>
      </c>
      <c r="C344" s="23" t="s">
        <v>5852</v>
      </c>
      <c r="D344" s="30">
        <v>432.6</v>
      </c>
      <c r="E344" s="94">
        <f t="shared" si="15"/>
        <v>15.862000000000002</v>
      </c>
      <c r="F344" s="94">
        <f t="shared" si="16"/>
        <v>17.303999999999998</v>
      </c>
      <c r="G344" s="29"/>
      <c r="H344" s="97">
        <f t="shared" si="17"/>
        <v>15.730909090909091</v>
      </c>
    </row>
    <row r="345" spans="1:9" ht="20.100000000000001" customHeight="1">
      <c r="A345" s="22" t="s">
        <v>5854</v>
      </c>
      <c r="B345" s="22" t="s">
        <v>5853</v>
      </c>
      <c r="C345" s="23" t="s">
        <v>5855</v>
      </c>
      <c r="D345" s="30">
        <v>567.53</v>
      </c>
      <c r="E345" s="94">
        <f t="shared" si="15"/>
        <v>20.809433333333335</v>
      </c>
      <c r="F345" s="94">
        <f t="shared" si="16"/>
        <v>22.701199999999996</v>
      </c>
      <c r="G345" s="29"/>
      <c r="H345" s="97">
        <f t="shared" si="17"/>
        <v>20.637454545454545</v>
      </c>
    </row>
    <row r="346" spans="1:9" ht="20.100000000000001" customHeight="1">
      <c r="A346" s="22" t="s">
        <v>5857</v>
      </c>
      <c r="B346" s="22" t="s">
        <v>5856</v>
      </c>
      <c r="C346" s="23" t="s">
        <v>5858</v>
      </c>
      <c r="D346" s="30">
        <v>576.80000000000007</v>
      </c>
      <c r="E346" s="94">
        <f t="shared" si="15"/>
        <v>21.149333333333338</v>
      </c>
      <c r="F346" s="94">
        <f t="shared" si="16"/>
        <v>23.072000000000003</v>
      </c>
      <c r="G346" s="29"/>
      <c r="H346" s="97">
        <f t="shared" si="17"/>
        <v>20.974545454545456</v>
      </c>
    </row>
    <row r="347" spans="1:9" ht="20.100000000000001" customHeight="1">
      <c r="A347" s="22" t="s">
        <v>5860</v>
      </c>
      <c r="B347" s="22" t="s">
        <v>5859</v>
      </c>
      <c r="C347" s="23" t="s">
        <v>5861</v>
      </c>
      <c r="D347" s="30">
        <v>486.16</v>
      </c>
      <c r="E347" s="94">
        <f t="shared" si="15"/>
        <v>17.82586666666667</v>
      </c>
      <c r="F347" s="94">
        <f t="shared" si="16"/>
        <v>19.446400000000001</v>
      </c>
      <c r="G347" s="29"/>
      <c r="H347" s="97">
        <f t="shared" si="17"/>
        <v>17.678545454545457</v>
      </c>
    </row>
    <row r="348" spans="1:9" ht="20.100000000000001" customHeight="1">
      <c r="A348" s="22" t="s">
        <v>5863</v>
      </c>
      <c r="B348" s="22" t="s">
        <v>5862</v>
      </c>
      <c r="C348" s="23" t="s">
        <v>5864</v>
      </c>
      <c r="D348" s="30">
        <v>648.9</v>
      </c>
      <c r="E348" s="94">
        <f t="shared" si="15"/>
        <v>23.793000000000003</v>
      </c>
      <c r="F348" s="94">
        <f t="shared" si="16"/>
        <v>25.956</v>
      </c>
      <c r="G348" s="29"/>
      <c r="H348" s="97">
        <f t="shared" si="17"/>
        <v>23.596363636363634</v>
      </c>
    </row>
    <row r="349" spans="1:9" ht="20.100000000000001" customHeight="1">
      <c r="A349" s="22" t="s">
        <v>5866</v>
      </c>
      <c r="B349" s="22" t="s">
        <v>5865</v>
      </c>
      <c r="C349" s="23" t="s">
        <v>5867</v>
      </c>
      <c r="D349" s="30">
        <v>515</v>
      </c>
      <c r="E349" s="94">
        <f t="shared" si="15"/>
        <v>18.883333333333333</v>
      </c>
      <c r="F349" s="94">
        <f t="shared" si="16"/>
        <v>20.6</v>
      </c>
      <c r="G349" s="29"/>
      <c r="H349" s="97">
        <f t="shared" si="17"/>
        <v>18.727272727272727</v>
      </c>
    </row>
    <row r="350" spans="1:9" ht="20.100000000000001" customHeight="1">
      <c r="A350" s="22" t="s">
        <v>5869</v>
      </c>
      <c r="B350" s="22" t="s">
        <v>5868</v>
      </c>
      <c r="C350" s="23" t="s">
        <v>5870</v>
      </c>
      <c r="D350" s="30">
        <v>650</v>
      </c>
      <c r="E350" s="94">
        <f t="shared" si="15"/>
        <v>23.833333333333336</v>
      </c>
      <c r="F350" s="94">
        <f t="shared" si="16"/>
        <v>26</v>
      </c>
      <c r="G350" s="29"/>
      <c r="H350" s="97">
        <f t="shared" si="17"/>
        <v>23.636363636363637</v>
      </c>
      <c r="I350" s="54">
        <v>45463</v>
      </c>
    </row>
    <row r="351" spans="1:9" ht="20.100000000000001" customHeight="1">
      <c r="A351" s="22" t="s">
        <v>5872</v>
      </c>
      <c r="B351" s="22" t="s">
        <v>5871</v>
      </c>
      <c r="C351" s="23" t="s">
        <v>5873</v>
      </c>
      <c r="D351" s="30">
        <v>886.09870000000001</v>
      </c>
      <c r="E351" s="94">
        <f t="shared" si="15"/>
        <v>32.490285666666672</v>
      </c>
      <c r="F351" s="94">
        <f t="shared" si="16"/>
        <v>35.443947999999999</v>
      </c>
      <c r="G351" s="29"/>
      <c r="H351" s="97">
        <f t="shared" si="17"/>
        <v>32.221770909090907</v>
      </c>
    </row>
    <row r="352" spans="1:9" ht="20.100000000000001" customHeight="1">
      <c r="A352" s="22" t="s">
        <v>5875</v>
      </c>
      <c r="B352" s="22" t="s">
        <v>5874</v>
      </c>
      <c r="C352" s="23" t="s">
        <v>5876</v>
      </c>
      <c r="D352" s="30">
        <v>879.95990000000006</v>
      </c>
      <c r="E352" s="94">
        <f t="shared" si="15"/>
        <v>32.265196333333343</v>
      </c>
      <c r="F352" s="94">
        <f t="shared" si="16"/>
        <v>35.198396000000002</v>
      </c>
      <c r="G352" s="29"/>
      <c r="H352" s="97">
        <f t="shared" si="17"/>
        <v>31.99854181818182</v>
      </c>
    </row>
    <row r="353" spans="1:8" ht="20.100000000000001" customHeight="1">
      <c r="A353" s="22" t="s">
        <v>5878</v>
      </c>
      <c r="B353" s="22" t="s">
        <v>5877</v>
      </c>
      <c r="C353" s="23" t="s">
        <v>5879</v>
      </c>
      <c r="D353" s="30">
        <v>561.35</v>
      </c>
      <c r="E353" s="94">
        <f t="shared" si="15"/>
        <v>20.582833333333337</v>
      </c>
      <c r="F353" s="94">
        <f t="shared" si="16"/>
        <v>22.454000000000001</v>
      </c>
      <c r="G353" s="29"/>
      <c r="H353" s="97">
        <f t="shared" si="17"/>
        <v>20.412727272727274</v>
      </c>
    </row>
    <row r="354" spans="1:8" ht="20.100000000000001" customHeight="1">
      <c r="A354" s="22" t="s">
        <v>5881</v>
      </c>
      <c r="B354" s="22" t="s">
        <v>5880</v>
      </c>
      <c r="C354" s="23" t="s">
        <v>5882</v>
      </c>
      <c r="D354" s="30">
        <v>652.03120000000001</v>
      </c>
      <c r="E354" s="94">
        <f t="shared" si="15"/>
        <v>23.907810666666666</v>
      </c>
      <c r="F354" s="94">
        <f t="shared" si="16"/>
        <v>26.081248000000002</v>
      </c>
      <c r="G354" s="29"/>
      <c r="H354" s="97">
        <f t="shared" si="17"/>
        <v>23.710225454545455</v>
      </c>
    </row>
    <row r="355" spans="1:8" ht="20.100000000000001" customHeight="1">
      <c r="A355" s="22" t="s">
        <v>5884</v>
      </c>
      <c r="B355" s="22" t="s">
        <v>5883</v>
      </c>
      <c r="C355" s="23" t="s">
        <v>5885</v>
      </c>
      <c r="D355" s="30">
        <v>473.8</v>
      </c>
      <c r="E355" s="94">
        <f t="shared" si="15"/>
        <v>17.372666666666667</v>
      </c>
      <c r="F355" s="94">
        <f t="shared" si="16"/>
        <v>18.951999999999998</v>
      </c>
      <c r="G355" s="29"/>
      <c r="H355" s="97">
        <f t="shared" si="17"/>
        <v>17.229090909090907</v>
      </c>
    </row>
    <row r="356" spans="1:8" ht="20.100000000000001" customHeight="1">
      <c r="A356" s="22" t="s">
        <v>5887</v>
      </c>
      <c r="B356" s="22" t="s">
        <v>5886</v>
      </c>
      <c r="C356" s="23" t="s">
        <v>5888</v>
      </c>
      <c r="D356" s="30">
        <v>479.98</v>
      </c>
      <c r="E356" s="94">
        <f t="shared" si="15"/>
        <v>17.599266666666669</v>
      </c>
      <c r="F356" s="94">
        <f t="shared" si="16"/>
        <v>19.199200000000001</v>
      </c>
      <c r="G356" s="29"/>
      <c r="H356" s="97">
        <f t="shared" si="17"/>
        <v>17.453818181818182</v>
      </c>
    </row>
    <row r="357" spans="1:8" ht="20.100000000000001" customHeight="1">
      <c r="A357" s="22" t="s">
        <v>5890</v>
      </c>
      <c r="B357" s="22" t="s">
        <v>5889</v>
      </c>
      <c r="C357" s="23" t="s">
        <v>5891</v>
      </c>
      <c r="D357" s="30">
        <v>879.95990000000006</v>
      </c>
      <c r="E357" s="94">
        <f t="shared" si="15"/>
        <v>32.265196333333343</v>
      </c>
      <c r="F357" s="94">
        <f t="shared" si="16"/>
        <v>35.198396000000002</v>
      </c>
      <c r="G357" s="29"/>
      <c r="H357" s="97">
        <f t="shared" si="17"/>
        <v>31.99854181818182</v>
      </c>
    </row>
    <row r="358" spans="1:8" ht="20.100000000000001" customHeight="1">
      <c r="A358" s="22" t="s">
        <v>5893</v>
      </c>
      <c r="B358" s="22" t="s">
        <v>5892</v>
      </c>
      <c r="C358" s="23" t="s">
        <v>5894</v>
      </c>
      <c r="D358" s="30">
        <v>473.8</v>
      </c>
      <c r="E358" s="94">
        <f t="shared" si="15"/>
        <v>17.372666666666667</v>
      </c>
      <c r="F358" s="94">
        <f t="shared" si="16"/>
        <v>18.951999999999998</v>
      </c>
      <c r="G358" s="29"/>
      <c r="H358" s="97">
        <f t="shared" si="17"/>
        <v>17.229090909090907</v>
      </c>
    </row>
    <row r="359" spans="1:8" ht="20.100000000000001" customHeight="1">
      <c r="A359" s="22" t="s">
        <v>5896</v>
      </c>
      <c r="B359" s="22" t="s">
        <v>5895</v>
      </c>
      <c r="C359" s="23" t="s">
        <v>5897</v>
      </c>
      <c r="D359" s="30">
        <v>638.6</v>
      </c>
      <c r="E359" s="94">
        <f t="shared" si="15"/>
        <v>23.415333333333333</v>
      </c>
      <c r="F359" s="94">
        <f t="shared" si="16"/>
        <v>25.544</v>
      </c>
      <c r="G359" s="29"/>
      <c r="H359" s="97">
        <f t="shared" si="17"/>
        <v>23.221818181818183</v>
      </c>
    </row>
    <row r="360" spans="1:8" ht="20.100000000000001" customHeight="1">
      <c r="A360" s="22" t="s">
        <v>5899</v>
      </c>
      <c r="B360" s="22" t="s">
        <v>5898</v>
      </c>
      <c r="C360" s="23" t="s">
        <v>5900</v>
      </c>
      <c r="D360" s="30">
        <v>526.33000000000004</v>
      </c>
      <c r="E360" s="94">
        <f t="shared" si="15"/>
        <v>19.298766666666669</v>
      </c>
      <c r="F360" s="94">
        <f t="shared" si="16"/>
        <v>21.0532</v>
      </c>
      <c r="G360" s="29"/>
      <c r="H360" s="97">
        <f t="shared" si="17"/>
        <v>19.139272727272726</v>
      </c>
    </row>
    <row r="361" spans="1:8" ht="20.100000000000001" customHeight="1">
      <c r="A361" s="22" t="s">
        <v>5902</v>
      </c>
      <c r="B361" s="22" t="s">
        <v>5901</v>
      </c>
      <c r="C361" s="23" t="s">
        <v>5903</v>
      </c>
      <c r="D361" s="30">
        <v>707.75419999999997</v>
      </c>
      <c r="E361" s="94">
        <f t="shared" si="15"/>
        <v>25.950987333333334</v>
      </c>
      <c r="F361" s="94">
        <f t="shared" si="16"/>
        <v>28.310167999999997</v>
      </c>
      <c r="G361" s="29"/>
      <c r="H361" s="97">
        <f t="shared" si="17"/>
        <v>25.736516363636362</v>
      </c>
    </row>
    <row r="362" spans="1:8" ht="20.100000000000001" customHeight="1">
      <c r="A362" s="21" t="s">
        <v>5905</v>
      </c>
      <c r="B362" s="21" t="s">
        <v>5904</v>
      </c>
      <c r="C362" s="28" t="s">
        <v>5906</v>
      </c>
      <c r="D362" s="30">
        <v>879.95990000000006</v>
      </c>
      <c r="E362" s="94">
        <f t="shared" si="15"/>
        <v>32.265196333333343</v>
      </c>
      <c r="F362" s="94">
        <f t="shared" si="16"/>
        <v>35.198396000000002</v>
      </c>
      <c r="G362" s="29"/>
      <c r="H362" s="97">
        <f t="shared" si="17"/>
        <v>31.99854181818182</v>
      </c>
    </row>
    <row r="363" spans="1:8" ht="20.100000000000001" customHeight="1">
      <c r="A363" s="22" t="s">
        <v>5908</v>
      </c>
      <c r="B363" s="22" t="s">
        <v>5907</v>
      </c>
      <c r="C363" s="23" t="s">
        <v>5909</v>
      </c>
      <c r="D363" s="30">
        <v>585.04</v>
      </c>
      <c r="E363" s="94">
        <f t="shared" si="15"/>
        <v>21.451466666666665</v>
      </c>
      <c r="F363" s="94">
        <f t="shared" si="16"/>
        <v>23.401599999999995</v>
      </c>
      <c r="G363" s="29"/>
      <c r="H363" s="97">
        <f t="shared" si="17"/>
        <v>21.274181818181816</v>
      </c>
    </row>
    <row r="364" spans="1:8" ht="20.100000000000001" customHeight="1">
      <c r="A364" s="22" t="s">
        <v>5911</v>
      </c>
      <c r="B364" s="22" t="s">
        <v>5910</v>
      </c>
      <c r="C364" s="23" t="s">
        <v>5912</v>
      </c>
      <c r="D364" s="30">
        <v>462.47</v>
      </c>
      <c r="E364" s="94">
        <f t="shared" si="15"/>
        <v>16.957233333333338</v>
      </c>
      <c r="F364" s="94">
        <f t="shared" si="16"/>
        <v>18.498800000000003</v>
      </c>
      <c r="G364" s="29"/>
      <c r="H364" s="97">
        <f t="shared" si="17"/>
        <v>16.817090909090911</v>
      </c>
    </row>
    <row r="365" spans="1:8" ht="20.100000000000001" customHeight="1">
      <c r="A365" s="22" t="s">
        <v>5911</v>
      </c>
      <c r="B365" s="22" t="s">
        <v>5910</v>
      </c>
      <c r="C365" s="23" t="s">
        <v>5912</v>
      </c>
      <c r="D365" s="30">
        <v>462.47</v>
      </c>
      <c r="E365" s="94">
        <f t="shared" si="15"/>
        <v>16.957233333333338</v>
      </c>
      <c r="F365" s="94">
        <f t="shared" si="16"/>
        <v>18.498800000000003</v>
      </c>
      <c r="G365" s="29"/>
      <c r="H365" s="97">
        <f t="shared" si="17"/>
        <v>16.817090909090911</v>
      </c>
    </row>
    <row r="366" spans="1:8" ht="20.100000000000001" customHeight="1">
      <c r="A366" s="22" t="s">
        <v>5914</v>
      </c>
      <c r="B366" s="22" t="s">
        <v>5913</v>
      </c>
      <c r="C366" s="23" t="s">
        <v>5915</v>
      </c>
      <c r="D366" s="30">
        <v>486.16</v>
      </c>
      <c r="E366" s="94">
        <f t="shared" si="15"/>
        <v>17.82586666666667</v>
      </c>
      <c r="F366" s="94">
        <f t="shared" si="16"/>
        <v>19.446400000000001</v>
      </c>
      <c r="G366" s="29"/>
      <c r="H366" s="97">
        <f t="shared" si="17"/>
        <v>17.678545454545457</v>
      </c>
    </row>
    <row r="367" spans="1:8" ht="20.100000000000001" customHeight="1">
      <c r="A367" s="22" t="s">
        <v>5917</v>
      </c>
      <c r="B367" s="22" t="s">
        <v>5916</v>
      </c>
      <c r="C367" s="23" t="s">
        <v>5918</v>
      </c>
      <c r="D367" s="30">
        <v>879.95990000000006</v>
      </c>
      <c r="E367" s="94">
        <f t="shared" si="15"/>
        <v>32.265196333333343</v>
      </c>
      <c r="F367" s="94">
        <f t="shared" si="16"/>
        <v>35.198396000000002</v>
      </c>
      <c r="G367" s="29"/>
      <c r="H367" s="97">
        <f t="shared" si="17"/>
        <v>31.99854181818182</v>
      </c>
    </row>
    <row r="368" spans="1:8" ht="20.100000000000001" customHeight="1">
      <c r="A368" s="21" t="s">
        <v>5920</v>
      </c>
      <c r="B368" s="21" t="s">
        <v>5919</v>
      </c>
      <c r="C368" s="28" t="s">
        <v>5921</v>
      </c>
      <c r="D368" s="30">
        <v>444.96</v>
      </c>
      <c r="E368" s="94">
        <f t="shared" si="15"/>
        <v>16.315200000000001</v>
      </c>
      <c r="F368" s="94">
        <f t="shared" si="16"/>
        <v>17.798400000000001</v>
      </c>
      <c r="G368" s="29"/>
      <c r="H368" s="97">
        <f t="shared" si="17"/>
        <v>16.180363636363637</v>
      </c>
    </row>
    <row r="369" spans="1:8" ht="20.100000000000001" customHeight="1">
      <c r="A369" s="22" t="s">
        <v>5923</v>
      </c>
      <c r="B369" s="22" t="s">
        <v>5922</v>
      </c>
      <c r="C369" s="23" t="s">
        <v>5924</v>
      </c>
      <c r="D369" s="30">
        <v>486.16</v>
      </c>
      <c r="E369" s="94">
        <f t="shared" si="15"/>
        <v>17.82586666666667</v>
      </c>
      <c r="F369" s="94">
        <f t="shared" si="16"/>
        <v>19.446400000000001</v>
      </c>
      <c r="G369" s="29"/>
      <c r="H369" s="97">
        <f t="shared" si="17"/>
        <v>17.678545454545457</v>
      </c>
    </row>
    <row r="370" spans="1:8" ht="20.100000000000001" customHeight="1">
      <c r="A370" s="22" t="s">
        <v>5926</v>
      </c>
      <c r="B370" s="22" t="s">
        <v>5925</v>
      </c>
      <c r="C370" s="23" t="s">
        <v>5927</v>
      </c>
      <c r="D370" s="30">
        <v>661.26</v>
      </c>
      <c r="E370" s="94">
        <f t="shared" si="15"/>
        <v>24.246200000000002</v>
      </c>
      <c r="F370" s="94">
        <f t="shared" si="16"/>
        <v>26.450399999999998</v>
      </c>
      <c r="G370" s="29"/>
      <c r="H370" s="97">
        <f t="shared" si="17"/>
        <v>24.045818181818181</v>
      </c>
    </row>
    <row r="371" spans="1:8" ht="20.100000000000001" customHeight="1">
      <c r="A371" s="22" t="s">
        <v>5929</v>
      </c>
      <c r="B371" s="22" t="s">
        <v>5928</v>
      </c>
      <c r="C371" s="23" t="s">
        <v>5930</v>
      </c>
      <c r="D371" s="30">
        <v>819.22080000000005</v>
      </c>
      <c r="E371" s="94">
        <f t="shared" si="15"/>
        <v>30.038096000000003</v>
      </c>
      <c r="F371" s="94">
        <f t="shared" si="16"/>
        <v>32.768832000000003</v>
      </c>
      <c r="G371" s="29"/>
      <c r="H371" s="97">
        <f t="shared" si="17"/>
        <v>29.789847272727275</v>
      </c>
    </row>
    <row r="372" spans="1:8" ht="20.100000000000001" customHeight="1">
      <c r="A372" s="22" t="s">
        <v>5932</v>
      </c>
      <c r="B372" s="22" t="s">
        <v>5931</v>
      </c>
      <c r="C372" s="23" t="s">
        <v>5933</v>
      </c>
      <c r="D372" s="30">
        <v>597.4</v>
      </c>
      <c r="E372" s="94">
        <f t="shared" si="15"/>
        <v>21.904666666666667</v>
      </c>
      <c r="F372" s="94">
        <f t="shared" si="16"/>
        <v>23.896000000000001</v>
      </c>
      <c r="G372" s="29"/>
      <c r="H372" s="97">
        <f t="shared" si="17"/>
        <v>21.723636363636363</v>
      </c>
    </row>
    <row r="373" spans="1:8" ht="20.100000000000001" customHeight="1">
      <c r="A373" s="22" t="s">
        <v>5935</v>
      </c>
      <c r="B373" s="22" t="s">
        <v>5934</v>
      </c>
      <c r="C373" s="23" t="s">
        <v>5936</v>
      </c>
      <c r="D373" s="30">
        <v>566.5</v>
      </c>
      <c r="E373" s="94">
        <f t="shared" si="15"/>
        <v>20.771666666666668</v>
      </c>
      <c r="F373" s="94">
        <f t="shared" si="16"/>
        <v>22.66</v>
      </c>
      <c r="G373" s="29"/>
      <c r="H373" s="97">
        <f t="shared" si="17"/>
        <v>20.599999999999998</v>
      </c>
    </row>
    <row r="374" spans="1:8" ht="20.100000000000001" customHeight="1">
      <c r="A374" s="22" t="s">
        <v>5938</v>
      </c>
      <c r="B374" s="22" t="s">
        <v>5937</v>
      </c>
      <c r="C374" s="23" t="s">
        <v>5939</v>
      </c>
      <c r="D374" s="30">
        <v>556.20000000000005</v>
      </c>
      <c r="E374" s="94">
        <f t="shared" si="15"/>
        <v>20.394000000000002</v>
      </c>
      <c r="F374" s="94">
        <f t="shared" si="16"/>
        <v>22.248000000000001</v>
      </c>
      <c r="G374" s="29"/>
      <c r="H374" s="97">
        <f t="shared" si="17"/>
        <v>20.225454545454546</v>
      </c>
    </row>
    <row r="375" spans="1:8" ht="20.100000000000001" customHeight="1">
      <c r="A375" s="22" t="s">
        <v>5941</v>
      </c>
      <c r="B375" s="22" t="s">
        <v>5940</v>
      </c>
      <c r="C375" s="23" t="s">
        <v>5942</v>
      </c>
      <c r="D375" s="30">
        <v>473.8</v>
      </c>
      <c r="E375" s="94">
        <f t="shared" si="15"/>
        <v>17.372666666666667</v>
      </c>
      <c r="F375" s="94">
        <f t="shared" si="16"/>
        <v>18.951999999999998</v>
      </c>
      <c r="G375" s="29"/>
      <c r="H375" s="97">
        <f t="shared" si="17"/>
        <v>17.229090909090907</v>
      </c>
    </row>
    <row r="376" spans="1:8" ht="20.100000000000001" customHeight="1">
      <c r="A376" s="21" t="s">
        <v>5944</v>
      </c>
      <c r="B376" s="21" t="s">
        <v>5943</v>
      </c>
      <c r="C376" s="28" t="s">
        <v>5945</v>
      </c>
      <c r="D376" s="30">
        <v>925.85670000000005</v>
      </c>
      <c r="E376" s="94">
        <f t="shared" si="15"/>
        <v>33.948079</v>
      </c>
      <c r="F376" s="94">
        <f t="shared" si="16"/>
        <v>37.034267999999997</v>
      </c>
      <c r="G376" s="29"/>
      <c r="H376" s="97">
        <f t="shared" si="17"/>
        <v>33.667516363636359</v>
      </c>
    </row>
    <row r="377" spans="1:8" ht="20.100000000000001" customHeight="1">
      <c r="A377" s="22" t="s">
        <v>5947</v>
      </c>
      <c r="B377" s="22" t="s">
        <v>5946</v>
      </c>
      <c r="C377" s="23" t="s">
        <v>5948</v>
      </c>
      <c r="D377" s="30">
        <v>525</v>
      </c>
      <c r="E377" s="94">
        <f t="shared" si="15"/>
        <v>19.25</v>
      </c>
      <c r="F377" s="94">
        <f t="shared" si="16"/>
        <v>21</v>
      </c>
      <c r="G377" s="29"/>
      <c r="H377" s="97">
        <f t="shared" si="17"/>
        <v>19.09090909090909</v>
      </c>
    </row>
    <row r="378" spans="1:8" ht="20.100000000000001" customHeight="1">
      <c r="A378" s="22" t="s">
        <v>5950</v>
      </c>
      <c r="B378" s="22" t="s">
        <v>5949</v>
      </c>
      <c r="C378" s="23" t="s">
        <v>5951</v>
      </c>
      <c r="D378" s="30">
        <v>678.97600000000011</v>
      </c>
      <c r="E378" s="94">
        <f t="shared" si="15"/>
        <v>24.895786666666673</v>
      </c>
      <c r="F378" s="94">
        <f t="shared" si="16"/>
        <v>27.159040000000005</v>
      </c>
      <c r="G378" s="29"/>
      <c r="H378" s="97">
        <f t="shared" si="17"/>
        <v>24.690036363636366</v>
      </c>
    </row>
    <row r="379" spans="1:8" ht="20.100000000000001" customHeight="1">
      <c r="A379" s="22" t="s">
        <v>5953</v>
      </c>
      <c r="B379" s="22" t="s">
        <v>5952</v>
      </c>
      <c r="C379" s="23" t="s">
        <v>5954</v>
      </c>
      <c r="D379" s="30">
        <v>437.75</v>
      </c>
      <c r="E379" s="94">
        <f t="shared" si="15"/>
        <v>16.050833333333333</v>
      </c>
      <c r="F379" s="94">
        <f t="shared" si="16"/>
        <v>17.509999999999998</v>
      </c>
      <c r="G379" s="29"/>
      <c r="H379" s="97">
        <f t="shared" si="17"/>
        <v>15.918181818181816</v>
      </c>
    </row>
    <row r="380" spans="1:8" ht="20.100000000000001" customHeight="1">
      <c r="A380" s="22" t="s">
        <v>5956</v>
      </c>
      <c r="B380" s="22" t="s">
        <v>5955</v>
      </c>
      <c r="C380" s="23" t="s">
        <v>5957</v>
      </c>
      <c r="D380" s="30">
        <v>597.4</v>
      </c>
      <c r="E380" s="94">
        <f t="shared" si="15"/>
        <v>21.904666666666667</v>
      </c>
      <c r="F380" s="94">
        <f t="shared" si="16"/>
        <v>23.896000000000001</v>
      </c>
      <c r="G380" s="29"/>
      <c r="H380" s="97">
        <f t="shared" si="17"/>
        <v>21.723636363636363</v>
      </c>
    </row>
    <row r="381" spans="1:8" ht="20.100000000000001" customHeight="1">
      <c r="A381" s="22" t="s">
        <v>5959</v>
      </c>
      <c r="B381" s="22" t="s">
        <v>5958</v>
      </c>
      <c r="C381" s="23" t="s">
        <v>5960</v>
      </c>
      <c r="D381" s="30">
        <v>515</v>
      </c>
      <c r="E381" s="94">
        <f t="shared" si="15"/>
        <v>18.883333333333333</v>
      </c>
      <c r="F381" s="94">
        <f t="shared" si="16"/>
        <v>20.6</v>
      </c>
      <c r="G381" s="29"/>
      <c r="H381" s="97">
        <f t="shared" si="17"/>
        <v>18.727272727272727</v>
      </c>
    </row>
    <row r="382" spans="1:8" ht="20.100000000000001" customHeight="1">
      <c r="A382" s="22" t="s">
        <v>5962</v>
      </c>
      <c r="B382" s="22" t="s">
        <v>5961</v>
      </c>
      <c r="C382" s="23" t="s">
        <v>5963</v>
      </c>
      <c r="D382" s="30">
        <v>597.4</v>
      </c>
      <c r="E382" s="94">
        <f t="shared" si="15"/>
        <v>21.904666666666667</v>
      </c>
      <c r="F382" s="94">
        <f t="shared" si="16"/>
        <v>23.896000000000001</v>
      </c>
      <c r="G382" s="29"/>
      <c r="H382" s="97">
        <f t="shared" si="17"/>
        <v>21.723636363636363</v>
      </c>
    </row>
    <row r="383" spans="1:8" ht="20.100000000000001" customHeight="1">
      <c r="A383" s="22" t="s">
        <v>5965</v>
      </c>
      <c r="B383" s="22" t="s">
        <v>5964</v>
      </c>
      <c r="C383" s="23" t="s">
        <v>5966</v>
      </c>
      <c r="D383" s="30">
        <v>556.20000000000005</v>
      </c>
      <c r="E383" s="94">
        <f t="shared" si="15"/>
        <v>20.394000000000002</v>
      </c>
      <c r="F383" s="94">
        <f t="shared" si="16"/>
        <v>22.248000000000001</v>
      </c>
      <c r="G383" s="29"/>
      <c r="H383" s="97">
        <f t="shared" si="17"/>
        <v>20.225454545454546</v>
      </c>
    </row>
    <row r="384" spans="1:8" ht="20.100000000000001" customHeight="1">
      <c r="A384" s="22" t="s">
        <v>5968</v>
      </c>
      <c r="B384" s="22" t="s">
        <v>5967</v>
      </c>
      <c r="C384" s="23" t="s">
        <v>5969</v>
      </c>
      <c r="D384" s="30">
        <v>527.36</v>
      </c>
      <c r="E384" s="94">
        <f t="shared" si="15"/>
        <v>19.336533333333339</v>
      </c>
      <c r="F384" s="94">
        <f t="shared" si="16"/>
        <v>21.0944</v>
      </c>
      <c r="G384" s="29"/>
      <c r="H384" s="97">
        <f t="shared" si="17"/>
        <v>19.176727272727273</v>
      </c>
    </row>
    <row r="385" spans="1:8" ht="20.100000000000001" customHeight="1">
      <c r="A385" s="22" t="s">
        <v>5971</v>
      </c>
      <c r="B385" s="22" t="s">
        <v>5970</v>
      </c>
      <c r="C385" s="23" t="s">
        <v>5972</v>
      </c>
      <c r="D385" s="30">
        <v>536.23860000000002</v>
      </c>
      <c r="E385" s="94">
        <f t="shared" si="15"/>
        <v>19.662082000000002</v>
      </c>
      <c r="F385" s="94">
        <f t="shared" si="16"/>
        <v>21.449543999999999</v>
      </c>
      <c r="G385" s="29"/>
      <c r="H385" s="97">
        <f t="shared" si="17"/>
        <v>19.499585454545453</v>
      </c>
    </row>
    <row r="386" spans="1:8" ht="20.100000000000001" customHeight="1">
      <c r="A386" s="22" t="s">
        <v>5971</v>
      </c>
      <c r="B386" s="22" t="s">
        <v>5970</v>
      </c>
      <c r="C386" s="23" t="s">
        <v>5973</v>
      </c>
      <c r="D386" s="30">
        <v>536.23860000000002</v>
      </c>
      <c r="E386" s="94">
        <f t="shared" ref="E386:E449" si="18">+(D386*1.1/30)</f>
        <v>19.662082000000002</v>
      </c>
      <c r="F386" s="94">
        <f t="shared" ref="F386:F449" si="19">+(D386*1.2/30)</f>
        <v>21.449543999999999</v>
      </c>
      <c r="G386" s="29"/>
      <c r="H386" s="97">
        <f t="shared" ref="H386:H449" si="20">+(D386*1.2/33)</f>
        <v>19.499585454545453</v>
      </c>
    </row>
    <row r="387" spans="1:8" ht="20.100000000000001" customHeight="1">
      <c r="A387" s="22" t="s">
        <v>5975</v>
      </c>
      <c r="B387" s="22" t="s">
        <v>5974</v>
      </c>
      <c r="C387" s="23" t="s">
        <v>5976</v>
      </c>
      <c r="D387" s="30">
        <v>494.40000000000003</v>
      </c>
      <c r="E387" s="94">
        <f t="shared" si="18"/>
        <v>18.128</v>
      </c>
      <c r="F387" s="94">
        <f t="shared" si="19"/>
        <v>19.776</v>
      </c>
      <c r="G387" s="29"/>
      <c r="H387" s="97">
        <f t="shared" si="20"/>
        <v>17.978181818181817</v>
      </c>
    </row>
    <row r="388" spans="1:8" ht="20.100000000000001" customHeight="1">
      <c r="A388" s="22" t="s">
        <v>5978</v>
      </c>
      <c r="B388" s="22" t="s">
        <v>5977</v>
      </c>
      <c r="C388" s="23" t="s">
        <v>5979</v>
      </c>
      <c r="D388" s="30">
        <v>567.53</v>
      </c>
      <c r="E388" s="94">
        <f t="shared" si="18"/>
        <v>20.809433333333335</v>
      </c>
      <c r="F388" s="94">
        <f t="shared" si="19"/>
        <v>22.701199999999996</v>
      </c>
      <c r="G388" s="29"/>
      <c r="H388" s="97">
        <f t="shared" si="20"/>
        <v>20.637454545454545</v>
      </c>
    </row>
    <row r="389" spans="1:8" ht="20.100000000000001" customHeight="1">
      <c r="A389" s="22" t="s">
        <v>5981</v>
      </c>
      <c r="B389" s="22" t="s">
        <v>5980</v>
      </c>
      <c r="C389" s="23" t="s">
        <v>5982</v>
      </c>
      <c r="D389" s="30">
        <v>925.85670000000005</v>
      </c>
      <c r="E389" s="94">
        <f t="shared" si="18"/>
        <v>33.948079</v>
      </c>
      <c r="F389" s="94">
        <f t="shared" si="19"/>
        <v>37.034267999999997</v>
      </c>
      <c r="G389" s="29"/>
      <c r="H389" s="97">
        <f t="shared" si="20"/>
        <v>33.667516363636359</v>
      </c>
    </row>
    <row r="390" spans="1:8" ht="20.100000000000001" customHeight="1">
      <c r="A390" s="22" t="s">
        <v>5984</v>
      </c>
      <c r="B390" s="22" t="s">
        <v>5983</v>
      </c>
      <c r="C390" s="23" t="s">
        <v>5985</v>
      </c>
      <c r="D390" s="30">
        <v>0</v>
      </c>
      <c r="E390" s="94">
        <f t="shared" si="18"/>
        <v>0</v>
      </c>
      <c r="F390" s="94">
        <f t="shared" si="19"/>
        <v>0</v>
      </c>
      <c r="G390" s="29"/>
      <c r="H390" s="97">
        <f t="shared" si="20"/>
        <v>0</v>
      </c>
    </row>
    <row r="391" spans="1:8" ht="20.100000000000001" customHeight="1">
      <c r="A391" s="22" t="s">
        <v>5987</v>
      </c>
      <c r="B391" s="22" t="s">
        <v>5986</v>
      </c>
      <c r="C391" s="23" t="s">
        <v>5988</v>
      </c>
      <c r="D391" s="30">
        <v>854.9</v>
      </c>
      <c r="E391" s="94">
        <f t="shared" si="18"/>
        <v>31.346333333333337</v>
      </c>
      <c r="F391" s="94">
        <f t="shared" si="19"/>
        <v>34.195999999999998</v>
      </c>
      <c r="G391" s="29"/>
      <c r="H391" s="97">
        <f t="shared" si="20"/>
        <v>31.087272727272723</v>
      </c>
    </row>
    <row r="392" spans="1:8" ht="20.100000000000001" customHeight="1">
      <c r="A392" s="22" t="s">
        <v>5990</v>
      </c>
      <c r="B392" s="22" t="s">
        <v>5989</v>
      </c>
      <c r="C392" s="23" t="s">
        <v>5991</v>
      </c>
      <c r="D392" s="30">
        <v>854.9</v>
      </c>
      <c r="E392" s="94">
        <f t="shared" si="18"/>
        <v>31.346333333333337</v>
      </c>
      <c r="F392" s="94">
        <f t="shared" si="19"/>
        <v>34.195999999999998</v>
      </c>
      <c r="G392" s="29"/>
      <c r="H392" s="97">
        <f t="shared" si="20"/>
        <v>31.087272727272723</v>
      </c>
    </row>
    <row r="393" spans="1:8" ht="20.100000000000001" customHeight="1">
      <c r="A393" s="22" t="s">
        <v>5993</v>
      </c>
      <c r="B393" s="22" t="s">
        <v>5992</v>
      </c>
      <c r="C393" s="23" t="s">
        <v>5994</v>
      </c>
      <c r="D393" s="30">
        <v>463.5</v>
      </c>
      <c r="E393" s="94">
        <f t="shared" si="18"/>
        <v>16.995000000000001</v>
      </c>
      <c r="F393" s="94">
        <f t="shared" si="19"/>
        <v>18.54</v>
      </c>
      <c r="G393" s="29"/>
      <c r="H393" s="97">
        <f t="shared" si="20"/>
        <v>16.854545454545452</v>
      </c>
    </row>
    <row r="394" spans="1:8" ht="20.100000000000001" customHeight="1">
      <c r="A394" s="22" t="s">
        <v>4617</v>
      </c>
      <c r="B394" s="22" t="s">
        <v>4616</v>
      </c>
      <c r="C394" s="23" t="s">
        <v>4618</v>
      </c>
      <c r="D394" s="30">
        <v>573.71</v>
      </c>
      <c r="E394" s="94">
        <f t="shared" si="18"/>
        <v>21.036033333333339</v>
      </c>
      <c r="F394" s="94">
        <f t="shared" si="19"/>
        <v>22.948399999999999</v>
      </c>
      <c r="G394" s="29"/>
      <c r="H394" s="97">
        <f t="shared" si="20"/>
        <v>20.862181818181817</v>
      </c>
    </row>
    <row r="395" spans="1:8" ht="20.100000000000001" customHeight="1">
      <c r="A395" s="22" t="s">
        <v>5996</v>
      </c>
      <c r="B395" s="22" t="s">
        <v>5995</v>
      </c>
      <c r="C395" s="23" t="s">
        <v>5997</v>
      </c>
      <c r="D395" s="30">
        <v>515</v>
      </c>
      <c r="E395" s="94">
        <f t="shared" si="18"/>
        <v>18.883333333333333</v>
      </c>
      <c r="F395" s="94">
        <f t="shared" si="19"/>
        <v>20.6</v>
      </c>
      <c r="G395" s="29"/>
      <c r="H395" s="97">
        <f t="shared" si="20"/>
        <v>18.727272727272727</v>
      </c>
    </row>
    <row r="396" spans="1:8" ht="20.100000000000001" customHeight="1">
      <c r="A396" s="22" t="s">
        <v>5999</v>
      </c>
      <c r="B396" s="22" t="s">
        <v>5998</v>
      </c>
      <c r="C396" s="23" t="s">
        <v>6000</v>
      </c>
      <c r="D396" s="30">
        <v>652.03120000000001</v>
      </c>
      <c r="E396" s="94">
        <f t="shared" si="18"/>
        <v>23.907810666666666</v>
      </c>
      <c r="F396" s="94">
        <f t="shared" si="19"/>
        <v>26.081248000000002</v>
      </c>
      <c r="G396" s="29"/>
      <c r="H396" s="97">
        <f t="shared" si="20"/>
        <v>23.710225454545455</v>
      </c>
    </row>
    <row r="397" spans="1:8" ht="20.100000000000001" customHeight="1">
      <c r="A397" s="22" t="s">
        <v>6002</v>
      </c>
      <c r="B397" s="22" t="s">
        <v>6001</v>
      </c>
      <c r="C397" s="23" t="s">
        <v>6003</v>
      </c>
      <c r="D397" s="30">
        <v>707.75419999999997</v>
      </c>
      <c r="E397" s="94">
        <f t="shared" si="18"/>
        <v>25.950987333333334</v>
      </c>
      <c r="F397" s="94">
        <f t="shared" si="19"/>
        <v>28.310167999999997</v>
      </c>
      <c r="G397" s="29"/>
      <c r="H397" s="97">
        <f t="shared" si="20"/>
        <v>25.736516363636362</v>
      </c>
    </row>
    <row r="398" spans="1:8" ht="20.100000000000001" customHeight="1">
      <c r="A398" s="22" t="s">
        <v>6005</v>
      </c>
      <c r="B398" s="22" t="s">
        <v>6004</v>
      </c>
      <c r="C398" s="23" t="s">
        <v>6006</v>
      </c>
      <c r="D398" s="30">
        <v>530</v>
      </c>
      <c r="E398" s="94">
        <f t="shared" si="18"/>
        <v>19.433333333333334</v>
      </c>
      <c r="F398" s="94">
        <f t="shared" si="19"/>
        <v>21.2</v>
      </c>
      <c r="G398" s="29"/>
      <c r="H398" s="97">
        <f t="shared" si="20"/>
        <v>19.272727272727273</v>
      </c>
    </row>
    <row r="399" spans="1:8" ht="20.100000000000001" customHeight="1">
      <c r="A399" s="22" t="s">
        <v>3554</v>
      </c>
      <c r="B399" s="22" t="s">
        <v>3553</v>
      </c>
      <c r="C399" s="23" t="s">
        <v>3555</v>
      </c>
      <c r="D399" s="30" t="e">
        <f>#REF!+#REF!</f>
        <v>#REF!</v>
      </c>
      <c r="E399" s="94" t="e">
        <f t="shared" si="18"/>
        <v>#REF!</v>
      </c>
      <c r="F399" s="94" t="e">
        <f t="shared" si="19"/>
        <v>#REF!</v>
      </c>
      <c r="G399" s="29"/>
      <c r="H399" s="97" t="e">
        <f t="shared" si="20"/>
        <v>#REF!</v>
      </c>
    </row>
    <row r="400" spans="1:8" ht="20.100000000000001" customHeight="1">
      <c r="A400" s="22" t="s">
        <v>6008</v>
      </c>
      <c r="B400" s="22" t="s">
        <v>6007</v>
      </c>
      <c r="C400" s="23" t="s">
        <v>6009</v>
      </c>
      <c r="D400" s="30">
        <v>578.86</v>
      </c>
      <c r="E400" s="94">
        <f t="shared" si="18"/>
        <v>21.224866666666671</v>
      </c>
      <c r="F400" s="94">
        <f t="shared" si="19"/>
        <v>23.154399999999999</v>
      </c>
      <c r="G400" s="29"/>
      <c r="H400" s="97">
        <f t="shared" si="20"/>
        <v>21.049454545454545</v>
      </c>
    </row>
    <row r="401" spans="1:8" ht="20.100000000000001" customHeight="1">
      <c r="A401" s="22" t="s">
        <v>6011</v>
      </c>
      <c r="B401" s="22" t="s">
        <v>6010</v>
      </c>
      <c r="C401" s="23" t="s">
        <v>6012</v>
      </c>
      <c r="D401" s="30">
        <v>421.27</v>
      </c>
      <c r="E401" s="94">
        <f t="shared" si="18"/>
        <v>15.446566666666666</v>
      </c>
      <c r="F401" s="94">
        <f t="shared" si="19"/>
        <v>16.8508</v>
      </c>
      <c r="G401" s="29"/>
      <c r="H401" s="97">
        <f t="shared" si="20"/>
        <v>15.31890909090909</v>
      </c>
    </row>
    <row r="402" spans="1:8" ht="20.100000000000001" customHeight="1">
      <c r="A402" s="22" t="s">
        <v>6014</v>
      </c>
      <c r="B402" s="22" t="s">
        <v>6013</v>
      </c>
      <c r="C402" s="23" t="s">
        <v>6015</v>
      </c>
      <c r="D402" s="30">
        <v>868.29000000000008</v>
      </c>
      <c r="E402" s="94">
        <f t="shared" si="18"/>
        <v>31.837300000000006</v>
      </c>
      <c r="F402" s="94">
        <f t="shared" si="19"/>
        <v>34.7316</v>
      </c>
      <c r="G402" s="29"/>
      <c r="H402" s="97">
        <f t="shared" si="20"/>
        <v>31.57418181818182</v>
      </c>
    </row>
    <row r="403" spans="1:8" ht="20.100000000000001" customHeight="1">
      <c r="A403" s="22" t="s">
        <v>6017</v>
      </c>
      <c r="B403" s="22" t="s">
        <v>6016</v>
      </c>
      <c r="C403" s="23" t="s">
        <v>6018</v>
      </c>
      <c r="D403" s="30">
        <v>362.56</v>
      </c>
      <c r="E403" s="94">
        <f t="shared" si="18"/>
        <v>13.293866666666668</v>
      </c>
      <c r="F403" s="94">
        <f t="shared" si="19"/>
        <v>14.5024</v>
      </c>
      <c r="G403" s="29"/>
      <c r="H403" s="97">
        <f t="shared" si="20"/>
        <v>13.183999999999999</v>
      </c>
    </row>
    <row r="404" spans="1:8" ht="20.100000000000001" customHeight="1">
      <c r="A404" s="22" t="s">
        <v>6020</v>
      </c>
      <c r="B404" s="22" t="s">
        <v>6019</v>
      </c>
      <c r="C404" s="23" t="s">
        <v>6021</v>
      </c>
      <c r="D404" s="30">
        <v>652.03120000000001</v>
      </c>
      <c r="E404" s="94">
        <f t="shared" si="18"/>
        <v>23.907810666666666</v>
      </c>
      <c r="F404" s="94">
        <f t="shared" si="19"/>
        <v>26.081248000000002</v>
      </c>
      <c r="G404" s="29"/>
      <c r="H404" s="97">
        <f t="shared" si="20"/>
        <v>23.710225454545455</v>
      </c>
    </row>
    <row r="405" spans="1:8" ht="20.100000000000001" customHeight="1">
      <c r="A405" s="22" t="s">
        <v>3557</v>
      </c>
      <c r="B405" s="22" t="s">
        <v>3556</v>
      </c>
      <c r="C405" s="23" t="s">
        <v>3558</v>
      </c>
      <c r="D405" s="30" t="e">
        <f>#REF!+#REF!</f>
        <v>#REF!</v>
      </c>
      <c r="E405" s="94" t="e">
        <f t="shared" si="18"/>
        <v>#REF!</v>
      </c>
      <c r="F405" s="94" t="e">
        <f t="shared" si="19"/>
        <v>#REF!</v>
      </c>
      <c r="G405" s="29"/>
      <c r="H405" s="97" t="e">
        <f t="shared" si="20"/>
        <v>#REF!</v>
      </c>
    </row>
    <row r="406" spans="1:8" ht="20.100000000000001" customHeight="1">
      <c r="A406" s="22" t="s">
        <v>6023</v>
      </c>
      <c r="B406" s="22" t="s">
        <v>6022</v>
      </c>
      <c r="C406" s="23" t="s">
        <v>6024</v>
      </c>
      <c r="D406" s="30">
        <v>690.1</v>
      </c>
      <c r="E406" s="94">
        <f t="shared" si="18"/>
        <v>25.303666666666672</v>
      </c>
      <c r="F406" s="94">
        <f t="shared" si="19"/>
        <v>27.603999999999999</v>
      </c>
      <c r="G406" s="29"/>
      <c r="H406" s="97">
        <f t="shared" si="20"/>
        <v>25.094545454545454</v>
      </c>
    </row>
    <row r="407" spans="1:8" ht="20.100000000000001" customHeight="1">
      <c r="A407" s="22" t="s">
        <v>6026</v>
      </c>
      <c r="B407" s="22" t="s">
        <v>6025</v>
      </c>
      <c r="C407" s="23" t="s">
        <v>6027</v>
      </c>
      <c r="D407" s="30">
        <v>679.80000000000007</v>
      </c>
      <c r="E407" s="94">
        <f t="shared" si="18"/>
        <v>24.926000000000002</v>
      </c>
      <c r="F407" s="94">
        <f t="shared" si="19"/>
        <v>27.192000000000004</v>
      </c>
      <c r="G407" s="29"/>
      <c r="H407" s="97">
        <f t="shared" si="20"/>
        <v>24.720000000000002</v>
      </c>
    </row>
    <row r="408" spans="1:8" ht="20.100000000000001" customHeight="1">
      <c r="A408" s="22" t="s">
        <v>6029</v>
      </c>
      <c r="B408" s="22" t="s">
        <v>6028</v>
      </c>
      <c r="C408" s="23" t="s">
        <v>6030</v>
      </c>
      <c r="D408" s="30">
        <v>573.71</v>
      </c>
      <c r="E408" s="94">
        <f t="shared" si="18"/>
        <v>21.036033333333339</v>
      </c>
      <c r="F408" s="94">
        <f t="shared" si="19"/>
        <v>22.948399999999999</v>
      </c>
      <c r="G408" s="29"/>
      <c r="H408" s="97">
        <f t="shared" si="20"/>
        <v>20.862181818181817</v>
      </c>
    </row>
    <row r="409" spans="1:8" ht="20.100000000000001" customHeight="1">
      <c r="A409" s="22" t="s">
        <v>6032</v>
      </c>
      <c r="B409" s="22" t="s">
        <v>6031</v>
      </c>
      <c r="C409" s="23" t="s">
        <v>6033</v>
      </c>
      <c r="D409" s="30">
        <v>591.22</v>
      </c>
      <c r="E409" s="94">
        <f t="shared" si="18"/>
        <v>21.67806666666667</v>
      </c>
      <c r="F409" s="94">
        <f t="shared" si="19"/>
        <v>23.648800000000001</v>
      </c>
      <c r="G409" s="29"/>
      <c r="H409" s="97">
        <f t="shared" si="20"/>
        <v>21.498909090909091</v>
      </c>
    </row>
    <row r="410" spans="1:8" ht="20.100000000000001" customHeight="1">
      <c r="A410" s="22" t="s">
        <v>6035</v>
      </c>
      <c r="B410" s="22" t="s">
        <v>6034</v>
      </c>
      <c r="C410" s="23" t="s">
        <v>6036</v>
      </c>
      <c r="D410" s="30">
        <v>638.6</v>
      </c>
      <c r="E410" s="94">
        <f t="shared" si="18"/>
        <v>23.415333333333333</v>
      </c>
      <c r="F410" s="94">
        <f t="shared" si="19"/>
        <v>25.544</v>
      </c>
      <c r="G410" s="29"/>
      <c r="H410" s="97">
        <f t="shared" si="20"/>
        <v>23.221818181818183</v>
      </c>
    </row>
    <row r="411" spans="1:8" ht="20.100000000000001" customHeight="1">
      <c r="A411" s="22" t="s">
        <v>3560</v>
      </c>
      <c r="B411" s="22" t="s">
        <v>3559</v>
      </c>
      <c r="C411" s="23" t="s">
        <v>3561</v>
      </c>
      <c r="D411" s="30">
        <v>561</v>
      </c>
      <c r="E411" s="94">
        <f t="shared" si="18"/>
        <v>20.57</v>
      </c>
      <c r="F411" s="94">
        <f t="shared" si="19"/>
        <v>22.439999999999998</v>
      </c>
      <c r="G411" s="29"/>
      <c r="H411" s="97">
        <f t="shared" si="20"/>
        <v>20.399999999999999</v>
      </c>
    </row>
    <row r="412" spans="1:8" ht="20.100000000000001" customHeight="1">
      <c r="A412" s="22" t="s">
        <v>6038</v>
      </c>
      <c r="B412" s="22" t="s">
        <v>6037</v>
      </c>
      <c r="C412" s="23" t="s">
        <v>6039</v>
      </c>
      <c r="D412" s="30">
        <v>503.67</v>
      </c>
      <c r="E412" s="94">
        <f t="shared" si="18"/>
        <v>18.4679</v>
      </c>
      <c r="F412" s="94">
        <f t="shared" si="19"/>
        <v>20.146799999999999</v>
      </c>
      <c r="G412" s="29"/>
      <c r="H412" s="97">
        <f t="shared" si="20"/>
        <v>18.315272727272728</v>
      </c>
    </row>
    <row r="413" spans="1:8" ht="20.100000000000001" customHeight="1">
      <c r="A413" s="22" t="s">
        <v>6041</v>
      </c>
      <c r="B413" s="22" t="s">
        <v>6040</v>
      </c>
      <c r="C413" s="23" t="s">
        <v>6042</v>
      </c>
      <c r="D413" s="30">
        <v>649.92999999999995</v>
      </c>
      <c r="E413" s="94">
        <f t="shared" si="18"/>
        <v>23.830766666666666</v>
      </c>
      <c r="F413" s="94">
        <f t="shared" si="19"/>
        <v>25.997199999999999</v>
      </c>
      <c r="G413" s="29"/>
      <c r="H413" s="97">
        <f t="shared" si="20"/>
        <v>23.633818181818182</v>
      </c>
    </row>
    <row r="414" spans="1:8" ht="20.100000000000001" customHeight="1">
      <c r="A414" s="21" t="s">
        <v>6044</v>
      </c>
      <c r="B414" s="21" t="s">
        <v>6043</v>
      </c>
      <c r="C414" s="28" t="s">
        <v>6045</v>
      </c>
      <c r="D414" s="30">
        <v>602.54999999999995</v>
      </c>
      <c r="E414" s="94">
        <f t="shared" si="18"/>
        <v>22.093499999999999</v>
      </c>
      <c r="F414" s="94">
        <f t="shared" si="19"/>
        <v>24.101999999999997</v>
      </c>
      <c r="G414" s="29"/>
      <c r="H414" s="97">
        <f t="shared" si="20"/>
        <v>21.91090909090909</v>
      </c>
    </row>
    <row r="415" spans="1:8" ht="20.100000000000001" customHeight="1">
      <c r="A415" s="21" t="s">
        <v>6047</v>
      </c>
      <c r="B415" s="21" t="s">
        <v>6046</v>
      </c>
      <c r="C415" s="28" t="s">
        <v>6048</v>
      </c>
      <c r="D415" s="30">
        <v>543.84</v>
      </c>
      <c r="E415" s="94">
        <f t="shared" si="18"/>
        <v>19.940800000000003</v>
      </c>
      <c r="F415" s="94">
        <f t="shared" si="19"/>
        <v>21.753600000000002</v>
      </c>
      <c r="G415" s="29"/>
      <c r="H415" s="97">
        <f t="shared" si="20"/>
        <v>19.776000000000003</v>
      </c>
    </row>
    <row r="416" spans="1:8" ht="20.100000000000001" customHeight="1">
      <c r="A416" s="21" t="s">
        <v>6050</v>
      </c>
      <c r="B416" s="21" t="s">
        <v>6049</v>
      </c>
      <c r="C416" s="28" t="s">
        <v>6051</v>
      </c>
      <c r="D416" s="30">
        <v>573.71</v>
      </c>
      <c r="E416" s="94">
        <f t="shared" si="18"/>
        <v>21.036033333333339</v>
      </c>
      <c r="F416" s="94">
        <f t="shared" si="19"/>
        <v>22.948399999999999</v>
      </c>
      <c r="G416" s="29"/>
      <c r="H416" s="97">
        <f t="shared" si="20"/>
        <v>20.862181818181817</v>
      </c>
    </row>
    <row r="417" spans="1:9" ht="20.100000000000001" customHeight="1">
      <c r="A417" s="22" t="s">
        <v>3563</v>
      </c>
      <c r="B417" s="22" t="s">
        <v>3562</v>
      </c>
      <c r="C417" s="23" t="s">
        <v>3564</v>
      </c>
      <c r="D417" s="30" t="e">
        <f>#REF!+#REF!</f>
        <v>#REF!</v>
      </c>
      <c r="E417" s="94" t="e">
        <f t="shared" si="18"/>
        <v>#REF!</v>
      </c>
      <c r="F417" s="94" t="e">
        <f t="shared" si="19"/>
        <v>#REF!</v>
      </c>
      <c r="G417" s="29"/>
      <c r="H417" s="97" t="e">
        <f t="shared" si="20"/>
        <v>#REF!</v>
      </c>
    </row>
    <row r="418" spans="1:9" ht="20.100000000000001" customHeight="1">
      <c r="A418" s="22" t="s">
        <v>3566</v>
      </c>
      <c r="B418" s="22" t="s">
        <v>3565</v>
      </c>
      <c r="C418" s="23" t="s">
        <v>3567</v>
      </c>
      <c r="D418" s="30" t="e">
        <f>#REF!+#REF!</f>
        <v>#REF!</v>
      </c>
      <c r="E418" s="94" t="e">
        <f t="shared" si="18"/>
        <v>#REF!</v>
      </c>
      <c r="F418" s="94" t="e">
        <f t="shared" si="19"/>
        <v>#REF!</v>
      </c>
      <c r="G418" s="29"/>
      <c r="H418" s="97" t="e">
        <f t="shared" si="20"/>
        <v>#REF!</v>
      </c>
    </row>
    <row r="419" spans="1:9" ht="20.100000000000001" customHeight="1">
      <c r="A419" s="22" t="s">
        <v>3569</v>
      </c>
      <c r="B419" s="22" t="s">
        <v>3568</v>
      </c>
      <c r="C419" s="23" t="s">
        <v>3570</v>
      </c>
      <c r="D419" s="30">
        <v>535.6</v>
      </c>
      <c r="E419" s="94">
        <f t="shared" si="18"/>
        <v>19.638666666666669</v>
      </c>
      <c r="F419" s="94">
        <f t="shared" si="19"/>
        <v>21.423999999999999</v>
      </c>
      <c r="G419" s="29"/>
      <c r="H419" s="97">
        <f t="shared" si="20"/>
        <v>19.476363636363637</v>
      </c>
    </row>
    <row r="420" spans="1:9" ht="20.100000000000001" customHeight="1">
      <c r="A420" s="21" t="s">
        <v>6053</v>
      </c>
      <c r="B420" s="21" t="s">
        <v>6052</v>
      </c>
      <c r="C420" s="28" t="s">
        <v>6054</v>
      </c>
      <c r="D420" s="30">
        <v>693.19</v>
      </c>
      <c r="E420" s="94">
        <f t="shared" si="18"/>
        <v>25.416966666666671</v>
      </c>
      <c r="F420" s="94">
        <f t="shared" si="19"/>
        <v>27.727600000000002</v>
      </c>
      <c r="G420" s="29"/>
      <c r="H420" s="97">
        <f t="shared" si="20"/>
        <v>25.206909090909093</v>
      </c>
    </row>
    <row r="421" spans="1:9" ht="20.100000000000001" customHeight="1">
      <c r="A421" s="21" t="s">
        <v>6056</v>
      </c>
      <c r="B421" s="21" t="s">
        <v>6055</v>
      </c>
      <c r="C421" s="28" t="s">
        <v>6057</v>
      </c>
      <c r="D421" s="30">
        <v>690.1</v>
      </c>
      <c r="E421" s="94">
        <f t="shared" si="18"/>
        <v>25.303666666666672</v>
      </c>
      <c r="F421" s="94">
        <f t="shared" si="19"/>
        <v>27.603999999999999</v>
      </c>
      <c r="G421" s="29"/>
      <c r="H421" s="97">
        <f t="shared" si="20"/>
        <v>25.094545454545454</v>
      </c>
      <c r="I421" s="53" t="s">
        <v>8074</v>
      </c>
    </row>
    <row r="422" spans="1:9" ht="20.100000000000001" customHeight="1">
      <c r="A422" s="21" t="s">
        <v>6059</v>
      </c>
      <c r="B422" s="21" t="s">
        <v>6058</v>
      </c>
      <c r="C422" s="28" t="s">
        <v>6060</v>
      </c>
      <c r="D422" s="30">
        <v>484.1</v>
      </c>
      <c r="E422" s="94">
        <f t="shared" si="18"/>
        <v>17.750333333333337</v>
      </c>
      <c r="F422" s="94">
        <f t="shared" si="19"/>
        <v>19.363999999999997</v>
      </c>
      <c r="G422" s="29"/>
      <c r="H422" s="97">
        <f t="shared" si="20"/>
        <v>17.603636363636362</v>
      </c>
    </row>
    <row r="423" spans="1:9" ht="20.100000000000001" customHeight="1">
      <c r="A423" s="21" t="s">
        <v>6062</v>
      </c>
      <c r="B423" s="21" t="s">
        <v>6061</v>
      </c>
      <c r="C423" s="28" t="s">
        <v>6063</v>
      </c>
      <c r="D423" s="30">
        <v>718.94</v>
      </c>
      <c r="E423" s="94">
        <f t="shared" si="18"/>
        <v>26.361133333333338</v>
      </c>
      <c r="F423" s="94">
        <f t="shared" si="19"/>
        <v>28.757600000000004</v>
      </c>
      <c r="G423" s="29"/>
      <c r="H423" s="97">
        <f t="shared" si="20"/>
        <v>26.143272727272731</v>
      </c>
    </row>
    <row r="424" spans="1:9" ht="20.100000000000001" customHeight="1">
      <c r="A424" s="22" t="s">
        <v>3572</v>
      </c>
      <c r="B424" s="22" t="s">
        <v>3571</v>
      </c>
      <c r="C424" s="23" t="s">
        <v>3573</v>
      </c>
      <c r="D424" s="30">
        <v>679.80000000000007</v>
      </c>
      <c r="E424" s="94">
        <f t="shared" si="18"/>
        <v>24.926000000000002</v>
      </c>
      <c r="F424" s="94">
        <f t="shared" si="19"/>
        <v>27.192000000000004</v>
      </c>
      <c r="G424" s="29"/>
      <c r="H424" s="97">
        <f t="shared" si="20"/>
        <v>24.720000000000002</v>
      </c>
    </row>
    <row r="425" spans="1:9" ht="20.100000000000001" customHeight="1">
      <c r="A425" s="21" t="s">
        <v>6065</v>
      </c>
      <c r="B425" s="21" t="s">
        <v>6064</v>
      </c>
      <c r="C425" s="28" t="s">
        <v>6066</v>
      </c>
      <c r="D425" s="30">
        <v>756.02</v>
      </c>
      <c r="E425" s="94">
        <f t="shared" si="18"/>
        <v>27.720733333333335</v>
      </c>
      <c r="F425" s="94">
        <f t="shared" si="19"/>
        <v>30.240799999999997</v>
      </c>
      <c r="G425" s="29"/>
      <c r="H425" s="97">
        <f t="shared" si="20"/>
        <v>27.49163636363636</v>
      </c>
    </row>
    <row r="426" spans="1:9" ht="20.100000000000001" customHeight="1">
      <c r="A426" s="22" t="s">
        <v>3575</v>
      </c>
      <c r="B426" s="22" t="s">
        <v>3574</v>
      </c>
      <c r="C426" s="23" t="s">
        <v>3576</v>
      </c>
      <c r="D426" s="30" t="e">
        <f>#REF!+#REF!</f>
        <v>#REF!</v>
      </c>
      <c r="E426" s="94" t="e">
        <f t="shared" si="18"/>
        <v>#REF!</v>
      </c>
      <c r="F426" s="94" t="e">
        <f t="shared" si="19"/>
        <v>#REF!</v>
      </c>
      <c r="G426" s="29"/>
      <c r="H426" s="97" t="e">
        <f t="shared" si="20"/>
        <v>#REF!</v>
      </c>
    </row>
    <row r="427" spans="1:9" ht="20.100000000000001" customHeight="1">
      <c r="A427" s="21" t="s">
        <v>6068</v>
      </c>
      <c r="B427" s="21" t="s">
        <v>6067</v>
      </c>
      <c r="C427" s="28" t="s">
        <v>6069</v>
      </c>
      <c r="D427" s="30">
        <v>545.9</v>
      </c>
      <c r="E427" s="94">
        <f t="shared" si="18"/>
        <v>20.016333333333332</v>
      </c>
      <c r="F427" s="94">
        <f t="shared" si="19"/>
        <v>21.835999999999999</v>
      </c>
      <c r="G427" s="29"/>
      <c r="H427" s="97">
        <f t="shared" si="20"/>
        <v>19.850909090909088</v>
      </c>
    </row>
    <row r="428" spans="1:9" ht="20.100000000000001" customHeight="1">
      <c r="A428" s="21" t="s">
        <v>6071</v>
      </c>
      <c r="B428" s="21" t="s">
        <v>6070</v>
      </c>
      <c r="C428" s="28" t="s">
        <v>6072</v>
      </c>
      <c r="D428" s="30">
        <v>358.44</v>
      </c>
      <c r="E428" s="94">
        <f t="shared" si="18"/>
        <v>13.142800000000001</v>
      </c>
      <c r="F428" s="94">
        <f t="shared" si="19"/>
        <v>14.3376</v>
      </c>
      <c r="G428" s="29"/>
      <c r="H428" s="97">
        <f t="shared" si="20"/>
        <v>13.034181818181818</v>
      </c>
    </row>
    <row r="429" spans="1:9" ht="20.100000000000001" customHeight="1">
      <c r="A429" s="21" t="s">
        <v>6074</v>
      </c>
      <c r="B429" s="21" t="s">
        <v>6073</v>
      </c>
      <c r="C429" s="28" t="s">
        <v>6075</v>
      </c>
      <c r="D429" s="30">
        <v>648.9</v>
      </c>
      <c r="E429" s="94">
        <f t="shared" si="18"/>
        <v>23.793000000000003</v>
      </c>
      <c r="F429" s="94">
        <f t="shared" si="19"/>
        <v>25.956</v>
      </c>
      <c r="G429" s="29"/>
      <c r="H429" s="97">
        <f t="shared" si="20"/>
        <v>23.596363636363634</v>
      </c>
    </row>
    <row r="430" spans="1:9" ht="20.100000000000001" customHeight="1">
      <c r="A430" s="21" t="s">
        <v>8097</v>
      </c>
      <c r="B430" s="21" t="s">
        <v>8098</v>
      </c>
      <c r="C430" s="28" t="s">
        <v>8099</v>
      </c>
      <c r="D430" s="30">
        <v>550</v>
      </c>
      <c r="E430" s="94">
        <f t="shared" si="18"/>
        <v>20.166666666666668</v>
      </c>
      <c r="F430" s="94">
        <f t="shared" si="19"/>
        <v>22</v>
      </c>
      <c r="G430" s="29"/>
      <c r="H430" s="97">
        <f t="shared" si="20"/>
        <v>20</v>
      </c>
    </row>
    <row r="431" spans="1:9" ht="20.100000000000001" customHeight="1">
      <c r="A431" s="21" t="s">
        <v>6076</v>
      </c>
      <c r="B431" s="21" t="s">
        <v>5931</v>
      </c>
      <c r="C431" s="28" t="s">
        <v>6077</v>
      </c>
      <c r="D431" s="30">
        <v>614.91</v>
      </c>
      <c r="E431" s="94">
        <f t="shared" si="18"/>
        <v>22.546700000000001</v>
      </c>
      <c r="F431" s="94">
        <f t="shared" si="19"/>
        <v>24.596399999999999</v>
      </c>
      <c r="G431" s="29"/>
      <c r="H431" s="97">
        <f t="shared" si="20"/>
        <v>22.360363636363633</v>
      </c>
    </row>
    <row r="432" spans="1:9" ht="20.100000000000001" customHeight="1">
      <c r="A432" s="21" t="s">
        <v>6079</v>
      </c>
      <c r="B432" s="21" t="s">
        <v>6078</v>
      </c>
      <c r="C432" s="28" t="s">
        <v>6080</v>
      </c>
      <c r="D432" s="30">
        <v>980.56000000000006</v>
      </c>
      <c r="E432" s="94">
        <f t="shared" si="18"/>
        <v>35.953866666666677</v>
      </c>
      <c r="F432" s="94">
        <f t="shared" si="19"/>
        <v>39.2224</v>
      </c>
      <c r="G432" s="29"/>
      <c r="H432" s="97">
        <f t="shared" si="20"/>
        <v>35.656727272727274</v>
      </c>
    </row>
    <row r="433" spans="1:8" ht="20.100000000000001" customHeight="1">
      <c r="A433" s="21" t="s">
        <v>6082</v>
      </c>
      <c r="B433" s="21" t="s">
        <v>6081</v>
      </c>
      <c r="C433" s="28" t="s">
        <v>6083</v>
      </c>
      <c r="D433" s="30">
        <v>1310.1600000000001</v>
      </c>
      <c r="E433" s="94">
        <f t="shared" si="18"/>
        <v>48.039200000000008</v>
      </c>
      <c r="F433" s="94">
        <f t="shared" si="19"/>
        <v>52.406399999999998</v>
      </c>
      <c r="G433" s="29"/>
      <c r="H433" s="97">
        <f t="shared" si="20"/>
        <v>47.642181818181818</v>
      </c>
    </row>
    <row r="434" spans="1:8" ht="20.100000000000001" customHeight="1">
      <c r="A434" s="21" t="s">
        <v>3578</v>
      </c>
      <c r="B434" s="21" t="s">
        <v>3577</v>
      </c>
      <c r="C434" s="28" t="s">
        <v>3579</v>
      </c>
      <c r="D434" s="30" t="e">
        <f>#REF!+#REF!</f>
        <v>#REF!</v>
      </c>
      <c r="E434" s="94" t="e">
        <f t="shared" si="18"/>
        <v>#REF!</v>
      </c>
      <c r="F434" s="94" t="e">
        <f t="shared" si="19"/>
        <v>#REF!</v>
      </c>
      <c r="G434" s="29"/>
      <c r="H434" s="97" t="e">
        <f t="shared" si="20"/>
        <v>#REF!</v>
      </c>
    </row>
    <row r="435" spans="1:8" ht="20.100000000000001" customHeight="1">
      <c r="A435" s="21" t="s">
        <v>6085</v>
      </c>
      <c r="B435" s="21" t="s">
        <v>6084</v>
      </c>
      <c r="C435" s="28" t="s">
        <v>6086</v>
      </c>
      <c r="D435" s="30">
        <v>576.80000000000007</v>
      </c>
      <c r="E435" s="94">
        <f t="shared" si="18"/>
        <v>21.149333333333338</v>
      </c>
      <c r="F435" s="94">
        <f t="shared" si="19"/>
        <v>23.072000000000003</v>
      </c>
      <c r="G435" s="29"/>
      <c r="H435" s="97">
        <f t="shared" si="20"/>
        <v>20.974545454545456</v>
      </c>
    </row>
    <row r="436" spans="1:8" ht="20.100000000000001" customHeight="1">
      <c r="A436" s="21" t="s">
        <v>6088</v>
      </c>
      <c r="B436" s="21" t="s">
        <v>6087</v>
      </c>
      <c r="C436" s="28" t="s">
        <v>6089</v>
      </c>
      <c r="D436" s="30">
        <v>0</v>
      </c>
      <c r="E436" s="94">
        <f t="shared" si="18"/>
        <v>0</v>
      </c>
      <c r="F436" s="94">
        <f t="shared" si="19"/>
        <v>0</v>
      </c>
      <c r="G436" s="29"/>
      <c r="H436" s="97">
        <f t="shared" si="20"/>
        <v>0</v>
      </c>
    </row>
    <row r="437" spans="1:8" ht="20.100000000000001" customHeight="1">
      <c r="A437" s="21" t="s">
        <v>6091</v>
      </c>
      <c r="B437" s="21" t="s">
        <v>6090</v>
      </c>
      <c r="C437" s="28" t="s">
        <v>6092</v>
      </c>
      <c r="D437" s="30">
        <v>557.23</v>
      </c>
      <c r="E437" s="94">
        <f t="shared" si="18"/>
        <v>20.431766666666668</v>
      </c>
      <c r="F437" s="94">
        <f t="shared" si="19"/>
        <v>22.289200000000001</v>
      </c>
      <c r="G437" s="29"/>
      <c r="H437" s="97">
        <f t="shared" si="20"/>
        <v>20.262909090909091</v>
      </c>
    </row>
    <row r="438" spans="1:8" ht="20.100000000000001" customHeight="1">
      <c r="A438" s="22" t="s">
        <v>3581</v>
      </c>
      <c r="B438" s="22" t="s">
        <v>3580</v>
      </c>
      <c r="C438" s="23" t="s">
        <v>3582</v>
      </c>
      <c r="D438" s="30" t="e">
        <f>#REF!+#REF!</f>
        <v>#REF!</v>
      </c>
      <c r="E438" s="94" t="e">
        <f t="shared" si="18"/>
        <v>#REF!</v>
      </c>
      <c r="F438" s="94" t="e">
        <f t="shared" si="19"/>
        <v>#REF!</v>
      </c>
      <c r="G438" s="29"/>
      <c r="H438" s="97" t="e">
        <f t="shared" si="20"/>
        <v>#REF!</v>
      </c>
    </row>
    <row r="439" spans="1:8" ht="20.100000000000001" customHeight="1">
      <c r="A439" s="21" t="s">
        <v>6094</v>
      </c>
      <c r="B439" s="21" t="s">
        <v>6093</v>
      </c>
      <c r="C439" s="28" t="s">
        <v>6095</v>
      </c>
      <c r="D439" s="30">
        <v>756.02</v>
      </c>
      <c r="E439" s="94">
        <f t="shared" si="18"/>
        <v>27.720733333333335</v>
      </c>
      <c r="F439" s="94">
        <f t="shared" si="19"/>
        <v>30.240799999999997</v>
      </c>
      <c r="G439" s="29"/>
      <c r="H439" s="97">
        <f t="shared" si="20"/>
        <v>27.49163636363636</v>
      </c>
    </row>
    <row r="440" spans="1:8" ht="20.100000000000001" customHeight="1">
      <c r="A440" s="21" t="s">
        <v>6097</v>
      </c>
      <c r="B440" s="21" t="s">
        <v>6096</v>
      </c>
      <c r="C440" s="28" t="s">
        <v>6098</v>
      </c>
      <c r="D440" s="30">
        <v>454.23</v>
      </c>
      <c r="E440" s="94">
        <f t="shared" si="18"/>
        <v>16.655100000000001</v>
      </c>
      <c r="F440" s="94">
        <f t="shared" si="19"/>
        <v>18.1692</v>
      </c>
      <c r="G440" s="29"/>
      <c r="H440" s="97">
        <f t="shared" si="20"/>
        <v>16.517454545454545</v>
      </c>
    </row>
    <row r="441" spans="1:8" ht="20.100000000000001" customHeight="1">
      <c r="A441" s="21" t="s">
        <v>6100</v>
      </c>
      <c r="B441" s="21" t="s">
        <v>6099</v>
      </c>
      <c r="C441" s="28" t="s">
        <v>6101</v>
      </c>
      <c r="D441" s="30">
        <v>581.95000000000005</v>
      </c>
      <c r="E441" s="94">
        <f t="shared" si="18"/>
        <v>21.33816666666667</v>
      </c>
      <c r="F441" s="94">
        <f t="shared" si="19"/>
        <v>23.278000000000002</v>
      </c>
      <c r="G441" s="29"/>
      <c r="H441" s="97">
        <f t="shared" si="20"/>
        <v>21.161818181818184</v>
      </c>
    </row>
    <row r="442" spans="1:8" ht="20.100000000000001" customHeight="1">
      <c r="A442" s="21" t="s">
        <v>6103</v>
      </c>
      <c r="B442" s="21" t="s">
        <v>6102</v>
      </c>
      <c r="C442" s="28" t="s">
        <v>6104</v>
      </c>
      <c r="D442" s="30">
        <v>582.98</v>
      </c>
      <c r="E442" s="94">
        <f t="shared" si="18"/>
        <v>21.375933333333332</v>
      </c>
      <c r="F442" s="94">
        <f t="shared" si="19"/>
        <v>23.319200000000002</v>
      </c>
      <c r="G442" s="29"/>
      <c r="H442" s="97">
        <f t="shared" si="20"/>
        <v>21.199272727272728</v>
      </c>
    </row>
    <row r="443" spans="1:8" ht="20.100000000000001" customHeight="1">
      <c r="A443" s="21" t="s">
        <v>6106</v>
      </c>
      <c r="B443" s="21" t="s">
        <v>6105</v>
      </c>
      <c r="C443" s="28" t="s">
        <v>6107</v>
      </c>
      <c r="D443" s="30">
        <v>524.27</v>
      </c>
      <c r="E443" s="94">
        <f t="shared" si="18"/>
        <v>19.223233333333333</v>
      </c>
      <c r="F443" s="94">
        <f t="shared" si="19"/>
        <v>20.970799999999997</v>
      </c>
      <c r="G443" s="29"/>
      <c r="H443" s="97">
        <f t="shared" si="20"/>
        <v>19.064363636363634</v>
      </c>
    </row>
    <row r="444" spans="1:8" ht="20.100000000000001" customHeight="1">
      <c r="A444" s="21" t="s">
        <v>6109</v>
      </c>
      <c r="B444" s="21" t="s">
        <v>6108</v>
      </c>
      <c r="C444" s="28" t="s">
        <v>6110</v>
      </c>
      <c r="D444" s="30">
        <v>567.53</v>
      </c>
      <c r="E444" s="94">
        <f t="shared" si="18"/>
        <v>20.809433333333335</v>
      </c>
      <c r="F444" s="94">
        <f t="shared" si="19"/>
        <v>22.701199999999996</v>
      </c>
      <c r="G444" s="29"/>
      <c r="H444" s="97">
        <f t="shared" si="20"/>
        <v>20.637454545454545</v>
      </c>
    </row>
    <row r="445" spans="1:8" ht="20.100000000000001" customHeight="1">
      <c r="A445" s="21" t="s">
        <v>6112</v>
      </c>
      <c r="B445" s="21" t="s">
        <v>6111</v>
      </c>
      <c r="C445" s="28" t="s">
        <v>6113</v>
      </c>
      <c r="D445" s="30">
        <v>528.39</v>
      </c>
      <c r="E445" s="94">
        <f t="shared" si="18"/>
        <v>19.374300000000002</v>
      </c>
      <c r="F445" s="94">
        <f t="shared" si="19"/>
        <v>21.1356</v>
      </c>
      <c r="G445" s="29"/>
      <c r="H445" s="97">
        <f t="shared" si="20"/>
        <v>19.214181818181817</v>
      </c>
    </row>
    <row r="446" spans="1:8" ht="20.100000000000001" customHeight="1">
      <c r="A446" s="21" t="s">
        <v>6115</v>
      </c>
      <c r="B446" s="21" t="s">
        <v>6114</v>
      </c>
      <c r="C446" s="28" t="s">
        <v>6116</v>
      </c>
      <c r="D446" s="30">
        <v>540.75</v>
      </c>
      <c r="E446" s="94">
        <f t="shared" si="18"/>
        <v>19.827500000000001</v>
      </c>
      <c r="F446" s="94">
        <f t="shared" si="19"/>
        <v>21.63</v>
      </c>
      <c r="G446" s="29"/>
      <c r="H446" s="97">
        <f t="shared" si="20"/>
        <v>19.663636363636364</v>
      </c>
    </row>
    <row r="447" spans="1:8" ht="20.100000000000001" customHeight="1">
      <c r="A447" s="21" t="s">
        <v>6118</v>
      </c>
      <c r="B447" s="21" t="s">
        <v>6117</v>
      </c>
      <c r="C447" s="28" t="s">
        <v>6119</v>
      </c>
      <c r="D447" s="30">
        <v>535.6</v>
      </c>
      <c r="E447" s="94">
        <f t="shared" si="18"/>
        <v>19.638666666666669</v>
      </c>
      <c r="F447" s="94">
        <f t="shared" si="19"/>
        <v>21.423999999999999</v>
      </c>
      <c r="G447" s="29"/>
      <c r="H447" s="97">
        <f t="shared" si="20"/>
        <v>19.476363636363637</v>
      </c>
    </row>
    <row r="448" spans="1:8" ht="20.100000000000001" customHeight="1">
      <c r="A448" s="21" t="s">
        <v>6121</v>
      </c>
      <c r="B448" s="21" t="s">
        <v>6120</v>
      </c>
      <c r="C448" s="28" t="s">
        <v>6122</v>
      </c>
      <c r="D448" s="30">
        <v>1339</v>
      </c>
      <c r="E448" s="94">
        <f t="shared" si="18"/>
        <v>49.096666666666671</v>
      </c>
      <c r="F448" s="94">
        <f t="shared" si="19"/>
        <v>53.559999999999995</v>
      </c>
      <c r="G448" s="29"/>
      <c r="H448" s="97">
        <f t="shared" si="20"/>
        <v>48.690909090909088</v>
      </c>
    </row>
    <row r="449" spans="1:10" ht="20.100000000000001" customHeight="1">
      <c r="A449" s="21" t="s">
        <v>6124</v>
      </c>
      <c r="B449" s="21" t="s">
        <v>6123</v>
      </c>
      <c r="C449" s="28" t="s">
        <v>6125</v>
      </c>
      <c r="D449" s="30">
        <v>385.22</v>
      </c>
      <c r="E449" s="94">
        <f t="shared" si="18"/>
        <v>14.124733333333335</v>
      </c>
      <c r="F449" s="94">
        <f t="shared" si="19"/>
        <v>15.408800000000001</v>
      </c>
      <c r="G449" s="29"/>
      <c r="H449" s="97">
        <f t="shared" si="20"/>
        <v>14.008000000000001</v>
      </c>
    </row>
    <row r="450" spans="1:10" ht="20.100000000000001" customHeight="1">
      <c r="A450" s="21" t="s">
        <v>6127</v>
      </c>
      <c r="B450" s="21" t="s">
        <v>6126</v>
      </c>
      <c r="C450" s="28" t="s">
        <v>6128</v>
      </c>
      <c r="D450" s="30">
        <v>463.5</v>
      </c>
      <c r="E450" s="94">
        <f t="shared" ref="E450:E516" si="21">+(D450*1.1/30)</f>
        <v>16.995000000000001</v>
      </c>
      <c r="F450" s="94">
        <f t="shared" ref="F450:F516" si="22">+(D450*1.2/30)</f>
        <v>18.54</v>
      </c>
      <c r="G450" s="29"/>
      <c r="H450" s="97">
        <f t="shared" ref="H450:H516" si="23">+(D450*1.2/33)</f>
        <v>16.854545454545452</v>
      </c>
    </row>
    <row r="451" spans="1:10" ht="20.100000000000001" customHeight="1">
      <c r="A451" s="21" t="s">
        <v>6130</v>
      </c>
      <c r="B451" s="21" t="s">
        <v>6129</v>
      </c>
      <c r="C451" s="28" t="s">
        <v>6131</v>
      </c>
      <c r="D451" s="30">
        <v>473.8</v>
      </c>
      <c r="E451" s="94">
        <f t="shared" si="21"/>
        <v>17.372666666666667</v>
      </c>
      <c r="F451" s="94">
        <f t="shared" si="22"/>
        <v>18.951999999999998</v>
      </c>
      <c r="G451" s="29"/>
      <c r="H451" s="97">
        <f t="shared" si="23"/>
        <v>17.229090909090907</v>
      </c>
    </row>
    <row r="452" spans="1:10" ht="20.100000000000001" customHeight="1">
      <c r="A452" s="21" t="s">
        <v>6133</v>
      </c>
      <c r="B452" s="21" t="s">
        <v>6132</v>
      </c>
      <c r="C452" s="28" t="s">
        <v>6134</v>
      </c>
      <c r="D452" s="30">
        <v>0</v>
      </c>
      <c r="E452" s="94">
        <f t="shared" si="21"/>
        <v>0</v>
      </c>
      <c r="F452" s="94">
        <f t="shared" si="22"/>
        <v>0</v>
      </c>
      <c r="G452" s="29"/>
      <c r="H452" s="97">
        <f t="shared" si="23"/>
        <v>0</v>
      </c>
    </row>
    <row r="453" spans="1:10" ht="20.100000000000001" customHeight="1">
      <c r="A453" s="21" t="s">
        <v>6136</v>
      </c>
      <c r="B453" s="21" t="s">
        <v>6135</v>
      </c>
      <c r="C453" s="28" t="s">
        <v>6137</v>
      </c>
      <c r="D453" s="30">
        <v>506.76</v>
      </c>
      <c r="E453" s="94">
        <f t="shared" si="21"/>
        <v>18.581200000000003</v>
      </c>
      <c r="F453" s="94">
        <f t="shared" si="22"/>
        <v>20.270399999999999</v>
      </c>
      <c r="G453" s="29"/>
      <c r="H453" s="97">
        <f t="shared" si="23"/>
        <v>18.427636363636363</v>
      </c>
    </row>
    <row r="454" spans="1:10" ht="20.100000000000001" customHeight="1">
      <c r="A454" s="21" t="s">
        <v>6139</v>
      </c>
      <c r="B454" s="21" t="s">
        <v>6138</v>
      </c>
      <c r="C454" s="28" t="s">
        <v>6140</v>
      </c>
      <c r="D454" s="30">
        <v>668.47</v>
      </c>
      <c r="E454" s="94">
        <f t="shared" si="21"/>
        <v>24.510566666666669</v>
      </c>
      <c r="F454" s="94">
        <f t="shared" si="22"/>
        <v>26.738800000000001</v>
      </c>
      <c r="G454" s="29"/>
      <c r="H454" s="97">
        <f t="shared" si="23"/>
        <v>24.308</v>
      </c>
    </row>
    <row r="455" spans="1:10" ht="20.100000000000001" customHeight="1">
      <c r="A455" s="21" t="s">
        <v>6145</v>
      </c>
      <c r="B455" s="21" t="s">
        <v>6144</v>
      </c>
      <c r="C455" s="28" t="s">
        <v>6146</v>
      </c>
      <c r="D455" s="30">
        <v>640</v>
      </c>
      <c r="E455" s="94">
        <f t="shared" si="21"/>
        <v>23.466666666666665</v>
      </c>
      <c r="F455" s="94">
        <f t="shared" si="22"/>
        <v>25.6</v>
      </c>
      <c r="G455" s="29"/>
      <c r="H455" s="97">
        <f t="shared" si="23"/>
        <v>23.272727272727273</v>
      </c>
      <c r="J455" s="91" t="s">
        <v>8825</v>
      </c>
    </row>
    <row r="456" spans="1:10" ht="20.100000000000001" customHeight="1">
      <c r="A456" s="21" t="s">
        <v>6142</v>
      </c>
      <c r="B456" s="21" t="s">
        <v>6141</v>
      </c>
      <c r="C456" s="28" t="s">
        <v>6143</v>
      </c>
      <c r="D456" s="30">
        <v>448.05</v>
      </c>
      <c r="E456" s="94">
        <f t="shared" si="21"/>
        <v>16.428500000000003</v>
      </c>
      <c r="F456" s="94">
        <f t="shared" si="22"/>
        <v>17.922000000000001</v>
      </c>
      <c r="G456" s="29"/>
      <c r="H456" s="97">
        <f t="shared" si="23"/>
        <v>16.292727272727273</v>
      </c>
    </row>
    <row r="457" spans="1:10" ht="20.100000000000001" customHeight="1">
      <c r="A457" s="21" t="s">
        <v>6148</v>
      </c>
      <c r="B457" s="21" t="s">
        <v>6147</v>
      </c>
      <c r="C457" s="28" t="s">
        <v>6149</v>
      </c>
      <c r="D457" s="30">
        <v>436.72</v>
      </c>
      <c r="E457" s="94">
        <f t="shared" si="21"/>
        <v>16.013066666666667</v>
      </c>
      <c r="F457" s="94">
        <f t="shared" si="22"/>
        <v>17.468799999999998</v>
      </c>
      <c r="G457" s="29"/>
      <c r="H457" s="97">
        <f t="shared" si="23"/>
        <v>15.880727272727272</v>
      </c>
    </row>
    <row r="458" spans="1:10" ht="20.100000000000001" customHeight="1">
      <c r="A458" s="21" t="s">
        <v>6154</v>
      </c>
      <c r="B458" s="21" t="s">
        <v>6153</v>
      </c>
      <c r="C458" s="28" t="s">
        <v>6155</v>
      </c>
      <c r="D458" s="30">
        <v>0</v>
      </c>
      <c r="E458" s="94">
        <f t="shared" si="21"/>
        <v>0</v>
      </c>
      <c r="F458" s="94">
        <f t="shared" si="22"/>
        <v>0</v>
      </c>
      <c r="G458" s="29"/>
      <c r="H458" s="97">
        <f t="shared" si="23"/>
        <v>0</v>
      </c>
    </row>
    <row r="459" spans="1:10" ht="20.100000000000001" customHeight="1">
      <c r="A459" s="21" t="s">
        <v>6163</v>
      </c>
      <c r="B459" s="21" t="s">
        <v>6162</v>
      </c>
      <c r="C459" s="28" t="s">
        <v>6164</v>
      </c>
      <c r="D459" s="30">
        <v>0</v>
      </c>
      <c r="E459" s="94">
        <f t="shared" si="21"/>
        <v>0</v>
      </c>
      <c r="F459" s="94">
        <f t="shared" si="22"/>
        <v>0</v>
      </c>
      <c r="G459" s="29"/>
      <c r="H459" s="97">
        <f t="shared" si="23"/>
        <v>0</v>
      </c>
    </row>
    <row r="460" spans="1:10" ht="20.100000000000001" customHeight="1">
      <c r="A460" s="21" t="s">
        <v>6160</v>
      </c>
      <c r="B460" s="21" t="s">
        <v>6159</v>
      </c>
      <c r="C460" s="28" t="s">
        <v>6161</v>
      </c>
      <c r="D460" s="30">
        <v>570.62</v>
      </c>
      <c r="E460" s="94">
        <f t="shared" si="21"/>
        <v>20.922733333333333</v>
      </c>
      <c r="F460" s="94">
        <f t="shared" si="22"/>
        <v>22.8248</v>
      </c>
      <c r="G460" s="29"/>
      <c r="H460" s="97">
        <f t="shared" si="23"/>
        <v>20.749818181818181</v>
      </c>
    </row>
    <row r="461" spans="1:10" ht="20.100000000000001" customHeight="1">
      <c r="A461" s="21" t="s">
        <v>6166</v>
      </c>
      <c r="B461" s="21" t="s">
        <v>6165</v>
      </c>
      <c r="C461" s="28" t="s">
        <v>6167</v>
      </c>
      <c r="D461" s="30">
        <v>432.6</v>
      </c>
      <c r="E461" s="94">
        <f t="shared" si="21"/>
        <v>15.862000000000002</v>
      </c>
      <c r="F461" s="94">
        <f t="shared" si="22"/>
        <v>17.303999999999998</v>
      </c>
      <c r="G461" s="29"/>
      <c r="H461" s="97">
        <f t="shared" si="23"/>
        <v>15.730909090909091</v>
      </c>
    </row>
    <row r="462" spans="1:10" ht="20.100000000000001" customHeight="1">
      <c r="A462" s="21" t="s">
        <v>8417</v>
      </c>
      <c r="B462" s="21" t="s">
        <v>8419</v>
      </c>
      <c r="C462" s="28" t="s">
        <v>8418</v>
      </c>
      <c r="D462" s="30">
        <v>620</v>
      </c>
      <c r="E462" s="95">
        <f t="shared" si="21"/>
        <v>22.733333333333334</v>
      </c>
      <c r="F462" s="95">
        <f t="shared" si="22"/>
        <v>24.8</v>
      </c>
      <c r="H462" s="98">
        <f t="shared" si="23"/>
        <v>22.545454545454547</v>
      </c>
      <c r="I462" s="54">
        <v>45108</v>
      </c>
    </row>
    <row r="463" spans="1:10" ht="20.100000000000001" customHeight="1">
      <c r="A463" s="31" t="s">
        <v>8039</v>
      </c>
      <c r="B463" s="31" t="s">
        <v>8041</v>
      </c>
      <c r="C463" s="32" t="s">
        <v>8042</v>
      </c>
      <c r="D463" s="33">
        <v>550</v>
      </c>
      <c r="E463" s="94">
        <f t="shared" si="21"/>
        <v>20.166666666666668</v>
      </c>
      <c r="F463" s="94">
        <f t="shared" si="22"/>
        <v>22</v>
      </c>
      <c r="G463" s="29"/>
      <c r="H463" s="97">
        <f t="shared" si="23"/>
        <v>20</v>
      </c>
    </row>
    <row r="464" spans="1:10" ht="20.100000000000001" customHeight="1">
      <c r="A464" s="31" t="s">
        <v>8040</v>
      </c>
      <c r="B464" s="31" t="s">
        <v>8043</v>
      </c>
      <c r="C464" s="34" t="s">
        <v>8044</v>
      </c>
      <c r="D464" s="33">
        <v>490</v>
      </c>
      <c r="E464" s="94">
        <f t="shared" si="21"/>
        <v>17.966666666666665</v>
      </c>
      <c r="F464" s="94">
        <f t="shared" si="22"/>
        <v>19.600000000000001</v>
      </c>
      <c r="G464" s="29"/>
      <c r="H464" s="97">
        <f t="shared" si="23"/>
        <v>17.818181818181817</v>
      </c>
    </row>
    <row r="465" spans="1:9" ht="20.100000000000001" customHeight="1">
      <c r="A465" s="21" t="s">
        <v>8420</v>
      </c>
      <c r="B465" s="21" t="s">
        <v>8421</v>
      </c>
      <c r="C465" s="46" t="s">
        <v>8422</v>
      </c>
      <c r="D465" s="30">
        <v>510</v>
      </c>
      <c r="E465" s="95">
        <f t="shared" si="21"/>
        <v>18.7</v>
      </c>
      <c r="F465" s="95">
        <f t="shared" si="22"/>
        <v>20.399999999999999</v>
      </c>
      <c r="H465" s="98">
        <f t="shared" si="23"/>
        <v>18.545454545454547</v>
      </c>
      <c r="I465" s="54">
        <v>45108</v>
      </c>
    </row>
    <row r="466" spans="1:9" ht="20.100000000000001" customHeight="1">
      <c r="A466" s="21" t="s">
        <v>8423</v>
      </c>
      <c r="B466" s="21" t="s">
        <v>8566</v>
      </c>
      <c r="C466" s="46" t="s">
        <v>8424</v>
      </c>
      <c r="D466" s="30">
        <v>550</v>
      </c>
      <c r="E466" s="95">
        <f t="shared" si="21"/>
        <v>20.166666666666668</v>
      </c>
      <c r="F466" s="95">
        <f t="shared" si="22"/>
        <v>22</v>
      </c>
      <c r="H466" s="98">
        <f t="shared" si="23"/>
        <v>20</v>
      </c>
      <c r="I466" s="54">
        <v>45108</v>
      </c>
    </row>
    <row r="467" spans="1:9" ht="20.100000000000001" customHeight="1">
      <c r="A467" s="22" t="s">
        <v>3584</v>
      </c>
      <c r="B467" s="22" t="s">
        <v>3583</v>
      </c>
      <c r="C467" s="23" t="s">
        <v>3585</v>
      </c>
      <c r="D467" s="30">
        <v>690.1</v>
      </c>
      <c r="E467" s="94">
        <f t="shared" si="21"/>
        <v>25.303666666666672</v>
      </c>
      <c r="F467" s="94">
        <f t="shared" si="22"/>
        <v>27.603999999999999</v>
      </c>
      <c r="G467" s="29"/>
      <c r="H467" s="97">
        <f t="shared" si="23"/>
        <v>25.094545454545454</v>
      </c>
    </row>
    <row r="468" spans="1:9" ht="20.100000000000001" customHeight="1">
      <c r="A468" s="22" t="s">
        <v>3587</v>
      </c>
      <c r="B468" s="22" t="s">
        <v>3586</v>
      </c>
      <c r="C468" s="23" t="s">
        <v>3588</v>
      </c>
      <c r="D468" s="30">
        <v>607.45280000000002</v>
      </c>
      <c r="E468" s="94">
        <f t="shared" si="21"/>
        <v>22.273269333333339</v>
      </c>
      <c r="F468" s="94">
        <f t="shared" si="22"/>
        <v>24.298112</v>
      </c>
      <c r="G468" s="29"/>
      <c r="H468" s="97">
        <f t="shared" si="23"/>
        <v>22.089192727272728</v>
      </c>
    </row>
    <row r="469" spans="1:9" ht="20.100000000000001" customHeight="1">
      <c r="A469" s="22" t="s">
        <v>3590</v>
      </c>
      <c r="B469" s="22" t="s">
        <v>3589</v>
      </c>
      <c r="C469" s="23" t="s">
        <v>3591</v>
      </c>
      <c r="D469" s="30">
        <v>462.55239999999998</v>
      </c>
      <c r="E469" s="94">
        <f t="shared" si="21"/>
        <v>16.960254666666668</v>
      </c>
      <c r="F469" s="94">
        <f t="shared" si="22"/>
        <v>18.502095999999998</v>
      </c>
      <c r="G469" s="29"/>
      <c r="H469" s="97">
        <f t="shared" si="23"/>
        <v>16.820087272727271</v>
      </c>
    </row>
    <row r="470" spans="1:9" ht="20.100000000000001" customHeight="1">
      <c r="A470" s="22" t="s">
        <v>3593</v>
      </c>
      <c r="B470" s="22" t="s">
        <v>3592</v>
      </c>
      <c r="C470" s="23" t="s">
        <v>3594</v>
      </c>
      <c r="D470" s="30" t="e">
        <f>#REF!+#REF!</f>
        <v>#REF!</v>
      </c>
      <c r="E470" s="94" t="e">
        <f t="shared" si="21"/>
        <v>#REF!</v>
      </c>
      <c r="F470" s="94" t="e">
        <f t="shared" si="22"/>
        <v>#REF!</v>
      </c>
      <c r="G470" s="29"/>
      <c r="H470" s="97" t="e">
        <f t="shared" si="23"/>
        <v>#REF!</v>
      </c>
    </row>
    <row r="471" spans="1:9" ht="20.100000000000001" customHeight="1">
      <c r="A471" s="22" t="s">
        <v>3596</v>
      </c>
      <c r="B471" s="22" t="s">
        <v>3595</v>
      </c>
      <c r="C471" s="23" t="s">
        <v>3597</v>
      </c>
      <c r="D471" s="30">
        <v>551.71950000000004</v>
      </c>
      <c r="E471" s="94">
        <f t="shared" si="21"/>
        <v>20.229715000000002</v>
      </c>
      <c r="F471" s="94">
        <f t="shared" si="22"/>
        <v>22.06878</v>
      </c>
      <c r="G471" s="29"/>
      <c r="H471" s="97">
        <f t="shared" si="23"/>
        <v>20.062527272727273</v>
      </c>
    </row>
    <row r="472" spans="1:9" ht="20.100000000000001" customHeight="1">
      <c r="A472" s="22" t="s">
        <v>3599</v>
      </c>
      <c r="B472" s="22" t="s">
        <v>3598</v>
      </c>
      <c r="C472" s="23" t="s">
        <v>3600</v>
      </c>
      <c r="D472" s="30">
        <v>819.22080000000005</v>
      </c>
      <c r="E472" s="94">
        <f t="shared" si="21"/>
        <v>30.038096000000003</v>
      </c>
      <c r="F472" s="94">
        <f t="shared" si="22"/>
        <v>32.768832000000003</v>
      </c>
      <c r="G472" s="29"/>
      <c r="H472" s="97">
        <f t="shared" si="23"/>
        <v>29.789847272727275</v>
      </c>
    </row>
    <row r="473" spans="1:9" ht="20.100000000000001" customHeight="1">
      <c r="A473" s="22" t="s">
        <v>3602</v>
      </c>
      <c r="B473" s="22" t="s">
        <v>3601</v>
      </c>
      <c r="C473" s="23" t="s">
        <v>3603</v>
      </c>
      <c r="D473" s="30" t="e">
        <f>#REF!+#REF!</f>
        <v>#REF!</v>
      </c>
      <c r="E473" s="94" t="e">
        <f t="shared" si="21"/>
        <v>#REF!</v>
      </c>
      <c r="F473" s="94" t="e">
        <f t="shared" si="22"/>
        <v>#REF!</v>
      </c>
      <c r="G473" s="29"/>
      <c r="H473" s="97" t="e">
        <f t="shared" si="23"/>
        <v>#REF!</v>
      </c>
    </row>
    <row r="474" spans="1:9" ht="20.100000000000001" customHeight="1">
      <c r="A474" s="22" t="s">
        <v>3605</v>
      </c>
      <c r="B474" s="22" t="s">
        <v>3604</v>
      </c>
      <c r="C474" s="23" t="s">
        <v>3606</v>
      </c>
      <c r="D474" s="30" t="e">
        <f>#REF!+#REF!</f>
        <v>#REF!</v>
      </c>
      <c r="E474" s="94" t="e">
        <f t="shared" si="21"/>
        <v>#REF!</v>
      </c>
      <c r="F474" s="94" t="e">
        <f t="shared" si="22"/>
        <v>#REF!</v>
      </c>
      <c r="G474" s="29"/>
      <c r="H474" s="97" t="e">
        <f t="shared" si="23"/>
        <v>#REF!</v>
      </c>
    </row>
    <row r="475" spans="1:9" ht="20.100000000000001" customHeight="1">
      <c r="A475" s="22" t="s">
        <v>3608</v>
      </c>
      <c r="B475" s="22" t="s">
        <v>3607</v>
      </c>
      <c r="C475" s="23" t="s">
        <v>3609</v>
      </c>
      <c r="D475" s="30">
        <v>587.1</v>
      </c>
      <c r="E475" s="94">
        <f t="shared" si="21"/>
        <v>21.527000000000001</v>
      </c>
      <c r="F475" s="94">
        <f t="shared" si="22"/>
        <v>23.483999999999998</v>
      </c>
      <c r="G475" s="29"/>
      <c r="H475" s="97">
        <f t="shared" si="23"/>
        <v>21.349090909090908</v>
      </c>
    </row>
    <row r="476" spans="1:9" ht="20.100000000000001" customHeight="1">
      <c r="A476" s="22" t="s">
        <v>3611</v>
      </c>
      <c r="B476" s="22" t="s">
        <v>3610</v>
      </c>
      <c r="C476" s="23" t="s">
        <v>3612</v>
      </c>
      <c r="D476" s="30">
        <v>618</v>
      </c>
      <c r="E476" s="94">
        <f t="shared" si="21"/>
        <v>22.660000000000004</v>
      </c>
      <c r="F476" s="94">
        <f t="shared" si="22"/>
        <v>24.720000000000002</v>
      </c>
      <c r="G476" s="29"/>
      <c r="H476" s="97">
        <f t="shared" si="23"/>
        <v>22.472727272727273</v>
      </c>
    </row>
    <row r="477" spans="1:9" ht="20.100000000000001" customHeight="1">
      <c r="A477" s="22" t="s">
        <v>3614</v>
      </c>
      <c r="B477" s="22" t="s">
        <v>3613</v>
      </c>
      <c r="C477" s="23" t="s">
        <v>3615</v>
      </c>
      <c r="D477" s="30" t="e">
        <f>#REF!+#REF!</f>
        <v>#REF!</v>
      </c>
      <c r="E477" s="94" t="e">
        <f t="shared" si="21"/>
        <v>#REF!</v>
      </c>
      <c r="F477" s="94" t="e">
        <f t="shared" si="22"/>
        <v>#REF!</v>
      </c>
      <c r="G477" s="29"/>
      <c r="H477" s="97" t="e">
        <f t="shared" si="23"/>
        <v>#REF!</v>
      </c>
    </row>
    <row r="478" spans="1:9" ht="20.100000000000001" customHeight="1">
      <c r="A478" s="22" t="s">
        <v>3617</v>
      </c>
      <c r="B478" s="22" t="s">
        <v>3616</v>
      </c>
      <c r="C478" s="23" t="s">
        <v>3618</v>
      </c>
      <c r="D478" s="30" t="e">
        <f>#REF!+#REF!</f>
        <v>#REF!</v>
      </c>
      <c r="E478" s="94" t="e">
        <f t="shared" si="21"/>
        <v>#REF!</v>
      </c>
      <c r="F478" s="94" t="e">
        <f t="shared" si="22"/>
        <v>#REF!</v>
      </c>
      <c r="G478" s="29"/>
      <c r="H478" s="97" t="e">
        <f t="shared" si="23"/>
        <v>#REF!</v>
      </c>
    </row>
    <row r="479" spans="1:9" ht="20.100000000000001" customHeight="1">
      <c r="A479" s="22" t="s">
        <v>3620</v>
      </c>
      <c r="B479" s="22" t="s">
        <v>3619</v>
      </c>
      <c r="C479" s="23" t="s">
        <v>3621</v>
      </c>
      <c r="D479" s="30">
        <v>601.87020000000007</v>
      </c>
      <c r="E479" s="94">
        <f t="shared" si="21"/>
        <v>22.068574000000005</v>
      </c>
      <c r="F479" s="94">
        <f t="shared" si="22"/>
        <v>24.074808000000004</v>
      </c>
      <c r="G479" s="29"/>
      <c r="H479" s="97">
        <f t="shared" si="23"/>
        <v>21.886189090909095</v>
      </c>
    </row>
    <row r="480" spans="1:9" ht="20.100000000000001" customHeight="1">
      <c r="A480" s="22" t="s">
        <v>3623</v>
      </c>
      <c r="B480" s="22" t="s">
        <v>3622</v>
      </c>
      <c r="C480" s="23" t="s">
        <v>3624</v>
      </c>
      <c r="D480" s="30">
        <v>652</v>
      </c>
      <c r="E480" s="94">
        <f t="shared" si="21"/>
        <v>23.90666666666667</v>
      </c>
      <c r="F480" s="94">
        <f t="shared" si="22"/>
        <v>26.08</v>
      </c>
      <c r="G480" s="29"/>
      <c r="H480" s="97">
        <f t="shared" si="23"/>
        <v>23.709090909090907</v>
      </c>
    </row>
    <row r="481" spans="1:8" ht="20.100000000000001" customHeight="1">
      <c r="A481" s="22" t="s">
        <v>3626</v>
      </c>
      <c r="B481" s="22" t="s">
        <v>3625</v>
      </c>
      <c r="C481" s="23" t="s">
        <v>3627</v>
      </c>
      <c r="D481" s="30" t="e">
        <f>#REF!+#REF!</f>
        <v>#REF!</v>
      </c>
      <c r="E481" s="94" t="e">
        <f t="shared" si="21"/>
        <v>#REF!</v>
      </c>
      <c r="F481" s="94" t="e">
        <f t="shared" si="22"/>
        <v>#REF!</v>
      </c>
      <c r="G481" s="29"/>
      <c r="H481" s="97" t="e">
        <f t="shared" si="23"/>
        <v>#REF!</v>
      </c>
    </row>
    <row r="482" spans="1:8" ht="20.100000000000001" customHeight="1">
      <c r="A482" s="22" t="s">
        <v>3629</v>
      </c>
      <c r="B482" s="22" t="s">
        <v>3628</v>
      </c>
      <c r="C482" s="23" t="s">
        <v>3630</v>
      </c>
      <c r="D482" s="30" t="e">
        <f>#REF!+#REF!</f>
        <v>#REF!</v>
      </c>
      <c r="E482" s="94" t="e">
        <f t="shared" si="21"/>
        <v>#REF!</v>
      </c>
      <c r="F482" s="94" t="e">
        <f t="shared" si="22"/>
        <v>#REF!</v>
      </c>
      <c r="G482" s="29"/>
      <c r="H482" s="97" t="e">
        <f t="shared" si="23"/>
        <v>#REF!</v>
      </c>
    </row>
    <row r="483" spans="1:8" ht="20.100000000000001" customHeight="1">
      <c r="A483" s="22" t="s">
        <v>3632</v>
      </c>
      <c r="B483" s="22" t="s">
        <v>3631</v>
      </c>
      <c r="C483" s="23" t="s">
        <v>3633</v>
      </c>
      <c r="D483" s="30">
        <v>819.22080000000005</v>
      </c>
      <c r="E483" s="94">
        <f t="shared" si="21"/>
        <v>30.038096000000003</v>
      </c>
      <c r="F483" s="94">
        <f t="shared" si="22"/>
        <v>32.768832000000003</v>
      </c>
      <c r="G483" s="29"/>
      <c r="H483" s="97">
        <f t="shared" si="23"/>
        <v>29.789847272727275</v>
      </c>
    </row>
    <row r="484" spans="1:8" ht="20.100000000000001" customHeight="1">
      <c r="A484" s="22" t="s">
        <v>3635</v>
      </c>
      <c r="B484" s="22" t="s">
        <v>3634</v>
      </c>
      <c r="C484" s="23" t="s">
        <v>3636</v>
      </c>
      <c r="D484" s="30">
        <v>566.5</v>
      </c>
      <c r="E484" s="94">
        <f t="shared" si="21"/>
        <v>20.771666666666668</v>
      </c>
      <c r="F484" s="94">
        <f t="shared" si="22"/>
        <v>22.66</v>
      </c>
      <c r="G484" s="29"/>
      <c r="H484" s="97">
        <f t="shared" si="23"/>
        <v>20.599999999999998</v>
      </c>
    </row>
    <row r="485" spans="1:8" ht="20.100000000000001" customHeight="1">
      <c r="A485" s="22" t="s">
        <v>3641</v>
      </c>
      <c r="B485" s="22" t="s">
        <v>3640</v>
      </c>
      <c r="C485" s="23" t="s">
        <v>3642</v>
      </c>
      <c r="D485" s="30" t="e">
        <f>#REF!+#REF!</f>
        <v>#REF!</v>
      </c>
      <c r="E485" s="94" t="e">
        <f t="shared" si="21"/>
        <v>#REF!</v>
      </c>
      <c r="F485" s="94" t="e">
        <f t="shared" si="22"/>
        <v>#REF!</v>
      </c>
      <c r="G485" s="29"/>
      <c r="H485" s="97" t="e">
        <f t="shared" si="23"/>
        <v>#REF!</v>
      </c>
    </row>
    <row r="486" spans="1:8" ht="20.100000000000001" customHeight="1">
      <c r="A486" s="22" t="s">
        <v>3644</v>
      </c>
      <c r="B486" s="22" t="s">
        <v>3643</v>
      </c>
      <c r="C486" s="23" t="s">
        <v>3645</v>
      </c>
      <c r="D486" s="30" t="e">
        <f>#REF!+#REF!</f>
        <v>#REF!</v>
      </c>
      <c r="E486" s="94" t="e">
        <f t="shared" si="21"/>
        <v>#REF!</v>
      </c>
      <c r="F486" s="94" t="e">
        <f t="shared" si="22"/>
        <v>#REF!</v>
      </c>
      <c r="G486" s="29"/>
      <c r="H486" s="97" t="e">
        <f t="shared" si="23"/>
        <v>#REF!</v>
      </c>
    </row>
    <row r="487" spans="1:8" ht="20.100000000000001" customHeight="1">
      <c r="A487" s="22" t="s">
        <v>3647</v>
      </c>
      <c r="B487" s="22" t="s">
        <v>3646</v>
      </c>
      <c r="C487" s="23" t="s">
        <v>3648</v>
      </c>
      <c r="D487" s="30">
        <v>707.75419999999997</v>
      </c>
      <c r="E487" s="94">
        <f t="shared" si="21"/>
        <v>25.950987333333334</v>
      </c>
      <c r="F487" s="94">
        <f t="shared" si="22"/>
        <v>28.310167999999997</v>
      </c>
      <c r="G487" s="29"/>
      <c r="H487" s="97">
        <f t="shared" si="23"/>
        <v>25.736516363636362</v>
      </c>
    </row>
    <row r="488" spans="1:8" ht="20.100000000000001" customHeight="1">
      <c r="A488" s="22" t="s">
        <v>3650</v>
      </c>
      <c r="B488" s="22" t="s">
        <v>3649</v>
      </c>
      <c r="C488" s="23" t="s">
        <v>3651</v>
      </c>
      <c r="D488" s="30" t="e">
        <f>#REF!+#REF!</f>
        <v>#REF!</v>
      </c>
      <c r="E488" s="94" t="e">
        <f t="shared" si="21"/>
        <v>#REF!</v>
      </c>
      <c r="F488" s="94" t="e">
        <f t="shared" si="22"/>
        <v>#REF!</v>
      </c>
      <c r="G488" s="29"/>
      <c r="H488" s="97" t="e">
        <f t="shared" si="23"/>
        <v>#REF!</v>
      </c>
    </row>
    <row r="489" spans="1:8" ht="20.100000000000001" customHeight="1">
      <c r="A489" s="22" t="s">
        <v>3653</v>
      </c>
      <c r="B489" s="22" t="s">
        <v>3652</v>
      </c>
      <c r="C489" s="23" t="s">
        <v>3654</v>
      </c>
      <c r="D489" s="30">
        <v>819.22080000000005</v>
      </c>
      <c r="E489" s="94">
        <f t="shared" si="21"/>
        <v>30.038096000000003</v>
      </c>
      <c r="F489" s="94">
        <f t="shared" si="22"/>
        <v>32.768832000000003</v>
      </c>
      <c r="G489" s="29"/>
      <c r="H489" s="97">
        <f t="shared" si="23"/>
        <v>29.789847272727275</v>
      </c>
    </row>
    <row r="490" spans="1:8" ht="20.100000000000001" customHeight="1">
      <c r="A490" s="22" t="s">
        <v>3656</v>
      </c>
      <c r="B490" s="22" t="s">
        <v>3655</v>
      </c>
      <c r="C490" s="23" t="s">
        <v>3657</v>
      </c>
      <c r="D490" s="30">
        <v>763.48750000000007</v>
      </c>
      <c r="E490" s="94">
        <f t="shared" si="21"/>
        <v>27.994541666666674</v>
      </c>
      <c r="F490" s="94">
        <f t="shared" si="22"/>
        <v>30.5395</v>
      </c>
      <c r="G490" s="29"/>
      <c r="H490" s="97">
        <f t="shared" si="23"/>
        <v>27.76318181818182</v>
      </c>
    </row>
    <row r="491" spans="1:8" ht="20.100000000000001" customHeight="1">
      <c r="A491" s="22" t="s">
        <v>3659</v>
      </c>
      <c r="B491" s="22" t="s">
        <v>3658</v>
      </c>
      <c r="C491" s="23" t="s">
        <v>3660</v>
      </c>
      <c r="D491" s="30" t="e">
        <f>#REF!+#REF!</f>
        <v>#REF!</v>
      </c>
      <c r="E491" s="94" t="e">
        <f t="shared" si="21"/>
        <v>#REF!</v>
      </c>
      <c r="F491" s="94" t="e">
        <f t="shared" si="22"/>
        <v>#REF!</v>
      </c>
      <c r="G491" s="29"/>
      <c r="H491" s="97" t="e">
        <f t="shared" si="23"/>
        <v>#REF!</v>
      </c>
    </row>
    <row r="492" spans="1:8" ht="20.100000000000001" customHeight="1">
      <c r="A492" s="22" t="s">
        <v>3662</v>
      </c>
      <c r="B492" s="22" t="s">
        <v>3661</v>
      </c>
      <c r="C492" s="23" t="s">
        <v>3663</v>
      </c>
      <c r="D492" s="30">
        <v>827.72860000000003</v>
      </c>
      <c r="E492" s="94">
        <f t="shared" si="21"/>
        <v>30.35004866666667</v>
      </c>
      <c r="F492" s="94">
        <f t="shared" si="22"/>
        <v>33.109144000000001</v>
      </c>
      <c r="G492" s="29"/>
      <c r="H492" s="97">
        <f t="shared" si="23"/>
        <v>30.099221818181817</v>
      </c>
    </row>
    <row r="493" spans="1:8" ht="20.100000000000001" customHeight="1">
      <c r="A493" s="22" t="s">
        <v>3665</v>
      </c>
      <c r="B493" s="22" t="s">
        <v>3664</v>
      </c>
      <c r="C493" s="23" t="s">
        <v>3666</v>
      </c>
      <c r="D493" s="30" t="e">
        <f>#REF!+#REF!</f>
        <v>#REF!</v>
      </c>
      <c r="E493" s="94" t="e">
        <f t="shared" si="21"/>
        <v>#REF!</v>
      </c>
      <c r="F493" s="94" t="e">
        <f t="shared" si="22"/>
        <v>#REF!</v>
      </c>
      <c r="G493" s="29"/>
      <c r="H493" s="97" t="e">
        <f t="shared" si="23"/>
        <v>#REF!</v>
      </c>
    </row>
    <row r="494" spans="1:8" ht="20.100000000000001" customHeight="1">
      <c r="A494" s="22" t="s">
        <v>3668</v>
      </c>
      <c r="B494" s="22" t="s">
        <v>3667</v>
      </c>
      <c r="C494" s="23" t="s">
        <v>3669</v>
      </c>
      <c r="D494" s="30">
        <v>1214.885</v>
      </c>
      <c r="E494" s="94">
        <f t="shared" si="21"/>
        <v>44.54578333333334</v>
      </c>
      <c r="F494" s="94">
        <f t="shared" si="22"/>
        <v>48.595399999999998</v>
      </c>
      <c r="G494" s="29"/>
      <c r="H494" s="97">
        <f t="shared" si="23"/>
        <v>44.17763636363636</v>
      </c>
    </row>
    <row r="495" spans="1:8" ht="20.100000000000001" customHeight="1">
      <c r="A495" s="22" t="s">
        <v>3671</v>
      </c>
      <c r="B495" s="22" t="s">
        <v>3670</v>
      </c>
      <c r="C495" s="23" t="s">
        <v>3672</v>
      </c>
      <c r="D495" s="30">
        <v>635.3143</v>
      </c>
      <c r="E495" s="94">
        <f t="shared" si="21"/>
        <v>23.294857666666665</v>
      </c>
      <c r="F495" s="94">
        <f t="shared" si="22"/>
        <v>25.412572000000001</v>
      </c>
      <c r="G495" s="29"/>
      <c r="H495" s="97">
        <f t="shared" si="23"/>
        <v>23.102338181818183</v>
      </c>
    </row>
    <row r="496" spans="1:8" ht="20.100000000000001" customHeight="1">
      <c r="A496" s="22" t="s">
        <v>3674</v>
      </c>
      <c r="B496" s="22" t="s">
        <v>3673</v>
      </c>
      <c r="C496" s="23" t="s">
        <v>3675</v>
      </c>
      <c r="D496" s="30" t="e">
        <f>#REF!+#REF!</f>
        <v>#REF!</v>
      </c>
      <c r="E496" s="94" t="e">
        <f t="shared" si="21"/>
        <v>#REF!</v>
      </c>
      <c r="F496" s="94" t="e">
        <f t="shared" si="22"/>
        <v>#REF!</v>
      </c>
      <c r="G496" s="29"/>
      <c r="H496" s="97" t="e">
        <f t="shared" si="23"/>
        <v>#REF!</v>
      </c>
    </row>
    <row r="497" spans="1:8" ht="20.100000000000001" customHeight="1">
      <c r="A497" s="22" t="s">
        <v>3677</v>
      </c>
      <c r="B497" s="22" t="s">
        <v>3676</v>
      </c>
      <c r="C497" s="23" t="s">
        <v>3678</v>
      </c>
      <c r="D497" s="30" t="e">
        <f>#REF!+#REF!</f>
        <v>#REF!</v>
      </c>
      <c r="E497" s="94" t="e">
        <f t="shared" si="21"/>
        <v>#REF!</v>
      </c>
      <c r="F497" s="94" t="e">
        <f t="shared" si="22"/>
        <v>#REF!</v>
      </c>
      <c r="G497" s="29"/>
      <c r="H497" s="97" t="e">
        <f t="shared" si="23"/>
        <v>#REF!</v>
      </c>
    </row>
    <row r="498" spans="1:8" ht="20.100000000000001" customHeight="1">
      <c r="A498" s="22" t="s">
        <v>3680</v>
      </c>
      <c r="B498" s="22" t="s">
        <v>3679</v>
      </c>
      <c r="C498" s="23" t="s">
        <v>3681</v>
      </c>
      <c r="D498" s="30" t="e">
        <f>#REF!+#REF!</f>
        <v>#REF!</v>
      </c>
      <c r="E498" s="94" t="e">
        <f t="shared" si="21"/>
        <v>#REF!</v>
      </c>
      <c r="F498" s="94" t="e">
        <f t="shared" si="22"/>
        <v>#REF!</v>
      </c>
      <c r="G498" s="29"/>
      <c r="H498" s="97" t="e">
        <f t="shared" si="23"/>
        <v>#REF!</v>
      </c>
    </row>
    <row r="499" spans="1:8" ht="20.100000000000001" customHeight="1">
      <c r="A499" s="22" t="s">
        <v>3683</v>
      </c>
      <c r="B499" s="22" t="s">
        <v>3682</v>
      </c>
      <c r="C499" s="23" t="s">
        <v>3684</v>
      </c>
      <c r="D499" s="30" t="e">
        <f>#REF!+#REF!</f>
        <v>#REF!</v>
      </c>
      <c r="E499" s="94" t="e">
        <f t="shared" si="21"/>
        <v>#REF!</v>
      </c>
      <c r="F499" s="94" t="e">
        <f t="shared" si="22"/>
        <v>#REF!</v>
      </c>
      <c r="G499" s="29"/>
      <c r="H499" s="97" t="e">
        <f t="shared" si="23"/>
        <v>#REF!</v>
      </c>
    </row>
    <row r="500" spans="1:8" ht="20.100000000000001" customHeight="1">
      <c r="A500" s="21" t="s">
        <v>3686</v>
      </c>
      <c r="B500" s="21" t="s">
        <v>3685</v>
      </c>
      <c r="C500" s="28" t="s">
        <v>3687</v>
      </c>
      <c r="D500" s="30">
        <v>819.22080000000005</v>
      </c>
      <c r="E500" s="94">
        <f t="shared" si="21"/>
        <v>30.038096000000003</v>
      </c>
      <c r="F500" s="94">
        <f t="shared" si="22"/>
        <v>32.768832000000003</v>
      </c>
      <c r="G500" s="29"/>
      <c r="H500" s="97">
        <f t="shared" si="23"/>
        <v>29.789847272727275</v>
      </c>
    </row>
    <row r="501" spans="1:8" ht="20.100000000000001" customHeight="1">
      <c r="A501" s="22" t="s">
        <v>3689</v>
      </c>
      <c r="B501" s="22" t="s">
        <v>3688</v>
      </c>
      <c r="C501" s="23" t="s">
        <v>3690</v>
      </c>
      <c r="D501" s="30">
        <v>545.9</v>
      </c>
      <c r="E501" s="94">
        <f t="shared" si="21"/>
        <v>20.016333333333332</v>
      </c>
      <c r="F501" s="94">
        <f t="shared" si="22"/>
        <v>21.835999999999999</v>
      </c>
      <c r="G501" s="29"/>
      <c r="H501" s="97">
        <f t="shared" si="23"/>
        <v>19.850909090909088</v>
      </c>
    </row>
    <row r="502" spans="1:8" ht="20.100000000000001" customHeight="1">
      <c r="A502" s="22" t="s">
        <v>3692</v>
      </c>
      <c r="B502" s="22" t="s">
        <v>3691</v>
      </c>
      <c r="C502" s="23" t="s">
        <v>3693</v>
      </c>
      <c r="D502" s="30" t="e">
        <f>#REF!+#REF!</f>
        <v>#REF!</v>
      </c>
      <c r="E502" s="94" t="e">
        <f t="shared" si="21"/>
        <v>#REF!</v>
      </c>
      <c r="F502" s="94" t="e">
        <f t="shared" si="22"/>
        <v>#REF!</v>
      </c>
      <c r="G502" s="29"/>
      <c r="H502" s="97" t="e">
        <f t="shared" si="23"/>
        <v>#REF!</v>
      </c>
    </row>
    <row r="503" spans="1:8" ht="20.100000000000001" customHeight="1">
      <c r="A503" s="22" t="s">
        <v>3695</v>
      </c>
      <c r="B503" s="22" t="s">
        <v>3694</v>
      </c>
      <c r="C503" s="23" t="s">
        <v>3696</v>
      </c>
      <c r="D503" s="30" t="e">
        <f>#REF!+#REF!</f>
        <v>#REF!</v>
      </c>
      <c r="E503" s="94" t="e">
        <f t="shared" si="21"/>
        <v>#REF!</v>
      </c>
      <c r="F503" s="94" t="e">
        <f t="shared" si="22"/>
        <v>#REF!</v>
      </c>
      <c r="G503" s="29"/>
      <c r="H503" s="97" t="e">
        <f t="shared" si="23"/>
        <v>#REF!</v>
      </c>
    </row>
    <row r="504" spans="1:8" ht="20.100000000000001" customHeight="1">
      <c r="A504" s="22" t="s">
        <v>3698</v>
      </c>
      <c r="B504" s="22" t="s">
        <v>3697</v>
      </c>
      <c r="C504" s="23" t="s">
        <v>3699</v>
      </c>
      <c r="D504" s="30" t="e">
        <f>#REF!+#REF!</f>
        <v>#REF!</v>
      </c>
      <c r="E504" s="94" t="e">
        <f t="shared" si="21"/>
        <v>#REF!</v>
      </c>
      <c r="F504" s="94" t="e">
        <f t="shared" si="22"/>
        <v>#REF!</v>
      </c>
      <c r="G504" s="29"/>
      <c r="H504" s="97" t="e">
        <f t="shared" si="23"/>
        <v>#REF!</v>
      </c>
    </row>
    <row r="505" spans="1:8" ht="20.100000000000001" customHeight="1">
      <c r="A505" s="22" t="s">
        <v>4688</v>
      </c>
      <c r="B505" s="22" t="s">
        <v>4687</v>
      </c>
      <c r="C505" s="23" t="s">
        <v>4689</v>
      </c>
      <c r="D505" s="30">
        <v>538.69000000000005</v>
      </c>
      <c r="E505" s="94">
        <f t="shared" si="21"/>
        <v>19.751966666666668</v>
      </c>
      <c r="F505" s="94">
        <f t="shared" si="22"/>
        <v>21.547599999999999</v>
      </c>
      <c r="G505" s="29"/>
      <c r="H505" s="97">
        <f t="shared" si="23"/>
        <v>19.588727272727272</v>
      </c>
    </row>
    <row r="506" spans="1:8" ht="20.100000000000001" customHeight="1">
      <c r="A506" s="22" t="s">
        <v>4691</v>
      </c>
      <c r="B506" s="22" t="s">
        <v>4690</v>
      </c>
      <c r="C506" s="23" t="s">
        <v>4692</v>
      </c>
      <c r="D506" s="30">
        <v>504.7</v>
      </c>
      <c r="E506" s="94">
        <f t="shared" si="21"/>
        <v>18.50566666666667</v>
      </c>
      <c r="F506" s="94">
        <f t="shared" si="22"/>
        <v>20.187999999999999</v>
      </c>
      <c r="G506" s="29"/>
      <c r="H506" s="97">
        <f t="shared" si="23"/>
        <v>18.352727272727272</v>
      </c>
    </row>
    <row r="507" spans="1:8" ht="20.100000000000001" customHeight="1">
      <c r="A507" s="22" t="s">
        <v>3707</v>
      </c>
      <c r="B507" s="22" t="s">
        <v>3706</v>
      </c>
      <c r="C507" s="23" t="s">
        <v>3708</v>
      </c>
      <c r="D507" s="30">
        <v>751.9</v>
      </c>
      <c r="E507" s="94">
        <f t="shared" si="21"/>
        <v>27.569666666666667</v>
      </c>
      <c r="F507" s="94">
        <f t="shared" si="22"/>
        <v>30.076000000000001</v>
      </c>
      <c r="G507" s="29"/>
      <c r="H507" s="97">
        <f t="shared" si="23"/>
        <v>27.34181818181818</v>
      </c>
    </row>
    <row r="508" spans="1:8" ht="20.100000000000001" customHeight="1">
      <c r="A508" s="22" t="s">
        <v>3710</v>
      </c>
      <c r="B508" s="22" t="s">
        <v>3709</v>
      </c>
      <c r="C508" s="23" t="s">
        <v>3711</v>
      </c>
      <c r="D508" s="30">
        <v>1346.2203</v>
      </c>
      <c r="E508" s="94">
        <f t="shared" si="21"/>
        <v>49.361411000000004</v>
      </c>
      <c r="F508" s="94">
        <f t="shared" si="22"/>
        <v>53.848811999999995</v>
      </c>
      <c r="G508" s="29"/>
      <c r="H508" s="97">
        <f t="shared" si="23"/>
        <v>48.953465454545452</v>
      </c>
    </row>
    <row r="509" spans="1:8" ht="20.100000000000001" customHeight="1">
      <c r="A509" s="22" t="s">
        <v>3713</v>
      </c>
      <c r="B509" s="22" t="s">
        <v>3712</v>
      </c>
      <c r="C509" s="23" t="s">
        <v>3714</v>
      </c>
      <c r="D509" s="30">
        <v>669.5</v>
      </c>
      <c r="E509" s="94">
        <f t="shared" si="21"/>
        <v>24.548333333333336</v>
      </c>
      <c r="F509" s="94">
        <f t="shared" si="22"/>
        <v>26.779999999999998</v>
      </c>
      <c r="G509" s="29"/>
      <c r="H509" s="97">
        <f t="shared" si="23"/>
        <v>24.345454545454544</v>
      </c>
    </row>
    <row r="510" spans="1:8" ht="20.100000000000001" customHeight="1">
      <c r="A510" s="22" t="s">
        <v>3716</v>
      </c>
      <c r="B510" s="22" t="s">
        <v>3715</v>
      </c>
      <c r="C510" s="23" t="s">
        <v>3717</v>
      </c>
      <c r="D510" s="30">
        <v>991.97240000000011</v>
      </c>
      <c r="E510" s="94">
        <f t="shared" si="21"/>
        <v>36.372321333333346</v>
      </c>
      <c r="F510" s="94">
        <f t="shared" si="22"/>
        <v>39.678896000000002</v>
      </c>
      <c r="G510" s="29"/>
      <c r="H510" s="97">
        <f t="shared" si="23"/>
        <v>36.071723636363636</v>
      </c>
    </row>
    <row r="511" spans="1:8" ht="20.100000000000001" customHeight="1">
      <c r="A511" s="22" t="s">
        <v>3719</v>
      </c>
      <c r="B511" s="22" t="s">
        <v>3718</v>
      </c>
      <c r="C511" s="23" t="s">
        <v>3720</v>
      </c>
      <c r="D511" s="30">
        <v>462.55239999999998</v>
      </c>
      <c r="E511" s="94">
        <f t="shared" si="21"/>
        <v>16.960254666666668</v>
      </c>
      <c r="F511" s="94">
        <f t="shared" si="22"/>
        <v>18.502095999999998</v>
      </c>
      <c r="G511" s="29"/>
      <c r="H511" s="97">
        <f t="shared" si="23"/>
        <v>16.820087272727271</v>
      </c>
    </row>
    <row r="512" spans="1:8" ht="20.100000000000001" customHeight="1">
      <c r="A512" s="22" t="s">
        <v>3722</v>
      </c>
      <c r="B512" s="22" t="s">
        <v>3721</v>
      </c>
      <c r="C512" s="23" t="s">
        <v>3723</v>
      </c>
      <c r="D512" s="30" t="e">
        <f>#REF!+#REF!</f>
        <v>#REF!</v>
      </c>
      <c r="E512" s="94" t="e">
        <f t="shared" si="21"/>
        <v>#REF!</v>
      </c>
      <c r="F512" s="94" t="e">
        <f t="shared" si="22"/>
        <v>#REF!</v>
      </c>
      <c r="G512" s="29"/>
      <c r="H512" s="97" t="e">
        <f t="shared" si="23"/>
        <v>#REF!</v>
      </c>
    </row>
    <row r="513" spans="1:8" ht="20.100000000000001" customHeight="1">
      <c r="A513" s="22" t="s">
        <v>3725</v>
      </c>
      <c r="B513" s="22" t="s">
        <v>3724</v>
      </c>
      <c r="C513" s="23" t="s">
        <v>3726</v>
      </c>
      <c r="D513" s="30">
        <v>679.80000000000007</v>
      </c>
      <c r="E513" s="94">
        <f t="shared" si="21"/>
        <v>24.926000000000002</v>
      </c>
      <c r="F513" s="94">
        <f t="shared" si="22"/>
        <v>27.192000000000004</v>
      </c>
      <c r="G513" s="29"/>
      <c r="H513" s="97">
        <f t="shared" si="23"/>
        <v>24.720000000000002</v>
      </c>
    </row>
    <row r="514" spans="1:8" ht="20.100000000000001" customHeight="1">
      <c r="A514" s="22" t="s">
        <v>3728</v>
      </c>
      <c r="B514" s="22" t="s">
        <v>3727</v>
      </c>
      <c r="C514" s="23" t="s">
        <v>3729</v>
      </c>
      <c r="D514" s="30">
        <v>952.96630000000005</v>
      </c>
      <c r="E514" s="94">
        <f t="shared" si="21"/>
        <v>34.942097666666669</v>
      </c>
      <c r="F514" s="94">
        <f t="shared" si="22"/>
        <v>38.118651999999997</v>
      </c>
      <c r="G514" s="29"/>
      <c r="H514" s="97">
        <f t="shared" si="23"/>
        <v>34.653320000000001</v>
      </c>
    </row>
    <row r="515" spans="1:8" ht="20.100000000000001" customHeight="1">
      <c r="A515" s="22" t="s">
        <v>3731</v>
      </c>
      <c r="B515" s="22" t="s">
        <v>3730</v>
      </c>
      <c r="C515" s="23" t="s">
        <v>3732</v>
      </c>
      <c r="D515" s="30" t="e">
        <f>#REF!+#REF!</f>
        <v>#REF!</v>
      </c>
      <c r="E515" s="94" t="e">
        <f t="shared" si="21"/>
        <v>#REF!</v>
      </c>
      <c r="F515" s="94" t="e">
        <f t="shared" si="22"/>
        <v>#REF!</v>
      </c>
      <c r="G515" s="29"/>
      <c r="H515" s="97" t="e">
        <f t="shared" si="23"/>
        <v>#REF!</v>
      </c>
    </row>
    <row r="516" spans="1:8" ht="20.100000000000001" customHeight="1">
      <c r="A516" s="22" t="s">
        <v>3734</v>
      </c>
      <c r="B516" s="22" t="s">
        <v>3733</v>
      </c>
      <c r="C516" s="23" t="s">
        <v>3735</v>
      </c>
      <c r="D516" s="30" t="e">
        <f>#REF!+#REF!</f>
        <v>#REF!</v>
      </c>
      <c r="E516" s="94" t="e">
        <f t="shared" si="21"/>
        <v>#REF!</v>
      </c>
      <c r="F516" s="94" t="e">
        <f t="shared" si="22"/>
        <v>#REF!</v>
      </c>
      <c r="G516" s="29"/>
      <c r="H516" s="97" t="e">
        <f t="shared" si="23"/>
        <v>#REF!</v>
      </c>
    </row>
    <row r="517" spans="1:8" ht="20.100000000000001" customHeight="1">
      <c r="A517" s="22" t="s">
        <v>3737</v>
      </c>
      <c r="B517" s="22" t="s">
        <v>3736</v>
      </c>
      <c r="C517" s="23" t="s">
        <v>3738</v>
      </c>
      <c r="D517" s="30" t="e">
        <f>#REF!+#REF!</f>
        <v>#REF!</v>
      </c>
      <c r="E517" s="94" t="e">
        <f t="shared" ref="E517:E580" si="24">+(D517*1.1/30)</f>
        <v>#REF!</v>
      </c>
      <c r="F517" s="94" t="e">
        <f t="shared" ref="F517:F580" si="25">+(D517*1.2/30)</f>
        <v>#REF!</v>
      </c>
      <c r="G517" s="29"/>
      <c r="H517" s="97" t="e">
        <f t="shared" ref="H517:H580" si="26">+(D517*1.2/33)</f>
        <v>#REF!</v>
      </c>
    </row>
    <row r="518" spans="1:8" ht="20.100000000000001" customHeight="1">
      <c r="A518" s="22" t="s">
        <v>3740</v>
      </c>
      <c r="B518" s="22" t="s">
        <v>3739</v>
      </c>
      <c r="C518" s="23" t="s">
        <v>3741</v>
      </c>
      <c r="D518" s="30" t="e">
        <f>#REF!+#REF!</f>
        <v>#REF!</v>
      </c>
      <c r="E518" s="94" t="e">
        <f t="shared" si="24"/>
        <v>#REF!</v>
      </c>
      <c r="F518" s="94" t="e">
        <f t="shared" si="25"/>
        <v>#REF!</v>
      </c>
      <c r="G518" s="29"/>
      <c r="H518" s="97" t="e">
        <f t="shared" si="26"/>
        <v>#REF!</v>
      </c>
    </row>
    <row r="519" spans="1:8" ht="20.100000000000001" customHeight="1">
      <c r="A519" s="22" t="s">
        <v>3743</v>
      </c>
      <c r="B519" s="22" t="s">
        <v>3742</v>
      </c>
      <c r="C519" s="23" t="s">
        <v>3744</v>
      </c>
      <c r="D519" s="30" t="e">
        <f>#REF!+#REF!</f>
        <v>#REF!</v>
      </c>
      <c r="E519" s="94" t="e">
        <f t="shared" si="24"/>
        <v>#REF!</v>
      </c>
      <c r="F519" s="94" t="e">
        <f t="shared" si="25"/>
        <v>#REF!</v>
      </c>
      <c r="G519" s="29"/>
      <c r="H519" s="97" t="e">
        <f t="shared" si="26"/>
        <v>#REF!</v>
      </c>
    </row>
    <row r="520" spans="1:8" ht="20.100000000000001" customHeight="1">
      <c r="A520" s="22" t="s">
        <v>3746</v>
      </c>
      <c r="B520" s="22" t="s">
        <v>3745</v>
      </c>
      <c r="C520" s="23" t="s">
        <v>3747</v>
      </c>
      <c r="D520" s="30" t="e">
        <f>#REF!+#REF!</f>
        <v>#REF!</v>
      </c>
      <c r="E520" s="94" t="e">
        <f t="shared" si="24"/>
        <v>#REF!</v>
      </c>
      <c r="F520" s="94" t="e">
        <f t="shared" si="25"/>
        <v>#REF!</v>
      </c>
      <c r="G520" s="29"/>
      <c r="H520" s="97" t="e">
        <f t="shared" si="26"/>
        <v>#REF!</v>
      </c>
    </row>
    <row r="521" spans="1:8" ht="20.100000000000001" customHeight="1">
      <c r="A521" s="21" t="s">
        <v>3749</v>
      </c>
      <c r="B521" s="21" t="s">
        <v>3748</v>
      </c>
      <c r="C521" s="28" t="s">
        <v>3750</v>
      </c>
      <c r="D521" s="30">
        <v>771.47</v>
      </c>
      <c r="E521" s="94">
        <f t="shared" si="24"/>
        <v>28.287233333333337</v>
      </c>
      <c r="F521" s="94">
        <f t="shared" si="25"/>
        <v>30.858799999999999</v>
      </c>
      <c r="G521" s="29"/>
      <c r="H521" s="97">
        <f t="shared" si="26"/>
        <v>28.053454545454546</v>
      </c>
    </row>
    <row r="522" spans="1:8" ht="20.100000000000001" customHeight="1">
      <c r="A522" s="21" t="s">
        <v>3752</v>
      </c>
      <c r="B522" s="21" t="s">
        <v>3751</v>
      </c>
      <c r="C522" s="28" t="s">
        <v>3753</v>
      </c>
      <c r="D522" s="30" t="e">
        <f>#REF!+#REF!</f>
        <v>#REF!</v>
      </c>
      <c r="E522" s="94" t="e">
        <f t="shared" si="24"/>
        <v>#REF!</v>
      </c>
      <c r="F522" s="94" t="e">
        <f t="shared" si="25"/>
        <v>#REF!</v>
      </c>
      <c r="G522" s="29"/>
      <c r="H522" s="97" t="e">
        <f t="shared" si="26"/>
        <v>#REF!</v>
      </c>
    </row>
    <row r="523" spans="1:8" ht="20.100000000000001" customHeight="1">
      <c r="A523" s="22" t="s">
        <v>3755</v>
      </c>
      <c r="B523" s="22" t="s">
        <v>3754</v>
      </c>
      <c r="C523" s="23" t="s">
        <v>3672</v>
      </c>
      <c r="D523" s="30" t="e">
        <f>#REF!+#REF!</f>
        <v>#REF!</v>
      </c>
      <c r="E523" s="94" t="e">
        <f t="shared" si="24"/>
        <v>#REF!</v>
      </c>
      <c r="F523" s="94" t="e">
        <f t="shared" si="25"/>
        <v>#REF!</v>
      </c>
      <c r="G523" s="29"/>
      <c r="H523" s="97" t="e">
        <f t="shared" si="26"/>
        <v>#REF!</v>
      </c>
    </row>
    <row r="524" spans="1:8" ht="20.100000000000001" customHeight="1">
      <c r="A524" s="22" t="s">
        <v>3757</v>
      </c>
      <c r="B524" s="22" t="s">
        <v>3756</v>
      </c>
      <c r="C524" s="23" t="s">
        <v>3758</v>
      </c>
      <c r="D524" s="30">
        <v>535.6</v>
      </c>
      <c r="E524" s="94">
        <f t="shared" si="24"/>
        <v>19.638666666666669</v>
      </c>
      <c r="F524" s="94">
        <f t="shared" si="25"/>
        <v>21.423999999999999</v>
      </c>
      <c r="G524" s="29"/>
      <c r="H524" s="97">
        <f t="shared" si="26"/>
        <v>19.476363636363637</v>
      </c>
    </row>
    <row r="525" spans="1:8" ht="20.100000000000001" customHeight="1">
      <c r="A525" s="22" t="s">
        <v>3760</v>
      </c>
      <c r="B525" s="22" t="s">
        <v>3759</v>
      </c>
      <c r="C525" s="23" t="s">
        <v>3761</v>
      </c>
      <c r="D525" s="30" t="e">
        <f>#REF!+#REF!</f>
        <v>#REF!</v>
      </c>
      <c r="E525" s="94" t="e">
        <f t="shared" si="24"/>
        <v>#REF!</v>
      </c>
      <c r="F525" s="94" t="e">
        <f t="shared" si="25"/>
        <v>#REF!</v>
      </c>
      <c r="G525" s="29"/>
      <c r="H525" s="97" t="e">
        <f t="shared" si="26"/>
        <v>#REF!</v>
      </c>
    </row>
    <row r="526" spans="1:8" ht="20.100000000000001" customHeight="1">
      <c r="A526" s="22" t="s">
        <v>3763</v>
      </c>
      <c r="B526" s="22" t="s">
        <v>3762</v>
      </c>
      <c r="C526" s="23" t="s">
        <v>3764</v>
      </c>
      <c r="D526" s="30">
        <v>659.2</v>
      </c>
      <c r="E526" s="94">
        <f t="shared" si="24"/>
        <v>24.170666666666669</v>
      </c>
      <c r="F526" s="94">
        <f t="shared" si="25"/>
        <v>26.368000000000002</v>
      </c>
      <c r="G526" s="29"/>
      <c r="H526" s="97">
        <f t="shared" si="26"/>
        <v>23.970909090909092</v>
      </c>
    </row>
    <row r="527" spans="1:8" ht="20.100000000000001" customHeight="1">
      <c r="A527" s="22" t="s">
        <v>3766</v>
      </c>
      <c r="B527" s="22" t="s">
        <v>3765</v>
      </c>
      <c r="C527" s="23" t="s">
        <v>3767</v>
      </c>
      <c r="D527" s="30">
        <v>886.09870000000001</v>
      </c>
      <c r="E527" s="94">
        <f t="shared" si="24"/>
        <v>32.490285666666672</v>
      </c>
      <c r="F527" s="94">
        <f t="shared" si="25"/>
        <v>35.443947999999999</v>
      </c>
      <c r="G527" s="29"/>
      <c r="H527" s="97">
        <f t="shared" si="26"/>
        <v>32.221770909090907</v>
      </c>
    </row>
    <row r="528" spans="1:8" ht="20.100000000000001" customHeight="1">
      <c r="A528" s="22" t="s">
        <v>3769</v>
      </c>
      <c r="B528" s="22" t="s">
        <v>3768</v>
      </c>
      <c r="C528" s="23" t="s">
        <v>3770</v>
      </c>
      <c r="D528" s="30">
        <v>574.00869999999998</v>
      </c>
      <c r="E528" s="94">
        <f t="shared" si="24"/>
        <v>21.046985666666668</v>
      </c>
      <c r="F528" s="94">
        <f t="shared" si="25"/>
        <v>22.960348</v>
      </c>
      <c r="G528" s="29"/>
      <c r="H528" s="97">
        <f t="shared" si="26"/>
        <v>20.873043636363636</v>
      </c>
    </row>
    <row r="529" spans="1:8" ht="20.100000000000001" customHeight="1">
      <c r="A529" s="22" t="s">
        <v>3772</v>
      </c>
      <c r="B529" s="22" t="s">
        <v>3771</v>
      </c>
      <c r="C529" s="23" t="s">
        <v>3773</v>
      </c>
      <c r="D529" s="30">
        <v>843.79660000000001</v>
      </c>
      <c r="E529" s="94">
        <f t="shared" si="24"/>
        <v>30.939208666666669</v>
      </c>
      <c r="F529" s="94">
        <f t="shared" si="25"/>
        <v>33.751863999999998</v>
      </c>
      <c r="G529" s="29"/>
      <c r="H529" s="97">
        <f t="shared" si="26"/>
        <v>30.683512727272728</v>
      </c>
    </row>
    <row r="530" spans="1:8" ht="20.100000000000001" customHeight="1">
      <c r="A530" s="22" t="s">
        <v>3775</v>
      </c>
      <c r="B530" s="22" t="s">
        <v>3774</v>
      </c>
      <c r="C530" s="23" t="s">
        <v>3776</v>
      </c>
      <c r="D530" s="30" t="e">
        <f>#REF!+#REF!</f>
        <v>#REF!</v>
      </c>
      <c r="E530" s="94" t="e">
        <f t="shared" si="24"/>
        <v>#REF!</v>
      </c>
      <c r="F530" s="94" t="e">
        <f t="shared" si="25"/>
        <v>#REF!</v>
      </c>
      <c r="G530" s="29"/>
      <c r="H530" s="97" t="e">
        <f t="shared" si="26"/>
        <v>#REF!</v>
      </c>
    </row>
    <row r="531" spans="1:8" ht="20.100000000000001" customHeight="1">
      <c r="A531" s="22" t="s">
        <v>3778</v>
      </c>
      <c r="B531" s="22" t="s">
        <v>3777</v>
      </c>
      <c r="C531" s="23" t="s">
        <v>3779</v>
      </c>
      <c r="D531" s="30">
        <v>551.71950000000004</v>
      </c>
      <c r="E531" s="94">
        <f t="shared" si="24"/>
        <v>20.229715000000002</v>
      </c>
      <c r="F531" s="94">
        <f t="shared" si="25"/>
        <v>22.06878</v>
      </c>
      <c r="G531" s="29"/>
      <c r="H531" s="97">
        <f t="shared" si="26"/>
        <v>20.062527272727273</v>
      </c>
    </row>
    <row r="532" spans="1:8" ht="20.100000000000001" customHeight="1">
      <c r="A532" s="22" t="s">
        <v>3781</v>
      </c>
      <c r="B532" s="22" t="s">
        <v>3780</v>
      </c>
      <c r="C532" s="23" t="s">
        <v>3782</v>
      </c>
      <c r="D532" s="30">
        <v>601.52</v>
      </c>
      <c r="E532" s="94">
        <f t="shared" si="24"/>
        <v>22.055733333333333</v>
      </c>
      <c r="F532" s="94">
        <f t="shared" si="25"/>
        <v>24.060799999999997</v>
      </c>
      <c r="G532" s="29"/>
      <c r="H532" s="97">
        <f t="shared" si="26"/>
        <v>21.873454545454543</v>
      </c>
    </row>
    <row r="533" spans="1:8" ht="20.100000000000001" customHeight="1">
      <c r="A533" s="21" t="s">
        <v>3784</v>
      </c>
      <c r="B533" s="21" t="s">
        <v>3783</v>
      </c>
      <c r="C533" s="28" t="s">
        <v>3785</v>
      </c>
      <c r="D533" s="30" t="e">
        <f>#REF!+#REF!</f>
        <v>#REF!</v>
      </c>
      <c r="E533" s="94" t="e">
        <f t="shared" si="24"/>
        <v>#REF!</v>
      </c>
      <c r="F533" s="94" t="e">
        <f t="shared" si="25"/>
        <v>#REF!</v>
      </c>
      <c r="G533" s="29"/>
      <c r="H533" s="97" t="e">
        <f t="shared" si="26"/>
        <v>#REF!</v>
      </c>
    </row>
    <row r="534" spans="1:8" ht="20.100000000000001" customHeight="1">
      <c r="A534" s="21" t="s">
        <v>3787</v>
      </c>
      <c r="B534" s="21" t="s">
        <v>3786</v>
      </c>
      <c r="C534" s="28" t="s">
        <v>3788</v>
      </c>
      <c r="D534" s="30" t="e">
        <f>#REF!+#REF!</f>
        <v>#REF!</v>
      </c>
      <c r="E534" s="94" t="e">
        <f t="shared" si="24"/>
        <v>#REF!</v>
      </c>
      <c r="F534" s="94" t="e">
        <f t="shared" si="25"/>
        <v>#REF!</v>
      </c>
      <c r="G534" s="29"/>
      <c r="H534" s="97" t="e">
        <f t="shared" si="26"/>
        <v>#REF!</v>
      </c>
    </row>
    <row r="535" spans="1:8" ht="20.100000000000001" customHeight="1">
      <c r="A535" s="21" t="s">
        <v>3790</v>
      </c>
      <c r="B535" s="21" t="s">
        <v>3789</v>
      </c>
      <c r="C535" s="28" t="s">
        <v>3791</v>
      </c>
      <c r="D535" s="30" t="e">
        <f>#REF!+#REF!</f>
        <v>#REF!</v>
      </c>
      <c r="E535" s="94" t="e">
        <f t="shared" si="24"/>
        <v>#REF!</v>
      </c>
      <c r="F535" s="94" t="e">
        <f t="shared" si="25"/>
        <v>#REF!</v>
      </c>
      <c r="G535" s="29"/>
      <c r="H535" s="97" t="e">
        <f t="shared" si="26"/>
        <v>#REF!</v>
      </c>
    </row>
    <row r="536" spans="1:8" ht="20.100000000000001" customHeight="1">
      <c r="A536" s="22" t="s">
        <v>3793</v>
      </c>
      <c r="B536" s="22" t="s">
        <v>3792</v>
      </c>
      <c r="C536" s="23" t="s">
        <v>3794</v>
      </c>
      <c r="D536" s="30" t="e">
        <f>#REF!+#REF!</f>
        <v>#REF!</v>
      </c>
      <c r="E536" s="94" t="e">
        <f t="shared" si="24"/>
        <v>#REF!</v>
      </c>
      <c r="F536" s="94" t="e">
        <f t="shared" si="25"/>
        <v>#REF!</v>
      </c>
      <c r="G536" s="29"/>
      <c r="H536" s="97" t="e">
        <f t="shared" si="26"/>
        <v>#REF!</v>
      </c>
    </row>
    <row r="537" spans="1:8" ht="20.100000000000001" customHeight="1">
      <c r="A537" s="22" t="s">
        <v>3796</v>
      </c>
      <c r="B537" s="22" t="s">
        <v>3795</v>
      </c>
      <c r="C537" s="23" t="s">
        <v>3797</v>
      </c>
      <c r="D537" s="30">
        <v>1011.0068</v>
      </c>
      <c r="E537" s="94">
        <f t="shared" si="24"/>
        <v>37.070249333333336</v>
      </c>
      <c r="F537" s="94">
        <f t="shared" si="25"/>
        <v>40.440272</v>
      </c>
      <c r="G537" s="29"/>
      <c r="H537" s="97">
        <f t="shared" si="26"/>
        <v>36.76388363636363</v>
      </c>
    </row>
    <row r="538" spans="1:8" ht="20.100000000000001" customHeight="1">
      <c r="A538" s="22" t="s">
        <v>3799</v>
      </c>
      <c r="B538" s="22" t="s">
        <v>3798</v>
      </c>
      <c r="C538" s="23" t="s">
        <v>3800</v>
      </c>
      <c r="D538" s="30">
        <v>679.92360000000008</v>
      </c>
      <c r="E538" s="94">
        <f t="shared" si="24"/>
        <v>24.930532000000007</v>
      </c>
      <c r="F538" s="94">
        <f t="shared" si="25"/>
        <v>27.196944000000006</v>
      </c>
      <c r="G538" s="29"/>
      <c r="H538" s="97">
        <f t="shared" si="26"/>
        <v>24.724494545454547</v>
      </c>
    </row>
    <row r="539" spans="1:8" ht="20.100000000000001" customHeight="1">
      <c r="A539" s="22" t="s">
        <v>3802</v>
      </c>
      <c r="B539" s="22" t="s">
        <v>3801</v>
      </c>
      <c r="C539" s="23" t="s">
        <v>3803</v>
      </c>
      <c r="D539" s="30" t="e">
        <f>#REF!+#REF!</f>
        <v>#REF!</v>
      </c>
      <c r="E539" s="94" t="e">
        <f t="shared" si="24"/>
        <v>#REF!</v>
      </c>
      <c r="F539" s="94" t="e">
        <f t="shared" si="25"/>
        <v>#REF!</v>
      </c>
      <c r="G539" s="29"/>
      <c r="H539" s="97" t="e">
        <f t="shared" si="26"/>
        <v>#REF!</v>
      </c>
    </row>
    <row r="540" spans="1:8" ht="20.100000000000001" customHeight="1">
      <c r="A540" s="22" t="s">
        <v>3805</v>
      </c>
      <c r="B540" s="22" t="s">
        <v>3804</v>
      </c>
      <c r="C540" s="23" t="s">
        <v>3806</v>
      </c>
      <c r="D540" s="30" t="e">
        <f>#REF!+#REF!</f>
        <v>#REF!</v>
      </c>
      <c r="E540" s="94" t="e">
        <f t="shared" si="24"/>
        <v>#REF!</v>
      </c>
      <c r="F540" s="94" t="e">
        <f t="shared" si="25"/>
        <v>#REF!</v>
      </c>
      <c r="G540" s="29"/>
      <c r="H540" s="97" t="e">
        <f t="shared" si="26"/>
        <v>#REF!</v>
      </c>
    </row>
    <row r="541" spans="1:8" ht="20.100000000000001" customHeight="1">
      <c r="A541" s="21" t="s">
        <v>3808</v>
      </c>
      <c r="B541" s="21" t="s">
        <v>3807</v>
      </c>
      <c r="C541" s="28" t="s">
        <v>12</v>
      </c>
      <c r="D541" s="30">
        <v>827.72860000000003</v>
      </c>
      <c r="E541" s="94">
        <f t="shared" si="24"/>
        <v>30.35004866666667</v>
      </c>
      <c r="F541" s="94">
        <f t="shared" si="25"/>
        <v>33.109144000000001</v>
      </c>
      <c r="G541" s="29"/>
      <c r="H541" s="97">
        <f t="shared" si="26"/>
        <v>30.099221818181817</v>
      </c>
    </row>
    <row r="542" spans="1:8" ht="20.100000000000001" customHeight="1">
      <c r="A542" s="22" t="s">
        <v>3810</v>
      </c>
      <c r="B542" s="22" t="s">
        <v>3809</v>
      </c>
      <c r="C542" s="23" t="s">
        <v>3811</v>
      </c>
      <c r="D542" s="30">
        <v>869.1037</v>
      </c>
      <c r="E542" s="94">
        <f t="shared" si="24"/>
        <v>31.86713566666667</v>
      </c>
      <c r="F542" s="94">
        <f t="shared" si="25"/>
        <v>34.764147999999999</v>
      </c>
      <c r="G542" s="29"/>
      <c r="H542" s="97">
        <f t="shared" si="26"/>
        <v>31.603770909090908</v>
      </c>
    </row>
    <row r="543" spans="1:8" ht="20.100000000000001" customHeight="1">
      <c r="A543" s="22" t="s">
        <v>3813</v>
      </c>
      <c r="B543" s="22" t="s">
        <v>3812</v>
      </c>
      <c r="C543" s="23" t="s">
        <v>3814</v>
      </c>
      <c r="D543" s="30">
        <v>829.7577</v>
      </c>
      <c r="E543" s="94">
        <f t="shared" si="24"/>
        <v>30.424449000000003</v>
      </c>
      <c r="F543" s="94">
        <f t="shared" si="25"/>
        <v>33.190307999999995</v>
      </c>
      <c r="G543" s="29"/>
      <c r="H543" s="97">
        <f t="shared" si="26"/>
        <v>30.173007272727268</v>
      </c>
    </row>
    <row r="544" spans="1:8" ht="20.100000000000001" customHeight="1">
      <c r="A544" s="22" t="s">
        <v>3816</v>
      </c>
      <c r="B544" s="22" t="s">
        <v>3815</v>
      </c>
      <c r="C544" s="23" t="s">
        <v>3817</v>
      </c>
      <c r="D544" s="30">
        <v>759.11</v>
      </c>
      <c r="E544" s="94">
        <f t="shared" si="24"/>
        <v>27.834033333333334</v>
      </c>
      <c r="F544" s="94">
        <f t="shared" si="25"/>
        <v>30.3644</v>
      </c>
      <c r="G544" s="29"/>
      <c r="H544" s="97">
        <f t="shared" si="26"/>
        <v>27.603999999999999</v>
      </c>
    </row>
    <row r="545" spans="1:8" ht="20.100000000000001" customHeight="1">
      <c r="A545" s="22" t="s">
        <v>3818</v>
      </c>
      <c r="B545" s="22" t="s">
        <v>3815</v>
      </c>
      <c r="C545" s="23" t="s">
        <v>3817</v>
      </c>
      <c r="D545" s="30">
        <v>827.72860000000003</v>
      </c>
      <c r="E545" s="94">
        <f t="shared" si="24"/>
        <v>30.35004866666667</v>
      </c>
      <c r="F545" s="94">
        <f t="shared" si="25"/>
        <v>33.109144000000001</v>
      </c>
      <c r="G545" s="29"/>
      <c r="H545" s="97">
        <f t="shared" si="26"/>
        <v>30.099221818181817</v>
      </c>
    </row>
    <row r="546" spans="1:8" ht="20.100000000000001" customHeight="1">
      <c r="A546" s="22" t="s">
        <v>4715</v>
      </c>
      <c r="B546" s="22" t="s">
        <v>4714</v>
      </c>
      <c r="C546" s="23" t="s">
        <v>4716</v>
      </c>
      <c r="D546" s="30">
        <v>535.6</v>
      </c>
      <c r="E546" s="94">
        <f t="shared" si="24"/>
        <v>19.638666666666669</v>
      </c>
      <c r="F546" s="94">
        <f t="shared" si="25"/>
        <v>21.423999999999999</v>
      </c>
      <c r="G546" s="29"/>
      <c r="H546" s="97">
        <f t="shared" si="26"/>
        <v>19.476363636363637</v>
      </c>
    </row>
    <row r="547" spans="1:8" ht="20.100000000000001" customHeight="1">
      <c r="A547" s="22" t="s">
        <v>3823</v>
      </c>
      <c r="B547" s="22" t="s">
        <v>3822</v>
      </c>
      <c r="C547" s="23" t="s">
        <v>3824</v>
      </c>
      <c r="D547" s="30">
        <v>987.24470000000008</v>
      </c>
      <c r="E547" s="94">
        <f t="shared" si="24"/>
        <v>36.198972333333337</v>
      </c>
      <c r="F547" s="94">
        <f t="shared" si="25"/>
        <v>39.489787999999997</v>
      </c>
      <c r="G547" s="29"/>
      <c r="H547" s="97">
        <f t="shared" si="26"/>
        <v>35.899807272727273</v>
      </c>
    </row>
    <row r="548" spans="1:8" ht="20.100000000000001" customHeight="1">
      <c r="A548" s="22" t="s">
        <v>3826</v>
      </c>
      <c r="B548" s="22" t="s">
        <v>3825</v>
      </c>
      <c r="C548" s="23" t="s">
        <v>3827</v>
      </c>
      <c r="D548" s="30" t="e">
        <f>#REF!+#REF!</f>
        <v>#REF!</v>
      </c>
      <c r="E548" s="94" t="e">
        <f t="shared" si="24"/>
        <v>#REF!</v>
      </c>
      <c r="F548" s="94" t="e">
        <f t="shared" si="25"/>
        <v>#REF!</v>
      </c>
      <c r="G548" s="29"/>
      <c r="H548" s="97" t="e">
        <f t="shared" si="26"/>
        <v>#REF!</v>
      </c>
    </row>
    <row r="549" spans="1:8" ht="20.100000000000001" customHeight="1">
      <c r="A549" s="22" t="s">
        <v>3829</v>
      </c>
      <c r="B549" s="22" t="s">
        <v>3828</v>
      </c>
      <c r="C549" s="23" t="s">
        <v>3811</v>
      </c>
      <c r="D549" s="30">
        <v>771.47</v>
      </c>
      <c r="E549" s="94">
        <f t="shared" si="24"/>
        <v>28.287233333333337</v>
      </c>
      <c r="F549" s="94">
        <f t="shared" si="25"/>
        <v>30.858799999999999</v>
      </c>
      <c r="G549" s="29"/>
      <c r="H549" s="97">
        <f t="shared" si="26"/>
        <v>28.053454545454546</v>
      </c>
    </row>
    <row r="550" spans="1:8" ht="20.100000000000001" customHeight="1">
      <c r="A550" s="22" t="s">
        <v>3831</v>
      </c>
      <c r="B550" s="22" t="s">
        <v>3830</v>
      </c>
      <c r="C550" s="23" t="s">
        <v>3832</v>
      </c>
      <c r="D550" s="30">
        <v>813.7</v>
      </c>
      <c r="E550" s="94">
        <f t="shared" si="24"/>
        <v>29.835666666666672</v>
      </c>
      <c r="F550" s="94">
        <f t="shared" si="25"/>
        <v>32.548000000000002</v>
      </c>
      <c r="G550" s="29"/>
      <c r="H550" s="97">
        <f t="shared" si="26"/>
        <v>29.58909090909091</v>
      </c>
    </row>
    <row r="551" spans="1:8" ht="20.100000000000001" customHeight="1">
      <c r="A551" s="22" t="s">
        <v>3834</v>
      </c>
      <c r="B551" s="22" t="s">
        <v>3833</v>
      </c>
      <c r="C551" s="23" t="s">
        <v>3835</v>
      </c>
      <c r="D551" s="30">
        <v>501.61</v>
      </c>
      <c r="E551" s="94">
        <f t="shared" si="24"/>
        <v>18.392366666666668</v>
      </c>
      <c r="F551" s="94">
        <f t="shared" si="25"/>
        <v>20.064399999999999</v>
      </c>
      <c r="G551" s="29"/>
      <c r="H551" s="97">
        <f t="shared" si="26"/>
        <v>18.240363636363636</v>
      </c>
    </row>
    <row r="552" spans="1:8" ht="20.100000000000001" customHeight="1">
      <c r="A552" s="22" t="s">
        <v>3837</v>
      </c>
      <c r="B552" s="22" t="s">
        <v>3836</v>
      </c>
      <c r="C552" s="23" t="s">
        <v>3838</v>
      </c>
      <c r="D552" s="30">
        <v>736.45</v>
      </c>
      <c r="E552" s="94">
        <f t="shared" si="24"/>
        <v>27.003166666666672</v>
      </c>
      <c r="F552" s="94">
        <f t="shared" si="25"/>
        <v>29.458000000000002</v>
      </c>
      <c r="G552" s="29"/>
      <c r="H552" s="97">
        <f t="shared" si="26"/>
        <v>26.78</v>
      </c>
    </row>
    <row r="553" spans="1:8" ht="20.100000000000001" customHeight="1">
      <c r="A553" s="22" t="s">
        <v>3840</v>
      </c>
      <c r="B553" s="22" t="s">
        <v>3839</v>
      </c>
      <c r="C553" s="23" t="s">
        <v>3841</v>
      </c>
      <c r="D553" s="30" t="e">
        <f>#REF!+#REF!</f>
        <v>#REF!</v>
      </c>
      <c r="E553" s="94" t="e">
        <f t="shared" si="24"/>
        <v>#REF!</v>
      </c>
      <c r="F553" s="94" t="e">
        <f t="shared" si="25"/>
        <v>#REF!</v>
      </c>
      <c r="G553" s="29"/>
      <c r="H553" s="97" t="e">
        <f t="shared" si="26"/>
        <v>#REF!</v>
      </c>
    </row>
    <row r="554" spans="1:8" ht="20.100000000000001" customHeight="1">
      <c r="A554" s="22" t="s">
        <v>3843</v>
      </c>
      <c r="B554" s="22" t="s">
        <v>3842</v>
      </c>
      <c r="C554" s="23" t="s">
        <v>3844</v>
      </c>
      <c r="D554" s="30">
        <v>652.03120000000001</v>
      </c>
      <c r="E554" s="94">
        <f t="shared" si="24"/>
        <v>23.907810666666666</v>
      </c>
      <c r="F554" s="94">
        <f t="shared" si="25"/>
        <v>26.081248000000002</v>
      </c>
      <c r="G554" s="29"/>
      <c r="H554" s="97">
        <f t="shared" si="26"/>
        <v>23.710225454545455</v>
      </c>
    </row>
    <row r="555" spans="1:8" ht="20.100000000000001" customHeight="1">
      <c r="A555" s="22" t="s">
        <v>3846</v>
      </c>
      <c r="B555" s="22" t="s">
        <v>3845</v>
      </c>
      <c r="C555" s="23" t="s">
        <v>3847</v>
      </c>
      <c r="D555" s="30" t="e">
        <f>#REF!+#REF!</f>
        <v>#REF!</v>
      </c>
      <c r="E555" s="94" t="e">
        <f t="shared" si="24"/>
        <v>#REF!</v>
      </c>
      <c r="F555" s="94" t="e">
        <f t="shared" si="25"/>
        <v>#REF!</v>
      </c>
      <c r="G555" s="29"/>
      <c r="H555" s="97" t="e">
        <f t="shared" si="26"/>
        <v>#REF!</v>
      </c>
    </row>
    <row r="556" spans="1:8" ht="20.100000000000001" customHeight="1">
      <c r="A556" s="22" t="s">
        <v>3849</v>
      </c>
      <c r="B556" s="22" t="s">
        <v>3848</v>
      </c>
      <c r="C556" s="23" t="s">
        <v>3850</v>
      </c>
      <c r="D556" s="30">
        <v>652.03120000000001</v>
      </c>
      <c r="E556" s="94">
        <f t="shared" si="24"/>
        <v>23.907810666666666</v>
      </c>
      <c r="F556" s="94">
        <f t="shared" si="25"/>
        <v>26.081248000000002</v>
      </c>
      <c r="G556" s="29"/>
      <c r="H556" s="97">
        <f t="shared" si="26"/>
        <v>23.710225454545455</v>
      </c>
    </row>
    <row r="557" spans="1:8" ht="20.100000000000001" customHeight="1">
      <c r="A557" s="22" t="s">
        <v>3852</v>
      </c>
      <c r="B557" s="22" t="s">
        <v>3851</v>
      </c>
      <c r="C557" s="23" t="s">
        <v>3853</v>
      </c>
      <c r="D557" s="30" t="e">
        <f>#REF!+#REF!</f>
        <v>#REF!</v>
      </c>
      <c r="E557" s="94" t="e">
        <f t="shared" si="24"/>
        <v>#REF!</v>
      </c>
      <c r="F557" s="94" t="e">
        <f t="shared" si="25"/>
        <v>#REF!</v>
      </c>
      <c r="G557" s="29"/>
      <c r="H557" s="97" t="e">
        <f t="shared" si="26"/>
        <v>#REF!</v>
      </c>
    </row>
    <row r="558" spans="1:8" ht="20.100000000000001" customHeight="1">
      <c r="A558" s="22" t="s">
        <v>3855</v>
      </c>
      <c r="B558" s="22" t="s">
        <v>3854</v>
      </c>
      <c r="C558" s="23" t="s">
        <v>3856</v>
      </c>
      <c r="D558" s="30">
        <v>525.30000000000007</v>
      </c>
      <c r="E558" s="94">
        <f t="shared" si="24"/>
        <v>19.261000000000006</v>
      </c>
      <c r="F558" s="94">
        <f t="shared" si="25"/>
        <v>21.012</v>
      </c>
      <c r="G558" s="29"/>
      <c r="H558" s="97">
        <f t="shared" si="26"/>
        <v>19.101818181818182</v>
      </c>
    </row>
    <row r="559" spans="1:8" ht="20.100000000000001" customHeight="1">
      <c r="A559" s="22" t="s">
        <v>3858</v>
      </c>
      <c r="B559" s="22" t="s">
        <v>3857</v>
      </c>
      <c r="C559" s="23" t="s">
        <v>3859</v>
      </c>
      <c r="D559" s="30">
        <v>871.68899999999996</v>
      </c>
      <c r="E559" s="94">
        <f t="shared" si="24"/>
        <v>31.961930000000002</v>
      </c>
      <c r="F559" s="94">
        <f t="shared" si="25"/>
        <v>34.867559999999997</v>
      </c>
      <c r="G559" s="29"/>
      <c r="H559" s="97">
        <f t="shared" si="26"/>
        <v>31.697781818181813</v>
      </c>
    </row>
    <row r="560" spans="1:8" ht="20.100000000000001" customHeight="1">
      <c r="A560" s="22" t="s">
        <v>3861</v>
      </c>
      <c r="B560" s="22" t="s">
        <v>3860</v>
      </c>
      <c r="C560" s="23" t="s">
        <v>3862</v>
      </c>
      <c r="D560" s="30" t="e">
        <f>#REF!+#REF!</f>
        <v>#REF!</v>
      </c>
      <c r="E560" s="94" t="e">
        <f t="shared" si="24"/>
        <v>#REF!</v>
      </c>
      <c r="F560" s="94" t="e">
        <f t="shared" si="25"/>
        <v>#REF!</v>
      </c>
      <c r="G560" s="29"/>
      <c r="H560" s="97" t="e">
        <f t="shared" si="26"/>
        <v>#REF!</v>
      </c>
    </row>
    <row r="561" spans="1:8" ht="20.100000000000001" customHeight="1">
      <c r="A561" s="22" t="s">
        <v>3864</v>
      </c>
      <c r="B561" s="22" t="s">
        <v>3863</v>
      </c>
      <c r="C561" s="23" t="s">
        <v>3865</v>
      </c>
      <c r="D561" s="30" t="e">
        <f>#REF!+#REF!</f>
        <v>#REF!</v>
      </c>
      <c r="E561" s="94" t="e">
        <f t="shared" si="24"/>
        <v>#REF!</v>
      </c>
      <c r="F561" s="94" t="e">
        <f t="shared" si="25"/>
        <v>#REF!</v>
      </c>
      <c r="G561" s="29"/>
      <c r="H561" s="97" t="e">
        <f t="shared" si="26"/>
        <v>#REF!</v>
      </c>
    </row>
    <row r="562" spans="1:8" ht="20.100000000000001" customHeight="1">
      <c r="A562" s="22" t="s">
        <v>3867</v>
      </c>
      <c r="B562" s="22" t="s">
        <v>3866</v>
      </c>
      <c r="C562" s="23" t="s">
        <v>3868</v>
      </c>
      <c r="D562" s="30">
        <v>827.72860000000003</v>
      </c>
      <c r="E562" s="94">
        <f t="shared" si="24"/>
        <v>30.35004866666667</v>
      </c>
      <c r="F562" s="94">
        <f t="shared" si="25"/>
        <v>33.109144000000001</v>
      </c>
      <c r="G562" s="29"/>
      <c r="H562" s="97">
        <f t="shared" si="26"/>
        <v>30.099221818181817</v>
      </c>
    </row>
    <row r="563" spans="1:8" ht="20.100000000000001" customHeight="1">
      <c r="A563" s="22" t="s">
        <v>3870</v>
      </c>
      <c r="B563" s="22" t="s">
        <v>3869</v>
      </c>
      <c r="C563" s="23" t="s">
        <v>3871</v>
      </c>
      <c r="D563" s="30">
        <v>827.72860000000003</v>
      </c>
      <c r="E563" s="94">
        <f t="shared" si="24"/>
        <v>30.35004866666667</v>
      </c>
      <c r="F563" s="94">
        <f t="shared" si="25"/>
        <v>33.109144000000001</v>
      </c>
      <c r="G563" s="29"/>
      <c r="H563" s="97">
        <f t="shared" si="26"/>
        <v>30.099221818181817</v>
      </c>
    </row>
    <row r="564" spans="1:8" ht="20.100000000000001" customHeight="1">
      <c r="A564" s="22" t="s">
        <v>3873</v>
      </c>
      <c r="B564" s="22" t="s">
        <v>3872</v>
      </c>
      <c r="C564" s="23" t="s">
        <v>3874</v>
      </c>
      <c r="D564" s="30" t="e">
        <f>#REF!+#REF!</f>
        <v>#REF!</v>
      </c>
      <c r="E564" s="94" t="e">
        <f t="shared" si="24"/>
        <v>#REF!</v>
      </c>
      <c r="F564" s="94" t="e">
        <f t="shared" si="25"/>
        <v>#REF!</v>
      </c>
      <c r="G564" s="29"/>
      <c r="H564" s="97" t="e">
        <f t="shared" si="26"/>
        <v>#REF!</v>
      </c>
    </row>
    <row r="565" spans="1:8" ht="20.100000000000001" customHeight="1">
      <c r="A565" s="22" t="s">
        <v>3876</v>
      </c>
      <c r="B565" s="22" t="s">
        <v>3875</v>
      </c>
      <c r="C565" s="23" t="s">
        <v>3877</v>
      </c>
      <c r="D565" s="30">
        <v>566.5</v>
      </c>
      <c r="E565" s="94">
        <f t="shared" si="24"/>
        <v>20.771666666666668</v>
      </c>
      <c r="F565" s="94">
        <f t="shared" si="25"/>
        <v>22.66</v>
      </c>
      <c r="G565" s="29"/>
      <c r="H565" s="97">
        <f t="shared" si="26"/>
        <v>20.599999999999998</v>
      </c>
    </row>
    <row r="566" spans="1:8" ht="20.100000000000001" customHeight="1">
      <c r="A566" s="22" t="s">
        <v>3879</v>
      </c>
      <c r="B566" s="22" t="s">
        <v>3878</v>
      </c>
      <c r="C566" s="23" t="s">
        <v>3880</v>
      </c>
      <c r="D566" s="30" t="e">
        <f>#REF!+#REF!</f>
        <v>#REF!</v>
      </c>
      <c r="E566" s="94" t="e">
        <f t="shared" si="24"/>
        <v>#REF!</v>
      </c>
      <c r="F566" s="94" t="e">
        <f t="shared" si="25"/>
        <v>#REF!</v>
      </c>
      <c r="G566" s="29"/>
      <c r="H566" s="97" t="e">
        <f t="shared" si="26"/>
        <v>#REF!</v>
      </c>
    </row>
    <row r="567" spans="1:8" ht="20.100000000000001" customHeight="1">
      <c r="A567" s="22" t="s">
        <v>3882</v>
      </c>
      <c r="B567" s="22" t="s">
        <v>3881</v>
      </c>
      <c r="C567" s="23" t="s">
        <v>3883</v>
      </c>
      <c r="D567" s="30" t="e">
        <f>#REF!+#REF!</f>
        <v>#REF!</v>
      </c>
      <c r="E567" s="94" t="e">
        <f t="shared" si="24"/>
        <v>#REF!</v>
      </c>
      <c r="F567" s="94" t="e">
        <f t="shared" si="25"/>
        <v>#REF!</v>
      </c>
      <c r="G567" s="29"/>
      <c r="H567" s="97" t="e">
        <f t="shared" si="26"/>
        <v>#REF!</v>
      </c>
    </row>
    <row r="568" spans="1:8" ht="20.100000000000001" customHeight="1">
      <c r="A568" s="22" t="s">
        <v>3885</v>
      </c>
      <c r="B568" s="22" t="s">
        <v>3884</v>
      </c>
      <c r="C568" s="23" t="s">
        <v>3886</v>
      </c>
      <c r="D568" s="30">
        <v>863.19150000000002</v>
      </c>
      <c r="E568" s="94">
        <f t="shared" si="24"/>
        <v>31.650355000000001</v>
      </c>
      <c r="F568" s="94">
        <f t="shared" si="25"/>
        <v>34.527659999999997</v>
      </c>
      <c r="G568" s="29"/>
      <c r="H568" s="97">
        <f t="shared" si="26"/>
        <v>31.388781818181819</v>
      </c>
    </row>
    <row r="569" spans="1:8" ht="20.100000000000001" customHeight="1">
      <c r="A569" s="22" t="s">
        <v>3888</v>
      </c>
      <c r="B569" s="22" t="s">
        <v>3887</v>
      </c>
      <c r="C569" s="23" t="s">
        <v>3889</v>
      </c>
      <c r="D569" s="30" t="e">
        <f>#REF!+#REF!</f>
        <v>#REF!</v>
      </c>
      <c r="E569" s="94" t="e">
        <f t="shared" si="24"/>
        <v>#REF!</v>
      </c>
      <c r="F569" s="94" t="e">
        <f t="shared" si="25"/>
        <v>#REF!</v>
      </c>
      <c r="G569" s="29"/>
      <c r="H569" s="97" t="e">
        <f t="shared" si="26"/>
        <v>#REF!</v>
      </c>
    </row>
    <row r="570" spans="1:8" ht="20.100000000000001" customHeight="1">
      <c r="A570" s="22" t="s">
        <v>3891</v>
      </c>
      <c r="B570" s="22" t="s">
        <v>3890</v>
      </c>
      <c r="C570" s="23" t="s">
        <v>3892</v>
      </c>
      <c r="D570" s="30">
        <v>1135.1526999999999</v>
      </c>
      <c r="E570" s="94">
        <f t="shared" si="24"/>
        <v>41.622265666666664</v>
      </c>
      <c r="F570" s="94">
        <f t="shared" si="25"/>
        <v>45.406107999999996</v>
      </c>
      <c r="G570" s="29"/>
      <c r="H570" s="97">
        <f t="shared" si="26"/>
        <v>41.278279999999995</v>
      </c>
    </row>
    <row r="571" spans="1:8" ht="20.100000000000001" customHeight="1">
      <c r="A571" s="22" t="s">
        <v>3891</v>
      </c>
      <c r="B571" s="22" t="s">
        <v>3890</v>
      </c>
      <c r="C571" s="23" t="s">
        <v>3893</v>
      </c>
      <c r="D571" s="30">
        <v>1135.1526999999999</v>
      </c>
      <c r="E571" s="94">
        <f t="shared" si="24"/>
        <v>41.622265666666664</v>
      </c>
      <c r="F571" s="94">
        <f t="shared" si="25"/>
        <v>45.406107999999996</v>
      </c>
      <c r="G571" s="29"/>
      <c r="H571" s="97">
        <f t="shared" si="26"/>
        <v>41.278279999999995</v>
      </c>
    </row>
    <row r="572" spans="1:8" ht="20.100000000000001" customHeight="1">
      <c r="A572" s="22" t="s">
        <v>3895</v>
      </c>
      <c r="B572" s="22" t="s">
        <v>3894</v>
      </c>
      <c r="C572" s="23" t="s">
        <v>3896</v>
      </c>
      <c r="D572" s="30">
        <v>736.45</v>
      </c>
      <c r="E572" s="94">
        <f t="shared" si="24"/>
        <v>27.003166666666672</v>
      </c>
      <c r="F572" s="94">
        <f t="shared" si="25"/>
        <v>29.458000000000002</v>
      </c>
      <c r="G572" s="29"/>
      <c r="H572" s="97">
        <f t="shared" si="26"/>
        <v>26.78</v>
      </c>
    </row>
    <row r="573" spans="1:8" ht="20.100000000000001" customHeight="1">
      <c r="A573" s="22" t="s">
        <v>3898</v>
      </c>
      <c r="B573" s="22" t="s">
        <v>3897</v>
      </c>
      <c r="C573" s="23" t="s">
        <v>3899</v>
      </c>
      <c r="D573" s="30">
        <v>1011.0068</v>
      </c>
      <c r="E573" s="94">
        <f t="shared" si="24"/>
        <v>37.070249333333336</v>
      </c>
      <c r="F573" s="94">
        <f t="shared" si="25"/>
        <v>40.440272</v>
      </c>
      <c r="G573" s="29"/>
      <c r="H573" s="97">
        <f t="shared" si="26"/>
        <v>36.76388363636363</v>
      </c>
    </row>
    <row r="574" spans="1:8" ht="20.100000000000001" customHeight="1">
      <c r="A574" s="21" t="s">
        <v>3901</v>
      </c>
      <c r="B574" s="21" t="s">
        <v>3900</v>
      </c>
      <c r="C574" s="28" t="s">
        <v>3902</v>
      </c>
      <c r="D574" s="30">
        <v>871.68899999999996</v>
      </c>
      <c r="E574" s="94">
        <f t="shared" si="24"/>
        <v>31.961930000000002</v>
      </c>
      <c r="F574" s="94">
        <f t="shared" si="25"/>
        <v>34.867559999999997</v>
      </c>
      <c r="G574" s="29"/>
      <c r="H574" s="97">
        <f t="shared" si="26"/>
        <v>31.697781818181813</v>
      </c>
    </row>
    <row r="575" spans="1:8" ht="20.100000000000001" customHeight="1">
      <c r="A575" s="22" t="s">
        <v>3904</v>
      </c>
      <c r="B575" s="22" t="s">
        <v>3903</v>
      </c>
      <c r="C575" s="23" t="s">
        <v>3905</v>
      </c>
      <c r="D575" s="30">
        <v>871.68899999999996</v>
      </c>
      <c r="E575" s="94">
        <f t="shared" si="24"/>
        <v>31.961930000000002</v>
      </c>
      <c r="F575" s="94">
        <f t="shared" si="25"/>
        <v>34.867559999999997</v>
      </c>
      <c r="G575" s="29"/>
      <c r="H575" s="97">
        <f t="shared" si="26"/>
        <v>31.697781818181813</v>
      </c>
    </row>
    <row r="576" spans="1:8" ht="20.100000000000001" customHeight="1">
      <c r="A576" s="22" t="s">
        <v>3907</v>
      </c>
      <c r="B576" s="22" t="s">
        <v>3906</v>
      </c>
      <c r="C576" s="23" t="s">
        <v>3908</v>
      </c>
      <c r="D576" s="30">
        <v>576.80000000000007</v>
      </c>
      <c r="E576" s="94">
        <f t="shared" si="24"/>
        <v>21.149333333333338</v>
      </c>
      <c r="F576" s="94">
        <f t="shared" si="25"/>
        <v>23.072000000000003</v>
      </c>
      <c r="G576" s="29"/>
      <c r="H576" s="97">
        <f t="shared" si="26"/>
        <v>20.974545454545456</v>
      </c>
    </row>
    <row r="577" spans="1:8" ht="20.100000000000001" customHeight="1">
      <c r="A577" s="22" t="s">
        <v>3910</v>
      </c>
      <c r="B577" s="22" t="s">
        <v>3909</v>
      </c>
      <c r="C577" s="23" t="s">
        <v>3911</v>
      </c>
      <c r="D577" s="30" t="e">
        <f>#REF!+#REF!</f>
        <v>#REF!</v>
      </c>
      <c r="E577" s="94" t="e">
        <f t="shared" si="24"/>
        <v>#REF!</v>
      </c>
      <c r="F577" s="94" t="e">
        <f t="shared" si="25"/>
        <v>#REF!</v>
      </c>
      <c r="G577" s="29"/>
      <c r="H577" s="97" t="e">
        <f t="shared" si="26"/>
        <v>#REF!</v>
      </c>
    </row>
    <row r="578" spans="1:8" ht="20.100000000000001" customHeight="1">
      <c r="A578" s="22" t="s">
        <v>3913</v>
      </c>
      <c r="B578" s="22" t="s">
        <v>3912</v>
      </c>
      <c r="C578" s="23" t="s">
        <v>3914</v>
      </c>
      <c r="D578" s="30">
        <v>798.25</v>
      </c>
      <c r="E578" s="94">
        <f t="shared" si="24"/>
        <v>29.269166666666667</v>
      </c>
      <c r="F578" s="94">
        <f t="shared" si="25"/>
        <v>31.93</v>
      </c>
      <c r="G578" s="29"/>
      <c r="H578" s="97">
        <f t="shared" si="26"/>
        <v>29.027272727272727</v>
      </c>
    </row>
    <row r="579" spans="1:8" ht="20.100000000000001" customHeight="1">
      <c r="A579" s="22" t="s">
        <v>3916</v>
      </c>
      <c r="B579" s="22" t="s">
        <v>3915</v>
      </c>
      <c r="C579" s="23" t="s">
        <v>3917</v>
      </c>
      <c r="D579" s="30">
        <v>991.97240000000011</v>
      </c>
      <c r="E579" s="94">
        <f t="shared" si="24"/>
        <v>36.372321333333346</v>
      </c>
      <c r="F579" s="94">
        <f t="shared" si="25"/>
        <v>39.678896000000002</v>
      </c>
      <c r="G579" s="29"/>
      <c r="H579" s="97">
        <f t="shared" si="26"/>
        <v>36.071723636363636</v>
      </c>
    </row>
    <row r="580" spans="1:8" ht="20.100000000000001" customHeight="1">
      <c r="A580" s="22" t="s">
        <v>3919</v>
      </c>
      <c r="B580" s="22" t="s">
        <v>3918</v>
      </c>
      <c r="C580" s="23" t="s">
        <v>3920</v>
      </c>
      <c r="D580" s="30" t="e">
        <f>#REF!+#REF!</f>
        <v>#REF!</v>
      </c>
      <c r="E580" s="94" t="e">
        <f t="shared" si="24"/>
        <v>#REF!</v>
      </c>
      <c r="F580" s="94" t="e">
        <f t="shared" si="25"/>
        <v>#REF!</v>
      </c>
      <c r="G580" s="29"/>
      <c r="H580" s="97" t="e">
        <f t="shared" si="26"/>
        <v>#REF!</v>
      </c>
    </row>
    <row r="581" spans="1:8" ht="20.100000000000001" customHeight="1">
      <c r="A581" s="21" t="s">
        <v>3922</v>
      </c>
      <c r="B581" s="21" t="s">
        <v>3921</v>
      </c>
      <c r="C581" s="28" t="s">
        <v>3923</v>
      </c>
      <c r="D581" s="30" t="e">
        <f>#REF!+#REF!</f>
        <v>#REF!</v>
      </c>
      <c r="E581" s="94" t="e">
        <f t="shared" ref="E581:E645" si="27">+(D581*1.1/30)</f>
        <v>#REF!</v>
      </c>
      <c r="F581" s="94" t="e">
        <f t="shared" ref="F581:F645" si="28">+(D581*1.2/30)</f>
        <v>#REF!</v>
      </c>
      <c r="G581" s="29"/>
      <c r="H581" s="97" t="e">
        <f t="shared" ref="H581:H645" si="29">+(D581*1.2/33)</f>
        <v>#REF!</v>
      </c>
    </row>
    <row r="582" spans="1:8" ht="20.100000000000001" customHeight="1">
      <c r="A582" s="22" t="s">
        <v>3925</v>
      </c>
      <c r="B582" s="22" t="s">
        <v>3924</v>
      </c>
      <c r="C582" s="23" t="s">
        <v>3926</v>
      </c>
      <c r="D582" s="30" t="e">
        <f>#REF!+#REF!</f>
        <v>#REF!</v>
      </c>
      <c r="E582" s="94" t="e">
        <f t="shared" si="27"/>
        <v>#REF!</v>
      </c>
      <c r="F582" s="94" t="e">
        <f t="shared" si="28"/>
        <v>#REF!</v>
      </c>
      <c r="G582" s="29"/>
      <c r="H582" s="97" t="e">
        <f t="shared" si="29"/>
        <v>#REF!</v>
      </c>
    </row>
    <row r="583" spans="1:8" ht="20.100000000000001" customHeight="1">
      <c r="A583" s="22" t="s">
        <v>3928</v>
      </c>
      <c r="B583" s="22" t="s">
        <v>3927</v>
      </c>
      <c r="C583" s="23" t="s">
        <v>3929</v>
      </c>
      <c r="D583" s="30">
        <v>525.30000000000007</v>
      </c>
      <c r="E583" s="94">
        <f t="shared" si="27"/>
        <v>19.261000000000006</v>
      </c>
      <c r="F583" s="94">
        <f t="shared" si="28"/>
        <v>21.012</v>
      </c>
      <c r="G583" s="29"/>
      <c r="H583" s="97">
        <f t="shared" si="29"/>
        <v>19.101818181818182</v>
      </c>
    </row>
    <row r="584" spans="1:8" ht="20.100000000000001" customHeight="1">
      <c r="A584" s="22" t="s">
        <v>3931</v>
      </c>
      <c r="B584" s="22" t="s">
        <v>3930</v>
      </c>
      <c r="C584" s="23" t="s">
        <v>3932</v>
      </c>
      <c r="D584" s="30" t="e">
        <f>#REF!+#REF!</f>
        <v>#REF!</v>
      </c>
      <c r="E584" s="94" t="e">
        <f t="shared" si="27"/>
        <v>#REF!</v>
      </c>
      <c r="F584" s="94" t="e">
        <f t="shared" si="28"/>
        <v>#REF!</v>
      </c>
      <c r="G584" s="29"/>
      <c r="H584" s="97" t="e">
        <f t="shared" si="29"/>
        <v>#REF!</v>
      </c>
    </row>
    <row r="585" spans="1:8" ht="20.100000000000001" customHeight="1">
      <c r="A585" s="22" t="s">
        <v>3934</v>
      </c>
      <c r="B585" s="22" t="s">
        <v>3933</v>
      </c>
      <c r="C585" s="23" t="s">
        <v>3935</v>
      </c>
      <c r="D585" s="30">
        <v>669.5</v>
      </c>
      <c r="E585" s="94">
        <f t="shared" si="27"/>
        <v>24.548333333333336</v>
      </c>
      <c r="F585" s="94">
        <f t="shared" si="28"/>
        <v>26.779999999999998</v>
      </c>
      <c r="G585" s="29"/>
      <c r="H585" s="97">
        <f t="shared" si="29"/>
        <v>24.345454545454544</v>
      </c>
    </row>
    <row r="586" spans="1:8" ht="20.100000000000001" customHeight="1">
      <c r="A586" s="22" t="s">
        <v>3937</v>
      </c>
      <c r="B586" s="22" t="s">
        <v>3936</v>
      </c>
      <c r="C586" s="23" t="s">
        <v>3938</v>
      </c>
      <c r="D586" s="30">
        <v>576.80000000000007</v>
      </c>
      <c r="E586" s="94">
        <f t="shared" si="27"/>
        <v>21.149333333333338</v>
      </c>
      <c r="F586" s="94">
        <f t="shared" si="28"/>
        <v>23.072000000000003</v>
      </c>
      <c r="G586" s="29"/>
      <c r="H586" s="97">
        <f t="shared" si="29"/>
        <v>20.974545454545456</v>
      </c>
    </row>
    <row r="587" spans="1:8" ht="20.100000000000001" customHeight="1">
      <c r="A587" s="22" t="s">
        <v>3940</v>
      </c>
      <c r="B587" s="22" t="s">
        <v>3939</v>
      </c>
      <c r="C587" s="23" t="s">
        <v>3941</v>
      </c>
      <c r="D587" s="30" t="e">
        <f>#REF!+#REF!</f>
        <v>#REF!</v>
      </c>
      <c r="E587" s="94" t="e">
        <f t="shared" si="27"/>
        <v>#REF!</v>
      </c>
      <c r="F587" s="94" t="e">
        <f t="shared" si="28"/>
        <v>#REF!</v>
      </c>
      <c r="G587" s="29"/>
      <c r="H587" s="97" t="e">
        <f t="shared" si="29"/>
        <v>#REF!</v>
      </c>
    </row>
    <row r="588" spans="1:8" ht="20.100000000000001" customHeight="1">
      <c r="A588" s="21" t="s">
        <v>3943</v>
      </c>
      <c r="B588" s="21" t="s">
        <v>3942</v>
      </c>
      <c r="C588" s="28" t="s">
        <v>3944</v>
      </c>
      <c r="D588" s="30" t="e">
        <f>#REF!+#REF!</f>
        <v>#REF!</v>
      </c>
      <c r="E588" s="94" t="e">
        <f t="shared" si="27"/>
        <v>#REF!</v>
      </c>
      <c r="F588" s="94" t="e">
        <f t="shared" si="28"/>
        <v>#REF!</v>
      </c>
      <c r="G588" s="29"/>
      <c r="H588" s="97" t="e">
        <f t="shared" si="29"/>
        <v>#REF!</v>
      </c>
    </row>
    <row r="589" spans="1:8" ht="20.100000000000001" customHeight="1">
      <c r="A589" s="21" t="s">
        <v>3946</v>
      </c>
      <c r="B589" s="21" t="s">
        <v>3945</v>
      </c>
      <c r="C589" s="28" t="s">
        <v>3947</v>
      </c>
      <c r="D589" s="30" t="e">
        <f>#REF!+#REF!</f>
        <v>#REF!</v>
      </c>
      <c r="E589" s="94" t="e">
        <f t="shared" si="27"/>
        <v>#REF!</v>
      </c>
      <c r="F589" s="94" t="e">
        <f t="shared" si="28"/>
        <v>#REF!</v>
      </c>
      <c r="G589" s="29"/>
      <c r="H589" s="97" t="e">
        <f t="shared" si="29"/>
        <v>#REF!</v>
      </c>
    </row>
    <row r="590" spans="1:8" ht="20.100000000000001" customHeight="1">
      <c r="A590" s="22" t="s">
        <v>3949</v>
      </c>
      <c r="B590" s="22" t="s">
        <v>3948</v>
      </c>
      <c r="C590" s="23" t="s">
        <v>3950</v>
      </c>
      <c r="D590" s="30" t="e">
        <f>#REF!+#REF!</f>
        <v>#REF!</v>
      </c>
      <c r="E590" s="94" t="e">
        <f t="shared" si="27"/>
        <v>#REF!</v>
      </c>
      <c r="F590" s="94" t="e">
        <f t="shared" si="28"/>
        <v>#REF!</v>
      </c>
      <c r="G590" s="29"/>
      <c r="H590" s="97" t="e">
        <f t="shared" si="29"/>
        <v>#REF!</v>
      </c>
    </row>
    <row r="591" spans="1:8" ht="20.100000000000001" customHeight="1">
      <c r="A591" s="22" t="s">
        <v>3951</v>
      </c>
      <c r="B591" s="22" t="s">
        <v>3685</v>
      </c>
      <c r="C591" s="23" t="s">
        <v>3952</v>
      </c>
      <c r="D591" s="30">
        <v>819.22080000000005</v>
      </c>
      <c r="E591" s="94">
        <f t="shared" si="27"/>
        <v>30.038096000000003</v>
      </c>
      <c r="F591" s="94">
        <f t="shared" si="28"/>
        <v>32.768832000000003</v>
      </c>
      <c r="G591" s="29"/>
      <c r="H591" s="97">
        <f t="shared" si="29"/>
        <v>29.789847272727275</v>
      </c>
    </row>
    <row r="592" spans="1:8" ht="20.100000000000001" customHeight="1">
      <c r="A592" s="21" t="s">
        <v>3954</v>
      </c>
      <c r="B592" s="21" t="s">
        <v>3953</v>
      </c>
      <c r="C592" s="28" t="s">
        <v>3955</v>
      </c>
      <c r="D592" s="30">
        <v>871.68899999999996</v>
      </c>
      <c r="E592" s="94">
        <f t="shared" si="27"/>
        <v>31.961930000000002</v>
      </c>
      <c r="F592" s="94">
        <f t="shared" si="28"/>
        <v>34.867559999999997</v>
      </c>
      <c r="G592" s="29"/>
      <c r="H592" s="97">
        <f t="shared" si="29"/>
        <v>31.697781818181813</v>
      </c>
    </row>
    <row r="593" spans="1:8" ht="20.100000000000001" customHeight="1">
      <c r="A593" s="21" t="s">
        <v>3957</v>
      </c>
      <c r="B593" s="21" t="s">
        <v>3956</v>
      </c>
      <c r="C593" s="28" t="s">
        <v>3958</v>
      </c>
      <c r="D593" s="30">
        <v>871.68899999999996</v>
      </c>
      <c r="E593" s="94">
        <f t="shared" si="27"/>
        <v>31.961930000000002</v>
      </c>
      <c r="F593" s="94">
        <f t="shared" si="28"/>
        <v>34.867559999999997</v>
      </c>
      <c r="G593" s="29"/>
      <c r="H593" s="97">
        <f t="shared" si="29"/>
        <v>31.697781818181813</v>
      </c>
    </row>
    <row r="594" spans="1:8" ht="20.100000000000001" customHeight="1">
      <c r="A594" s="21" t="s">
        <v>3960</v>
      </c>
      <c r="B594" s="21" t="s">
        <v>3959</v>
      </c>
      <c r="C594" s="28" t="s">
        <v>3961</v>
      </c>
      <c r="D594" s="30">
        <v>871.68899999999996</v>
      </c>
      <c r="E594" s="94">
        <f t="shared" si="27"/>
        <v>31.961930000000002</v>
      </c>
      <c r="F594" s="94">
        <f t="shared" si="28"/>
        <v>34.867559999999997</v>
      </c>
      <c r="G594" s="29"/>
      <c r="H594" s="97">
        <f t="shared" si="29"/>
        <v>31.697781818181813</v>
      </c>
    </row>
    <row r="595" spans="1:8" ht="20.100000000000001" customHeight="1">
      <c r="A595" s="22" t="s">
        <v>3963</v>
      </c>
      <c r="B595" s="22" t="s">
        <v>3962</v>
      </c>
      <c r="C595" s="23" t="s">
        <v>3964</v>
      </c>
      <c r="D595" s="30">
        <v>763.48750000000007</v>
      </c>
      <c r="E595" s="94">
        <f t="shared" si="27"/>
        <v>27.994541666666674</v>
      </c>
      <c r="F595" s="94">
        <f t="shared" si="28"/>
        <v>30.5395</v>
      </c>
      <c r="G595" s="29"/>
      <c r="H595" s="97">
        <f t="shared" si="29"/>
        <v>27.76318181818182</v>
      </c>
    </row>
    <row r="596" spans="1:8" ht="20.100000000000001" customHeight="1">
      <c r="A596" s="21" t="s">
        <v>3966</v>
      </c>
      <c r="B596" s="21" t="s">
        <v>3965</v>
      </c>
      <c r="C596" s="28" t="s">
        <v>3967</v>
      </c>
      <c r="D596" s="30" t="e">
        <f>#REF!+#REF!</f>
        <v>#REF!</v>
      </c>
      <c r="E596" s="94" t="e">
        <f t="shared" si="27"/>
        <v>#REF!</v>
      </c>
      <c r="F596" s="94" t="e">
        <f t="shared" si="28"/>
        <v>#REF!</v>
      </c>
      <c r="G596" s="29"/>
      <c r="H596" s="97" t="e">
        <f t="shared" si="29"/>
        <v>#REF!</v>
      </c>
    </row>
    <row r="597" spans="1:8" ht="20.100000000000001" customHeight="1">
      <c r="A597" s="22" t="s">
        <v>3969</v>
      </c>
      <c r="B597" s="22" t="s">
        <v>3968</v>
      </c>
      <c r="C597" s="23" t="s">
        <v>3970</v>
      </c>
      <c r="D597" s="30" t="e">
        <f>#REF!+#REF!</f>
        <v>#REF!</v>
      </c>
      <c r="E597" s="94" t="e">
        <f t="shared" si="27"/>
        <v>#REF!</v>
      </c>
      <c r="F597" s="94" t="e">
        <f t="shared" si="28"/>
        <v>#REF!</v>
      </c>
      <c r="G597" s="29"/>
      <c r="H597" s="97" t="e">
        <f t="shared" si="29"/>
        <v>#REF!</v>
      </c>
    </row>
    <row r="598" spans="1:8" ht="20.100000000000001" customHeight="1">
      <c r="A598" s="22" t="s">
        <v>3972</v>
      </c>
      <c r="B598" s="22" t="s">
        <v>3971</v>
      </c>
      <c r="C598" s="23" t="s">
        <v>3973</v>
      </c>
      <c r="D598" s="30">
        <v>1011.0068</v>
      </c>
      <c r="E598" s="94">
        <f t="shared" si="27"/>
        <v>37.070249333333336</v>
      </c>
      <c r="F598" s="94">
        <f t="shared" si="28"/>
        <v>40.440272</v>
      </c>
      <c r="G598" s="29"/>
      <c r="H598" s="97">
        <f t="shared" si="29"/>
        <v>36.76388363636363</v>
      </c>
    </row>
    <row r="599" spans="1:8" ht="20.100000000000001" customHeight="1">
      <c r="A599" s="21" t="s">
        <v>3975</v>
      </c>
      <c r="B599" s="21" t="s">
        <v>3974</v>
      </c>
      <c r="C599" s="28" t="s">
        <v>3976</v>
      </c>
      <c r="D599" s="30">
        <v>679.92360000000008</v>
      </c>
      <c r="E599" s="94">
        <f t="shared" si="27"/>
        <v>24.930532000000007</v>
      </c>
      <c r="F599" s="94">
        <f t="shared" si="28"/>
        <v>27.196944000000006</v>
      </c>
      <c r="G599" s="29"/>
      <c r="H599" s="97">
        <f t="shared" si="29"/>
        <v>24.724494545454547</v>
      </c>
    </row>
    <row r="600" spans="1:8" ht="20.100000000000001" customHeight="1">
      <c r="A600" s="22" t="s">
        <v>3978</v>
      </c>
      <c r="B600" s="22" t="s">
        <v>3977</v>
      </c>
      <c r="C600" s="23" t="s">
        <v>3979</v>
      </c>
      <c r="D600" s="30">
        <v>791.35929999999996</v>
      </c>
      <c r="E600" s="94">
        <f t="shared" si="27"/>
        <v>29.016507666666666</v>
      </c>
      <c r="F600" s="94">
        <f t="shared" si="28"/>
        <v>31.654371999999999</v>
      </c>
      <c r="G600" s="29"/>
      <c r="H600" s="97">
        <f t="shared" si="29"/>
        <v>28.776701818181817</v>
      </c>
    </row>
    <row r="601" spans="1:8" ht="20.100000000000001" customHeight="1">
      <c r="A601" s="22" t="s">
        <v>3981</v>
      </c>
      <c r="B601" s="22" t="s">
        <v>3980</v>
      </c>
      <c r="C601" s="23" t="s">
        <v>3982</v>
      </c>
      <c r="D601" s="30">
        <v>652.03120000000001</v>
      </c>
      <c r="E601" s="94">
        <f t="shared" si="27"/>
        <v>23.907810666666666</v>
      </c>
      <c r="F601" s="94">
        <f t="shared" si="28"/>
        <v>26.081248000000002</v>
      </c>
      <c r="G601" s="29"/>
      <c r="H601" s="97">
        <f t="shared" si="29"/>
        <v>23.710225454545455</v>
      </c>
    </row>
    <row r="602" spans="1:8" ht="20.100000000000001" customHeight="1">
      <c r="A602" s="22" t="s">
        <v>3984</v>
      </c>
      <c r="B602" s="22" t="s">
        <v>3983</v>
      </c>
      <c r="C602" s="23" t="s">
        <v>3985</v>
      </c>
      <c r="D602" s="30">
        <v>652.03120000000001</v>
      </c>
      <c r="E602" s="94">
        <f t="shared" si="27"/>
        <v>23.907810666666666</v>
      </c>
      <c r="F602" s="94">
        <f t="shared" si="28"/>
        <v>26.081248000000002</v>
      </c>
      <c r="G602" s="29"/>
      <c r="H602" s="97">
        <f t="shared" si="29"/>
        <v>23.710225454545455</v>
      </c>
    </row>
    <row r="603" spans="1:8" ht="20.100000000000001" customHeight="1">
      <c r="A603" s="22" t="s">
        <v>3987</v>
      </c>
      <c r="B603" s="22" t="s">
        <v>3986</v>
      </c>
      <c r="C603" s="23" t="s">
        <v>3988</v>
      </c>
      <c r="D603" s="30">
        <v>763.48750000000007</v>
      </c>
      <c r="E603" s="94">
        <f t="shared" si="27"/>
        <v>27.994541666666674</v>
      </c>
      <c r="F603" s="94">
        <f t="shared" si="28"/>
        <v>30.5395</v>
      </c>
      <c r="G603" s="29"/>
      <c r="H603" s="97">
        <f t="shared" si="29"/>
        <v>27.76318181818182</v>
      </c>
    </row>
    <row r="604" spans="1:8" ht="20.100000000000001" customHeight="1">
      <c r="A604" s="22" t="s">
        <v>3990</v>
      </c>
      <c r="B604" s="22" t="s">
        <v>3989</v>
      </c>
      <c r="C604" s="23" t="s">
        <v>3991</v>
      </c>
      <c r="D604" s="30">
        <v>590.72559999999999</v>
      </c>
      <c r="E604" s="94">
        <f t="shared" si="27"/>
        <v>21.659938666666669</v>
      </c>
      <c r="F604" s="94">
        <f t="shared" si="28"/>
        <v>23.629024000000001</v>
      </c>
      <c r="G604" s="29"/>
      <c r="H604" s="97">
        <f t="shared" si="29"/>
        <v>21.480930909090908</v>
      </c>
    </row>
    <row r="605" spans="1:8" ht="20.100000000000001" customHeight="1">
      <c r="A605" s="22" t="s">
        <v>3993</v>
      </c>
      <c r="B605" s="22" t="s">
        <v>3992</v>
      </c>
      <c r="C605" s="23" t="s">
        <v>3994</v>
      </c>
      <c r="D605" s="30" t="e">
        <f>#REF!+#REF!</f>
        <v>#REF!</v>
      </c>
      <c r="E605" s="94" t="e">
        <f t="shared" si="27"/>
        <v>#REF!</v>
      </c>
      <c r="F605" s="94" t="e">
        <f t="shared" si="28"/>
        <v>#REF!</v>
      </c>
      <c r="G605" s="29"/>
      <c r="H605" s="97" t="e">
        <f t="shared" si="29"/>
        <v>#REF!</v>
      </c>
    </row>
    <row r="606" spans="1:8" ht="20.100000000000001" customHeight="1">
      <c r="A606" s="22" t="s">
        <v>3996</v>
      </c>
      <c r="B606" s="22" t="s">
        <v>3995</v>
      </c>
      <c r="C606" s="23" t="s">
        <v>3997</v>
      </c>
      <c r="D606" s="30" t="e">
        <f>#REF!+#REF!</f>
        <v>#REF!</v>
      </c>
      <c r="E606" s="94" t="e">
        <f t="shared" si="27"/>
        <v>#REF!</v>
      </c>
      <c r="F606" s="94" t="e">
        <f t="shared" si="28"/>
        <v>#REF!</v>
      </c>
      <c r="G606" s="29"/>
      <c r="H606" s="97" t="e">
        <f t="shared" si="29"/>
        <v>#REF!</v>
      </c>
    </row>
    <row r="607" spans="1:8" ht="20.100000000000001" customHeight="1">
      <c r="A607" s="22" t="s">
        <v>3999</v>
      </c>
      <c r="B607" s="22" t="s">
        <v>3998</v>
      </c>
      <c r="C607" s="23" t="s">
        <v>4000</v>
      </c>
      <c r="D607" s="30" t="e">
        <f>#REF!+#REF!</f>
        <v>#REF!</v>
      </c>
      <c r="E607" s="94" t="e">
        <f t="shared" si="27"/>
        <v>#REF!</v>
      </c>
      <c r="F607" s="94" t="e">
        <f t="shared" si="28"/>
        <v>#REF!</v>
      </c>
      <c r="G607" s="29"/>
      <c r="H607" s="97" t="e">
        <f t="shared" si="29"/>
        <v>#REF!</v>
      </c>
    </row>
    <row r="608" spans="1:8" ht="20.100000000000001" customHeight="1">
      <c r="A608" s="22" t="s">
        <v>4002</v>
      </c>
      <c r="B608" s="22" t="s">
        <v>4001</v>
      </c>
      <c r="C608" s="23" t="s">
        <v>4003</v>
      </c>
      <c r="D608" s="30">
        <v>693.11789999999996</v>
      </c>
      <c r="E608" s="94">
        <f t="shared" si="27"/>
        <v>25.414323000000003</v>
      </c>
      <c r="F608" s="94">
        <f t="shared" si="28"/>
        <v>27.724715999999997</v>
      </c>
      <c r="G608" s="29"/>
      <c r="H608" s="97">
        <f t="shared" si="29"/>
        <v>25.204287272727271</v>
      </c>
    </row>
    <row r="609" spans="1:8" ht="20.100000000000001" customHeight="1">
      <c r="A609" s="22" t="s">
        <v>4005</v>
      </c>
      <c r="B609" s="22" t="s">
        <v>4004</v>
      </c>
      <c r="C609" s="23" t="s">
        <v>4006</v>
      </c>
      <c r="D609" s="30" t="e">
        <f>#REF!+#REF!</f>
        <v>#REF!</v>
      </c>
      <c r="E609" s="94" t="e">
        <f t="shared" si="27"/>
        <v>#REF!</v>
      </c>
      <c r="F609" s="94" t="e">
        <f t="shared" si="28"/>
        <v>#REF!</v>
      </c>
      <c r="G609" s="29"/>
      <c r="H609" s="97" t="e">
        <f t="shared" si="29"/>
        <v>#REF!</v>
      </c>
    </row>
    <row r="610" spans="1:8" ht="20.100000000000001" customHeight="1">
      <c r="A610" s="21" t="s">
        <v>4008</v>
      </c>
      <c r="B610" s="21" t="s">
        <v>4007</v>
      </c>
      <c r="C610" s="28" t="s">
        <v>4009</v>
      </c>
      <c r="D610" s="30" t="e">
        <f>#REF!+#REF!</f>
        <v>#REF!</v>
      </c>
      <c r="E610" s="94" t="e">
        <f t="shared" si="27"/>
        <v>#REF!</v>
      </c>
      <c r="F610" s="94" t="e">
        <f t="shared" si="28"/>
        <v>#REF!</v>
      </c>
      <c r="G610" s="29"/>
      <c r="H610" s="97" t="e">
        <f t="shared" si="29"/>
        <v>#REF!</v>
      </c>
    </row>
    <row r="611" spans="1:8" ht="20.100000000000001" customHeight="1">
      <c r="A611" s="22" t="s">
        <v>4011</v>
      </c>
      <c r="B611" s="22" t="s">
        <v>4010</v>
      </c>
      <c r="C611" s="23" t="s">
        <v>4012</v>
      </c>
      <c r="D611" s="30" t="e">
        <f>#REF!+#REF!</f>
        <v>#REF!</v>
      </c>
      <c r="E611" s="94" t="e">
        <f t="shared" si="27"/>
        <v>#REF!</v>
      </c>
      <c r="F611" s="94" t="e">
        <f t="shared" si="28"/>
        <v>#REF!</v>
      </c>
      <c r="G611" s="29"/>
      <c r="H611" s="97" t="e">
        <f t="shared" si="29"/>
        <v>#REF!</v>
      </c>
    </row>
    <row r="612" spans="1:8" ht="20.100000000000001" customHeight="1">
      <c r="A612" s="22" t="s">
        <v>4014</v>
      </c>
      <c r="B612" s="22" t="s">
        <v>4013</v>
      </c>
      <c r="C612" s="23" t="s">
        <v>4015</v>
      </c>
      <c r="D612" s="30" t="e">
        <f>#REF!+#REF!</f>
        <v>#REF!</v>
      </c>
      <c r="E612" s="94" t="e">
        <f t="shared" si="27"/>
        <v>#REF!</v>
      </c>
      <c r="F612" s="94" t="e">
        <f t="shared" si="28"/>
        <v>#REF!</v>
      </c>
      <c r="G612" s="29"/>
      <c r="H612" s="97" t="e">
        <f t="shared" si="29"/>
        <v>#REF!</v>
      </c>
    </row>
    <row r="613" spans="1:8" ht="20.100000000000001" customHeight="1">
      <c r="A613" s="22" t="s">
        <v>4017</v>
      </c>
      <c r="B613" s="22" t="s">
        <v>4016</v>
      </c>
      <c r="C613" s="23" t="s">
        <v>4018</v>
      </c>
      <c r="D613" s="30">
        <v>827.72860000000003</v>
      </c>
      <c r="E613" s="94">
        <f t="shared" si="27"/>
        <v>30.35004866666667</v>
      </c>
      <c r="F613" s="94">
        <f t="shared" si="28"/>
        <v>33.109144000000001</v>
      </c>
      <c r="G613" s="29"/>
      <c r="H613" s="97">
        <f t="shared" si="29"/>
        <v>30.099221818181817</v>
      </c>
    </row>
    <row r="614" spans="1:8" ht="20.100000000000001" customHeight="1">
      <c r="A614" s="22" t="s">
        <v>4020</v>
      </c>
      <c r="B614" s="22" t="s">
        <v>4019</v>
      </c>
      <c r="C614" s="23" t="s">
        <v>4021</v>
      </c>
      <c r="D614" s="30" t="e">
        <f>#REF!+#REF!</f>
        <v>#REF!</v>
      </c>
      <c r="E614" s="94" t="e">
        <f t="shared" si="27"/>
        <v>#REF!</v>
      </c>
      <c r="F614" s="94" t="e">
        <f t="shared" si="28"/>
        <v>#REF!</v>
      </c>
      <c r="G614" s="29"/>
      <c r="H614" s="97" t="e">
        <f t="shared" si="29"/>
        <v>#REF!</v>
      </c>
    </row>
    <row r="615" spans="1:8" ht="20.100000000000001" customHeight="1">
      <c r="A615" s="22" t="s">
        <v>4023</v>
      </c>
      <c r="B615" s="22" t="s">
        <v>4022</v>
      </c>
      <c r="C615" s="23" t="s">
        <v>4024</v>
      </c>
      <c r="D615" s="30" t="e">
        <f>#REF!+#REF!</f>
        <v>#REF!</v>
      </c>
      <c r="E615" s="94" t="e">
        <f t="shared" si="27"/>
        <v>#REF!</v>
      </c>
      <c r="F615" s="94" t="e">
        <f t="shared" si="28"/>
        <v>#REF!</v>
      </c>
      <c r="G615" s="29"/>
      <c r="H615" s="97" t="e">
        <f t="shared" si="29"/>
        <v>#REF!</v>
      </c>
    </row>
    <row r="616" spans="1:8" ht="20.100000000000001" customHeight="1">
      <c r="A616" s="22" t="s">
        <v>4026</v>
      </c>
      <c r="B616" s="22" t="s">
        <v>4025</v>
      </c>
      <c r="C616" s="23" t="s">
        <v>4027</v>
      </c>
      <c r="D616" s="30">
        <v>863.19150000000002</v>
      </c>
      <c r="E616" s="94">
        <f t="shared" si="27"/>
        <v>31.650355000000001</v>
      </c>
      <c r="F616" s="94">
        <f t="shared" si="28"/>
        <v>34.527659999999997</v>
      </c>
      <c r="G616" s="29"/>
      <c r="H616" s="97">
        <f t="shared" si="29"/>
        <v>31.388781818181819</v>
      </c>
    </row>
    <row r="617" spans="1:8" ht="20.100000000000001" customHeight="1">
      <c r="A617" s="21" t="s">
        <v>4029</v>
      </c>
      <c r="B617" s="21" t="s">
        <v>4028</v>
      </c>
      <c r="C617" s="28" t="s">
        <v>4030</v>
      </c>
      <c r="D617" s="30" t="e">
        <f>#REF!+#REF!</f>
        <v>#REF!</v>
      </c>
      <c r="E617" s="94" t="e">
        <f t="shared" si="27"/>
        <v>#REF!</v>
      </c>
      <c r="F617" s="94" t="e">
        <f t="shared" si="28"/>
        <v>#REF!</v>
      </c>
      <c r="G617" s="29"/>
      <c r="H617" s="97" t="e">
        <f t="shared" si="29"/>
        <v>#REF!</v>
      </c>
    </row>
    <row r="618" spans="1:8" ht="20.100000000000001" customHeight="1">
      <c r="A618" s="21" t="s">
        <v>4032</v>
      </c>
      <c r="B618" s="21" t="s">
        <v>4031</v>
      </c>
      <c r="C618" s="28" t="s">
        <v>4033</v>
      </c>
      <c r="D618" s="30">
        <v>679.92360000000008</v>
      </c>
      <c r="E618" s="94">
        <f t="shared" si="27"/>
        <v>24.930532000000007</v>
      </c>
      <c r="F618" s="94">
        <f t="shared" si="28"/>
        <v>27.196944000000006</v>
      </c>
      <c r="G618" s="29"/>
      <c r="H618" s="97">
        <f t="shared" si="29"/>
        <v>24.724494545454547</v>
      </c>
    </row>
    <row r="619" spans="1:8" ht="20.100000000000001" customHeight="1">
      <c r="A619" s="21" t="s">
        <v>4035</v>
      </c>
      <c r="B619" s="21" t="s">
        <v>4034</v>
      </c>
      <c r="C619" s="28" t="s">
        <v>4036</v>
      </c>
      <c r="D619" s="30">
        <v>863.19150000000002</v>
      </c>
      <c r="E619" s="94">
        <f t="shared" si="27"/>
        <v>31.650355000000001</v>
      </c>
      <c r="F619" s="94">
        <f t="shared" si="28"/>
        <v>34.527659999999997</v>
      </c>
      <c r="G619" s="29"/>
      <c r="H619" s="97">
        <f t="shared" si="29"/>
        <v>31.388781818181819</v>
      </c>
    </row>
    <row r="620" spans="1:8" ht="20.100000000000001" customHeight="1">
      <c r="A620" s="22" t="s">
        <v>4038</v>
      </c>
      <c r="B620" s="22" t="s">
        <v>4037</v>
      </c>
      <c r="C620" s="23" t="s">
        <v>4039</v>
      </c>
      <c r="D620" s="30">
        <v>591.22</v>
      </c>
      <c r="E620" s="94">
        <f t="shared" si="27"/>
        <v>21.67806666666667</v>
      </c>
      <c r="F620" s="94">
        <f t="shared" si="28"/>
        <v>23.648800000000001</v>
      </c>
      <c r="G620" s="29"/>
      <c r="H620" s="97">
        <f t="shared" si="29"/>
        <v>21.498909090909091</v>
      </c>
    </row>
    <row r="621" spans="1:8" ht="20.100000000000001" customHeight="1">
      <c r="A621" s="22" t="s">
        <v>4041</v>
      </c>
      <c r="B621" s="22" t="s">
        <v>4040</v>
      </c>
      <c r="C621" s="23" t="s">
        <v>3663</v>
      </c>
      <c r="D621" s="30" t="e">
        <f>#REF!+#REF!</f>
        <v>#REF!</v>
      </c>
      <c r="E621" s="94" t="e">
        <f t="shared" si="27"/>
        <v>#REF!</v>
      </c>
      <c r="F621" s="94" t="e">
        <f t="shared" si="28"/>
        <v>#REF!</v>
      </c>
      <c r="G621" s="29"/>
      <c r="H621" s="97" t="e">
        <f t="shared" si="29"/>
        <v>#REF!</v>
      </c>
    </row>
    <row r="622" spans="1:8" ht="20.100000000000001" customHeight="1">
      <c r="A622" s="22" t="s">
        <v>4043</v>
      </c>
      <c r="B622" s="22" t="s">
        <v>4042</v>
      </c>
      <c r="C622" s="23" t="s">
        <v>4044</v>
      </c>
      <c r="D622" s="30" t="e">
        <f>#REF!+#REF!</f>
        <v>#REF!</v>
      </c>
      <c r="E622" s="94" t="e">
        <f t="shared" si="27"/>
        <v>#REF!</v>
      </c>
      <c r="F622" s="94" t="e">
        <f t="shared" si="28"/>
        <v>#REF!</v>
      </c>
      <c r="G622" s="29"/>
      <c r="H622" s="97" t="e">
        <f t="shared" si="29"/>
        <v>#REF!</v>
      </c>
    </row>
    <row r="623" spans="1:8" ht="20.100000000000001" customHeight="1">
      <c r="A623" s="21" t="s">
        <v>4046</v>
      </c>
      <c r="B623" s="21" t="s">
        <v>4045</v>
      </c>
      <c r="C623" s="28" t="s">
        <v>4047</v>
      </c>
      <c r="D623" s="30">
        <v>503.67</v>
      </c>
      <c r="E623" s="94">
        <f t="shared" si="27"/>
        <v>18.4679</v>
      </c>
      <c r="F623" s="94">
        <f t="shared" si="28"/>
        <v>20.146799999999999</v>
      </c>
      <c r="G623" s="29"/>
      <c r="H623" s="97">
        <f t="shared" si="29"/>
        <v>18.315272727272728</v>
      </c>
    </row>
    <row r="624" spans="1:8" ht="20.100000000000001" customHeight="1">
      <c r="A624" s="21" t="s">
        <v>4049</v>
      </c>
      <c r="B624" s="21" t="s">
        <v>4048</v>
      </c>
      <c r="C624" s="28" t="s">
        <v>4050</v>
      </c>
      <c r="D624" s="30">
        <v>618</v>
      </c>
      <c r="E624" s="94">
        <f t="shared" si="27"/>
        <v>22.660000000000004</v>
      </c>
      <c r="F624" s="94">
        <f t="shared" si="28"/>
        <v>24.720000000000002</v>
      </c>
      <c r="G624" s="29"/>
      <c r="H624" s="97">
        <f t="shared" si="29"/>
        <v>22.472727272727273</v>
      </c>
    </row>
    <row r="625" spans="1:9" ht="20.100000000000001" customHeight="1">
      <c r="A625" s="21" t="s">
        <v>4052</v>
      </c>
      <c r="B625" s="21" t="s">
        <v>4051</v>
      </c>
      <c r="C625" s="28" t="s">
        <v>4053</v>
      </c>
      <c r="D625" s="30" t="e">
        <f>#REF!+#REF!</f>
        <v>#REF!</v>
      </c>
      <c r="E625" s="94" t="e">
        <f t="shared" si="27"/>
        <v>#REF!</v>
      </c>
      <c r="F625" s="94" t="e">
        <f t="shared" si="28"/>
        <v>#REF!</v>
      </c>
      <c r="G625" s="29"/>
      <c r="H625" s="97" t="e">
        <f t="shared" si="29"/>
        <v>#REF!</v>
      </c>
    </row>
    <row r="626" spans="1:9" ht="20.100000000000001" customHeight="1">
      <c r="A626" s="22" t="s">
        <v>4055</v>
      </c>
      <c r="B626" s="22" t="s">
        <v>4054</v>
      </c>
      <c r="C626" s="23" t="s">
        <v>4056</v>
      </c>
      <c r="D626" s="30">
        <v>576.80000000000007</v>
      </c>
      <c r="E626" s="94">
        <f t="shared" si="27"/>
        <v>21.149333333333338</v>
      </c>
      <c r="F626" s="94">
        <f t="shared" si="28"/>
        <v>23.072000000000003</v>
      </c>
      <c r="G626" s="29"/>
      <c r="H626" s="97">
        <f t="shared" si="29"/>
        <v>20.974545454545456</v>
      </c>
    </row>
    <row r="627" spans="1:9" ht="20.100000000000001" customHeight="1">
      <c r="A627" s="22" t="s">
        <v>4058</v>
      </c>
      <c r="B627" s="22" t="s">
        <v>4057</v>
      </c>
      <c r="C627" s="23" t="s">
        <v>4059</v>
      </c>
      <c r="D627" s="30">
        <v>607.70000000000005</v>
      </c>
      <c r="E627" s="94">
        <f t="shared" si="27"/>
        <v>22.282333333333337</v>
      </c>
      <c r="F627" s="94">
        <f t="shared" si="28"/>
        <v>24.308</v>
      </c>
      <c r="G627" s="29"/>
      <c r="H627" s="97">
        <f t="shared" si="29"/>
        <v>22.098181818181818</v>
      </c>
    </row>
    <row r="628" spans="1:9" ht="20.100000000000001" customHeight="1">
      <c r="A628" s="21" t="s">
        <v>4061</v>
      </c>
      <c r="B628" s="21" t="s">
        <v>4060</v>
      </c>
      <c r="C628" s="28" t="s">
        <v>4047</v>
      </c>
      <c r="D628" s="30">
        <v>508.82</v>
      </c>
      <c r="E628" s="94">
        <f t="shared" si="27"/>
        <v>18.656733333333332</v>
      </c>
      <c r="F628" s="94">
        <f t="shared" si="28"/>
        <v>20.352799999999998</v>
      </c>
      <c r="G628" s="29"/>
      <c r="H628" s="97">
        <f t="shared" si="29"/>
        <v>18.502545454545452</v>
      </c>
    </row>
    <row r="629" spans="1:9" ht="20.100000000000001" customHeight="1">
      <c r="A629" s="21" t="s">
        <v>4063</v>
      </c>
      <c r="B629" s="21" t="s">
        <v>4062</v>
      </c>
      <c r="C629" s="28" t="s">
        <v>4064</v>
      </c>
      <c r="D629" s="30" t="e">
        <f>#REF!+#REF!</f>
        <v>#REF!</v>
      </c>
      <c r="E629" s="94" t="e">
        <f t="shared" si="27"/>
        <v>#REF!</v>
      </c>
      <c r="F629" s="94" t="e">
        <f t="shared" si="28"/>
        <v>#REF!</v>
      </c>
      <c r="G629" s="29"/>
      <c r="H629" s="97" t="e">
        <f t="shared" si="29"/>
        <v>#REF!</v>
      </c>
    </row>
    <row r="630" spans="1:9" ht="20.100000000000001" customHeight="1">
      <c r="A630" s="22" t="s">
        <v>4066</v>
      </c>
      <c r="B630" s="22" t="s">
        <v>4065</v>
      </c>
      <c r="C630" s="23" t="s">
        <v>4067</v>
      </c>
      <c r="D630" s="30" t="e">
        <f>#REF!+#REF!</f>
        <v>#REF!</v>
      </c>
      <c r="E630" s="94" t="e">
        <f t="shared" si="27"/>
        <v>#REF!</v>
      </c>
      <c r="F630" s="94" t="e">
        <f t="shared" si="28"/>
        <v>#REF!</v>
      </c>
      <c r="G630" s="29"/>
      <c r="H630" s="97" t="e">
        <f t="shared" si="29"/>
        <v>#REF!</v>
      </c>
    </row>
    <row r="631" spans="1:9" ht="20.100000000000001" customHeight="1">
      <c r="A631" s="22" t="s">
        <v>4069</v>
      </c>
      <c r="B631" s="22" t="s">
        <v>4068</v>
      </c>
      <c r="C631" s="23" t="s">
        <v>4070</v>
      </c>
      <c r="D631" s="30" t="e">
        <f>#REF!+#REF!</f>
        <v>#REF!</v>
      </c>
      <c r="E631" s="94" t="e">
        <f t="shared" si="27"/>
        <v>#REF!</v>
      </c>
      <c r="F631" s="94" t="e">
        <f t="shared" si="28"/>
        <v>#REF!</v>
      </c>
      <c r="G631" s="29"/>
      <c r="H631" s="97" t="e">
        <f t="shared" si="29"/>
        <v>#REF!</v>
      </c>
    </row>
    <row r="632" spans="1:9" ht="20.100000000000001" customHeight="1">
      <c r="A632" s="22" t="s">
        <v>4072</v>
      </c>
      <c r="B632" s="22" t="s">
        <v>4071</v>
      </c>
      <c r="C632" s="23" t="s">
        <v>4073</v>
      </c>
      <c r="D632" s="30" t="e">
        <f>#REF!+#REF!</f>
        <v>#REF!</v>
      </c>
      <c r="E632" s="94" t="e">
        <f t="shared" si="27"/>
        <v>#REF!</v>
      </c>
      <c r="F632" s="94" t="e">
        <f t="shared" si="28"/>
        <v>#REF!</v>
      </c>
      <c r="G632" s="29"/>
      <c r="H632" s="97" t="e">
        <f t="shared" si="29"/>
        <v>#REF!</v>
      </c>
    </row>
    <row r="633" spans="1:9" ht="20.100000000000001" customHeight="1">
      <c r="A633" s="22" t="s">
        <v>4075</v>
      </c>
      <c r="B633" s="22" t="s">
        <v>4074</v>
      </c>
      <c r="C633" s="23" t="s">
        <v>4076</v>
      </c>
      <c r="D633" s="30">
        <v>628.30000000000007</v>
      </c>
      <c r="E633" s="94">
        <f t="shared" si="27"/>
        <v>23.03766666666667</v>
      </c>
      <c r="F633" s="94">
        <f t="shared" si="28"/>
        <v>25.132000000000001</v>
      </c>
      <c r="G633" s="29"/>
      <c r="H633" s="97">
        <f t="shared" si="29"/>
        <v>22.847272727272728</v>
      </c>
    </row>
    <row r="634" spans="1:9" ht="20.100000000000001" customHeight="1">
      <c r="A634" s="22" t="s">
        <v>3638</v>
      </c>
      <c r="B634" s="22" t="s">
        <v>3637</v>
      </c>
      <c r="C634" s="23" t="s">
        <v>3639</v>
      </c>
      <c r="D634" s="30">
        <v>576.80000000000007</v>
      </c>
      <c r="E634" s="94">
        <f t="shared" si="27"/>
        <v>21.149333333333338</v>
      </c>
      <c r="F634" s="94">
        <f t="shared" si="28"/>
        <v>23.072000000000003</v>
      </c>
      <c r="G634" s="29"/>
      <c r="H634" s="97">
        <f t="shared" si="29"/>
        <v>20.974545454545456</v>
      </c>
    </row>
    <row r="635" spans="1:9" ht="20.100000000000001" customHeight="1">
      <c r="A635" s="22" t="s">
        <v>8385</v>
      </c>
      <c r="B635" s="22" t="s">
        <v>8386</v>
      </c>
      <c r="C635" s="23" t="s">
        <v>8387</v>
      </c>
      <c r="D635" s="30">
        <v>1060</v>
      </c>
      <c r="G635" s="29"/>
      <c r="I635" s="54">
        <v>45014</v>
      </c>
    </row>
    <row r="636" spans="1:9" ht="20.100000000000001" customHeight="1">
      <c r="A636" s="21" t="s">
        <v>4078</v>
      </c>
      <c r="B636" s="21" t="s">
        <v>4077</v>
      </c>
      <c r="C636" s="28" t="s">
        <v>4079</v>
      </c>
      <c r="D636" s="30" t="e">
        <f>#REF!+#REF!</f>
        <v>#REF!</v>
      </c>
      <c r="E636" s="94" t="e">
        <f t="shared" si="27"/>
        <v>#REF!</v>
      </c>
      <c r="F636" s="94" t="e">
        <f t="shared" si="28"/>
        <v>#REF!</v>
      </c>
      <c r="G636" s="29"/>
      <c r="H636" s="97" t="e">
        <f t="shared" si="29"/>
        <v>#REF!</v>
      </c>
    </row>
    <row r="637" spans="1:9" ht="20.100000000000001" customHeight="1">
      <c r="A637" s="21" t="s">
        <v>4081</v>
      </c>
      <c r="B637" s="21" t="s">
        <v>4080</v>
      </c>
      <c r="C637" s="28" t="s">
        <v>4082</v>
      </c>
      <c r="D637" s="30">
        <v>580.0136</v>
      </c>
      <c r="E637" s="94">
        <f t="shared" si="27"/>
        <v>21.267165333333335</v>
      </c>
      <c r="F637" s="94">
        <f t="shared" si="28"/>
        <v>23.200543999999997</v>
      </c>
      <c r="G637" s="29"/>
      <c r="H637" s="97">
        <f t="shared" si="29"/>
        <v>21.091403636363633</v>
      </c>
    </row>
    <row r="638" spans="1:9" ht="20.100000000000001" customHeight="1">
      <c r="A638" s="22" t="s">
        <v>4084</v>
      </c>
      <c r="B638" s="22" t="s">
        <v>4083</v>
      </c>
      <c r="C638" s="23" t="s">
        <v>4085</v>
      </c>
      <c r="D638" s="30">
        <v>515</v>
      </c>
      <c r="E638" s="94">
        <f t="shared" si="27"/>
        <v>18.883333333333333</v>
      </c>
      <c r="F638" s="94">
        <f t="shared" si="28"/>
        <v>20.6</v>
      </c>
      <c r="G638" s="29"/>
      <c r="H638" s="97">
        <f t="shared" si="29"/>
        <v>18.727272727272727</v>
      </c>
    </row>
    <row r="639" spans="1:9" ht="20.100000000000001" customHeight="1">
      <c r="A639" s="22" t="s">
        <v>4087</v>
      </c>
      <c r="B639" s="22" t="s">
        <v>4086</v>
      </c>
      <c r="C639" s="23" t="s">
        <v>4088</v>
      </c>
      <c r="D639" s="30">
        <v>710.7</v>
      </c>
      <c r="E639" s="94">
        <f t="shared" si="27"/>
        <v>26.059000000000005</v>
      </c>
      <c r="F639" s="94">
        <f t="shared" si="28"/>
        <v>28.428000000000001</v>
      </c>
      <c r="G639" s="29"/>
      <c r="H639" s="97">
        <f t="shared" si="29"/>
        <v>25.843636363636364</v>
      </c>
    </row>
    <row r="640" spans="1:9" ht="20.100000000000001" customHeight="1">
      <c r="A640" s="21" t="s">
        <v>4090</v>
      </c>
      <c r="B640" s="21" t="s">
        <v>4089</v>
      </c>
      <c r="C640" s="28" t="s">
        <v>4091</v>
      </c>
      <c r="D640" s="30" t="e">
        <f>#REF!+#REF!</f>
        <v>#REF!</v>
      </c>
      <c r="E640" s="94" t="e">
        <f t="shared" si="27"/>
        <v>#REF!</v>
      </c>
      <c r="F640" s="94" t="e">
        <f t="shared" si="28"/>
        <v>#REF!</v>
      </c>
      <c r="G640" s="29"/>
      <c r="H640" s="97" t="e">
        <f t="shared" si="29"/>
        <v>#REF!</v>
      </c>
    </row>
    <row r="641" spans="1:8" ht="20.100000000000001" customHeight="1">
      <c r="A641" s="21" t="s">
        <v>4093</v>
      </c>
      <c r="B641" s="21" t="s">
        <v>4092</v>
      </c>
      <c r="C641" s="28" t="s">
        <v>4094</v>
      </c>
      <c r="D641" s="30" t="e">
        <f>#REF!+#REF!</f>
        <v>#REF!</v>
      </c>
      <c r="E641" s="94" t="e">
        <f t="shared" si="27"/>
        <v>#REF!</v>
      </c>
      <c r="F641" s="94" t="e">
        <f t="shared" si="28"/>
        <v>#REF!</v>
      </c>
      <c r="G641" s="29"/>
      <c r="H641" s="97" t="e">
        <f t="shared" si="29"/>
        <v>#REF!</v>
      </c>
    </row>
    <row r="642" spans="1:8" ht="20.100000000000001" customHeight="1">
      <c r="A642" s="22" t="s">
        <v>4096</v>
      </c>
      <c r="B642" s="22" t="s">
        <v>4095</v>
      </c>
      <c r="C642" s="23" t="s">
        <v>4097</v>
      </c>
      <c r="D642" s="30">
        <v>1011.0068</v>
      </c>
      <c r="E642" s="94">
        <f t="shared" si="27"/>
        <v>37.070249333333336</v>
      </c>
      <c r="F642" s="94">
        <f t="shared" si="28"/>
        <v>40.440272</v>
      </c>
      <c r="G642" s="29"/>
      <c r="H642" s="97">
        <f t="shared" si="29"/>
        <v>36.76388363636363</v>
      </c>
    </row>
    <row r="643" spans="1:8" ht="20.100000000000001" customHeight="1">
      <c r="A643" s="21" t="s">
        <v>4099</v>
      </c>
      <c r="B643" s="21" t="s">
        <v>4098</v>
      </c>
      <c r="C643" s="28" t="s">
        <v>4100</v>
      </c>
      <c r="D643" s="30" t="e">
        <f>#REF!+#REF!</f>
        <v>#REF!</v>
      </c>
      <c r="E643" s="94" t="e">
        <f t="shared" si="27"/>
        <v>#REF!</v>
      </c>
      <c r="F643" s="94" t="e">
        <f t="shared" si="28"/>
        <v>#REF!</v>
      </c>
      <c r="G643" s="29"/>
      <c r="H643" s="97" t="e">
        <f t="shared" si="29"/>
        <v>#REF!</v>
      </c>
    </row>
    <row r="644" spans="1:8" ht="20.100000000000001" customHeight="1">
      <c r="A644" s="21" t="s">
        <v>4102</v>
      </c>
      <c r="B644" s="21" t="s">
        <v>4101</v>
      </c>
      <c r="C644" s="28" t="s">
        <v>4103</v>
      </c>
      <c r="D644" s="30" t="e">
        <f>#REF!+#REF!</f>
        <v>#REF!</v>
      </c>
      <c r="E644" s="94" t="e">
        <f t="shared" si="27"/>
        <v>#REF!</v>
      </c>
      <c r="F644" s="94" t="e">
        <f t="shared" si="28"/>
        <v>#REF!</v>
      </c>
      <c r="G644" s="29"/>
      <c r="H644" s="97" t="e">
        <f t="shared" si="29"/>
        <v>#REF!</v>
      </c>
    </row>
    <row r="645" spans="1:8" ht="20.100000000000001" customHeight="1">
      <c r="A645" s="21" t="s">
        <v>4105</v>
      </c>
      <c r="B645" s="21" t="s">
        <v>4104</v>
      </c>
      <c r="C645" s="28" t="s">
        <v>4106</v>
      </c>
      <c r="D645" s="30" t="e">
        <f>#REF!+#REF!</f>
        <v>#REF!</v>
      </c>
      <c r="E645" s="94" t="e">
        <f t="shared" si="27"/>
        <v>#REF!</v>
      </c>
      <c r="F645" s="94" t="e">
        <f t="shared" si="28"/>
        <v>#REF!</v>
      </c>
      <c r="G645" s="29"/>
      <c r="H645" s="97" t="e">
        <f t="shared" si="29"/>
        <v>#REF!</v>
      </c>
    </row>
    <row r="646" spans="1:8" ht="20.100000000000001" customHeight="1">
      <c r="A646" s="21" t="s">
        <v>4108</v>
      </c>
      <c r="B646" s="21" t="s">
        <v>4107</v>
      </c>
      <c r="C646" s="28" t="s">
        <v>4109</v>
      </c>
      <c r="D646" s="30">
        <v>827.72860000000003</v>
      </c>
      <c r="E646" s="94">
        <f t="shared" ref="E646:E709" si="30">+(D646*1.1/30)</f>
        <v>30.35004866666667</v>
      </c>
      <c r="F646" s="94">
        <f t="shared" ref="F646:F709" si="31">+(D646*1.2/30)</f>
        <v>33.109144000000001</v>
      </c>
      <c r="G646" s="29"/>
      <c r="H646" s="97">
        <f t="shared" ref="H646:H709" si="32">+(D646*1.2/33)</f>
        <v>30.099221818181817</v>
      </c>
    </row>
    <row r="647" spans="1:8" ht="20.100000000000001" customHeight="1">
      <c r="A647" s="22" t="s">
        <v>4111</v>
      </c>
      <c r="B647" s="22" t="s">
        <v>4110</v>
      </c>
      <c r="C647" s="23" t="s">
        <v>4112</v>
      </c>
      <c r="D647" s="30" t="e">
        <f>#REF!+#REF!</f>
        <v>#REF!</v>
      </c>
      <c r="E647" s="94" t="e">
        <f t="shared" si="30"/>
        <v>#REF!</v>
      </c>
      <c r="F647" s="94" t="e">
        <f t="shared" si="31"/>
        <v>#REF!</v>
      </c>
      <c r="G647" s="29"/>
      <c r="H647" s="97" t="e">
        <f t="shared" si="32"/>
        <v>#REF!</v>
      </c>
    </row>
    <row r="648" spans="1:8" ht="20.100000000000001" customHeight="1">
      <c r="A648" s="21" t="s">
        <v>4114</v>
      </c>
      <c r="B648" s="21" t="s">
        <v>4113</v>
      </c>
      <c r="C648" s="28" t="s">
        <v>4115</v>
      </c>
      <c r="D648" s="30">
        <v>827.72860000000003</v>
      </c>
      <c r="E648" s="94">
        <f t="shared" si="30"/>
        <v>30.35004866666667</v>
      </c>
      <c r="F648" s="94">
        <f t="shared" si="31"/>
        <v>33.109144000000001</v>
      </c>
      <c r="G648" s="29"/>
      <c r="H648" s="97">
        <f t="shared" si="32"/>
        <v>30.099221818181817</v>
      </c>
    </row>
    <row r="649" spans="1:8" ht="20.100000000000001" customHeight="1">
      <c r="A649" s="21" t="s">
        <v>4117</v>
      </c>
      <c r="B649" s="21" t="s">
        <v>4116</v>
      </c>
      <c r="C649" s="28" t="s">
        <v>4118</v>
      </c>
      <c r="D649" s="30" t="e">
        <f>#REF!+#REF!</f>
        <v>#REF!</v>
      </c>
      <c r="E649" s="94" t="e">
        <f t="shared" si="30"/>
        <v>#REF!</v>
      </c>
      <c r="F649" s="94" t="e">
        <f t="shared" si="31"/>
        <v>#REF!</v>
      </c>
      <c r="G649" s="29"/>
      <c r="H649" s="97" t="e">
        <f t="shared" si="32"/>
        <v>#REF!</v>
      </c>
    </row>
    <row r="650" spans="1:8" ht="20.100000000000001" customHeight="1">
      <c r="A650" s="21" t="s">
        <v>4120</v>
      </c>
      <c r="B650" s="21" t="s">
        <v>4119</v>
      </c>
      <c r="C650" s="28" t="s">
        <v>4121</v>
      </c>
      <c r="D650" s="30">
        <v>1060.076</v>
      </c>
      <c r="E650" s="94">
        <f t="shared" si="30"/>
        <v>38.86945333333334</v>
      </c>
      <c r="F650" s="94">
        <f t="shared" si="31"/>
        <v>42.403040000000004</v>
      </c>
      <c r="G650" s="29"/>
      <c r="H650" s="97">
        <f t="shared" si="32"/>
        <v>38.548218181818186</v>
      </c>
    </row>
    <row r="651" spans="1:8" ht="20.100000000000001" customHeight="1">
      <c r="A651" s="21" t="s">
        <v>4123</v>
      </c>
      <c r="B651" s="21" t="s">
        <v>4122</v>
      </c>
      <c r="C651" s="28" t="s">
        <v>4124</v>
      </c>
      <c r="D651" s="30">
        <v>1011.0068</v>
      </c>
      <c r="E651" s="94">
        <f t="shared" si="30"/>
        <v>37.070249333333336</v>
      </c>
      <c r="F651" s="94">
        <f t="shared" si="31"/>
        <v>40.440272</v>
      </c>
      <c r="G651" s="29"/>
      <c r="H651" s="97">
        <f t="shared" si="32"/>
        <v>36.76388363636363</v>
      </c>
    </row>
    <row r="652" spans="1:8" ht="20.100000000000001" customHeight="1">
      <c r="A652" s="22" t="s">
        <v>4126</v>
      </c>
      <c r="B652" s="22" t="s">
        <v>4125</v>
      </c>
      <c r="C652" s="23" t="s">
        <v>4127</v>
      </c>
      <c r="D652" s="30" t="e">
        <f>#REF!+#REF!</f>
        <v>#REF!</v>
      </c>
      <c r="E652" s="94" t="e">
        <f t="shared" si="30"/>
        <v>#REF!</v>
      </c>
      <c r="F652" s="94" t="e">
        <f t="shared" si="31"/>
        <v>#REF!</v>
      </c>
      <c r="G652" s="29"/>
      <c r="H652" s="97" t="e">
        <f t="shared" si="32"/>
        <v>#REF!</v>
      </c>
    </row>
    <row r="653" spans="1:8" ht="20.100000000000001" customHeight="1">
      <c r="A653" s="22" t="s">
        <v>4129</v>
      </c>
      <c r="B653" s="22" t="s">
        <v>4128</v>
      </c>
      <c r="C653" s="23" t="s">
        <v>4130</v>
      </c>
      <c r="D653" s="30" t="e">
        <f>#REF!+#REF!</f>
        <v>#REF!</v>
      </c>
      <c r="E653" s="94" t="e">
        <f t="shared" si="30"/>
        <v>#REF!</v>
      </c>
      <c r="F653" s="94" t="e">
        <f t="shared" si="31"/>
        <v>#REF!</v>
      </c>
      <c r="G653" s="29"/>
      <c r="H653" s="97" t="e">
        <f t="shared" si="32"/>
        <v>#REF!</v>
      </c>
    </row>
    <row r="654" spans="1:8" ht="20.100000000000001" customHeight="1">
      <c r="A654" s="22" t="s">
        <v>4132</v>
      </c>
      <c r="B654" s="22" t="s">
        <v>4131</v>
      </c>
      <c r="C654" s="23" t="s">
        <v>4133</v>
      </c>
      <c r="D654" s="30" t="e">
        <f>#REF!+#REF!</f>
        <v>#REF!</v>
      </c>
      <c r="E654" s="94" t="e">
        <f t="shared" si="30"/>
        <v>#REF!</v>
      </c>
      <c r="F654" s="94" t="e">
        <f t="shared" si="31"/>
        <v>#REF!</v>
      </c>
      <c r="G654" s="29"/>
      <c r="H654" s="97" t="e">
        <f t="shared" si="32"/>
        <v>#REF!</v>
      </c>
    </row>
    <row r="655" spans="1:8" ht="20.100000000000001" customHeight="1">
      <c r="A655" s="21" t="s">
        <v>4135</v>
      </c>
      <c r="B655" s="21" t="s">
        <v>4134</v>
      </c>
      <c r="C655" s="28" t="s">
        <v>4136</v>
      </c>
      <c r="D655" s="30" t="e">
        <f>#REF!+#REF!</f>
        <v>#REF!</v>
      </c>
      <c r="E655" s="94" t="e">
        <f t="shared" si="30"/>
        <v>#REF!</v>
      </c>
      <c r="F655" s="94" t="e">
        <f t="shared" si="31"/>
        <v>#REF!</v>
      </c>
      <c r="G655" s="29"/>
      <c r="H655" s="97" t="e">
        <f t="shared" si="32"/>
        <v>#REF!</v>
      </c>
    </row>
    <row r="656" spans="1:8" ht="20.100000000000001" customHeight="1">
      <c r="A656" s="21" t="s">
        <v>4138</v>
      </c>
      <c r="B656" s="21" t="s">
        <v>4137</v>
      </c>
      <c r="C656" s="28" t="s">
        <v>4139</v>
      </c>
      <c r="D656" s="30">
        <v>453.2</v>
      </c>
      <c r="E656" s="94">
        <f t="shared" si="30"/>
        <v>16.617333333333335</v>
      </c>
      <c r="F656" s="94">
        <f t="shared" si="31"/>
        <v>18.127999999999997</v>
      </c>
      <c r="G656" s="29"/>
      <c r="H656" s="97">
        <f t="shared" si="32"/>
        <v>16.479999999999997</v>
      </c>
    </row>
    <row r="657" spans="1:8" ht="20.100000000000001" customHeight="1">
      <c r="A657" s="22" t="s">
        <v>4141</v>
      </c>
      <c r="B657" s="22" t="s">
        <v>4140</v>
      </c>
      <c r="C657" s="23" t="s">
        <v>4142</v>
      </c>
      <c r="D657" s="30">
        <v>515</v>
      </c>
      <c r="E657" s="94">
        <f t="shared" si="30"/>
        <v>18.883333333333333</v>
      </c>
      <c r="F657" s="94">
        <f t="shared" si="31"/>
        <v>20.6</v>
      </c>
      <c r="G657" s="29"/>
      <c r="H657" s="97">
        <f t="shared" si="32"/>
        <v>18.727272727272727</v>
      </c>
    </row>
    <row r="658" spans="1:8" ht="20.100000000000001" customHeight="1">
      <c r="A658" s="21" t="s">
        <v>4144</v>
      </c>
      <c r="B658" s="21" t="s">
        <v>4143</v>
      </c>
      <c r="C658" s="28" t="s">
        <v>4145</v>
      </c>
      <c r="D658" s="30">
        <v>424.36</v>
      </c>
      <c r="E658" s="94">
        <f t="shared" si="30"/>
        <v>15.559866666666668</v>
      </c>
      <c r="F658" s="94">
        <f t="shared" si="31"/>
        <v>16.974399999999999</v>
      </c>
      <c r="G658" s="29"/>
      <c r="H658" s="97">
        <f t="shared" si="32"/>
        <v>15.431272727272727</v>
      </c>
    </row>
    <row r="659" spans="1:8" ht="20.100000000000001" customHeight="1">
      <c r="A659" s="21" t="s">
        <v>4147</v>
      </c>
      <c r="B659" s="21" t="s">
        <v>4146</v>
      </c>
      <c r="C659" s="28" t="s">
        <v>4148</v>
      </c>
      <c r="D659" s="30">
        <v>402.73</v>
      </c>
      <c r="E659" s="94">
        <f t="shared" si="30"/>
        <v>14.766766666666667</v>
      </c>
      <c r="F659" s="94">
        <f t="shared" si="31"/>
        <v>16.109200000000001</v>
      </c>
      <c r="G659" s="29"/>
      <c r="H659" s="97">
        <f t="shared" si="32"/>
        <v>14.644727272727273</v>
      </c>
    </row>
    <row r="660" spans="1:8" ht="20.100000000000001" customHeight="1">
      <c r="A660" s="21" t="s">
        <v>4150</v>
      </c>
      <c r="B660" s="21" t="s">
        <v>4149</v>
      </c>
      <c r="C660" s="28" t="s">
        <v>4151</v>
      </c>
      <c r="D660" s="30">
        <v>429.51</v>
      </c>
      <c r="E660" s="94">
        <f t="shared" si="30"/>
        <v>15.748700000000001</v>
      </c>
      <c r="F660" s="94">
        <f t="shared" si="31"/>
        <v>17.180399999999999</v>
      </c>
      <c r="G660" s="29"/>
      <c r="H660" s="97">
        <f t="shared" si="32"/>
        <v>15.618545454545453</v>
      </c>
    </row>
    <row r="661" spans="1:8" ht="20.100000000000001" customHeight="1">
      <c r="A661" s="21" t="s">
        <v>4153</v>
      </c>
      <c r="B661" s="21" t="s">
        <v>4152</v>
      </c>
      <c r="C661" s="28" t="s">
        <v>4154</v>
      </c>
      <c r="D661" s="30" t="e">
        <f>#REF!+#REF!</f>
        <v>#REF!</v>
      </c>
      <c r="E661" s="94" t="e">
        <f t="shared" si="30"/>
        <v>#REF!</v>
      </c>
      <c r="F661" s="94" t="e">
        <f t="shared" si="31"/>
        <v>#REF!</v>
      </c>
      <c r="G661" s="29"/>
      <c r="H661" s="97" t="e">
        <f t="shared" si="32"/>
        <v>#REF!</v>
      </c>
    </row>
    <row r="662" spans="1:8" ht="20.100000000000001" customHeight="1">
      <c r="A662" s="22" t="s">
        <v>4156</v>
      </c>
      <c r="B662" s="22" t="s">
        <v>4155</v>
      </c>
      <c r="C662" s="23" t="s">
        <v>4157</v>
      </c>
      <c r="D662" s="30" t="e">
        <f>#REF!+#REF!</f>
        <v>#REF!</v>
      </c>
      <c r="E662" s="94" t="e">
        <f t="shared" si="30"/>
        <v>#REF!</v>
      </c>
      <c r="F662" s="94" t="e">
        <f t="shared" si="31"/>
        <v>#REF!</v>
      </c>
      <c r="G662" s="29"/>
      <c r="H662" s="97" t="e">
        <f t="shared" si="32"/>
        <v>#REF!</v>
      </c>
    </row>
    <row r="663" spans="1:8" ht="20.100000000000001" customHeight="1">
      <c r="A663" s="22" t="s">
        <v>4159</v>
      </c>
      <c r="B663" s="22" t="s">
        <v>4158</v>
      </c>
      <c r="C663" s="23" t="s">
        <v>4160</v>
      </c>
      <c r="D663" s="30">
        <v>827.72860000000003</v>
      </c>
      <c r="E663" s="94">
        <f t="shared" si="30"/>
        <v>30.35004866666667</v>
      </c>
      <c r="F663" s="94">
        <f t="shared" si="31"/>
        <v>33.109144000000001</v>
      </c>
      <c r="G663" s="29"/>
      <c r="H663" s="97">
        <f t="shared" si="32"/>
        <v>30.099221818181817</v>
      </c>
    </row>
    <row r="664" spans="1:8" ht="20.100000000000001" customHeight="1">
      <c r="A664" s="22" t="s">
        <v>4162</v>
      </c>
      <c r="B664" s="22" t="s">
        <v>4161</v>
      </c>
      <c r="C664" s="23" t="s">
        <v>4163</v>
      </c>
      <c r="D664" s="30">
        <v>633.45000000000005</v>
      </c>
      <c r="E664" s="94">
        <f t="shared" si="30"/>
        <v>23.226500000000001</v>
      </c>
      <c r="F664" s="94">
        <f t="shared" si="31"/>
        <v>25.338000000000001</v>
      </c>
      <c r="G664" s="29"/>
      <c r="H664" s="97">
        <f t="shared" si="32"/>
        <v>23.034545454545455</v>
      </c>
    </row>
    <row r="665" spans="1:8" ht="20.100000000000001" customHeight="1">
      <c r="A665" s="21" t="s">
        <v>4165</v>
      </c>
      <c r="B665" s="21" t="s">
        <v>4164</v>
      </c>
      <c r="C665" s="28" t="s">
        <v>4166</v>
      </c>
      <c r="D665" s="30">
        <v>632.42000000000007</v>
      </c>
      <c r="E665" s="94">
        <f t="shared" si="30"/>
        <v>23.188733333333339</v>
      </c>
      <c r="F665" s="94">
        <f t="shared" si="31"/>
        <v>25.296800000000005</v>
      </c>
      <c r="G665" s="29"/>
      <c r="H665" s="97">
        <f t="shared" si="32"/>
        <v>22.997090909090911</v>
      </c>
    </row>
    <row r="666" spans="1:8" ht="20.100000000000001" customHeight="1">
      <c r="A666" s="22" t="s">
        <v>4168</v>
      </c>
      <c r="B666" s="22" t="s">
        <v>4167</v>
      </c>
      <c r="C666" s="23" t="s">
        <v>4169</v>
      </c>
      <c r="D666" s="30">
        <v>534.57000000000005</v>
      </c>
      <c r="E666" s="94">
        <f t="shared" si="30"/>
        <v>19.600900000000006</v>
      </c>
      <c r="F666" s="94">
        <f t="shared" si="31"/>
        <v>21.3828</v>
      </c>
      <c r="G666" s="29"/>
      <c r="H666" s="97">
        <f t="shared" si="32"/>
        <v>19.438909090909092</v>
      </c>
    </row>
    <row r="667" spans="1:8" ht="20.100000000000001" customHeight="1">
      <c r="A667" s="21" t="s">
        <v>4171</v>
      </c>
      <c r="B667" s="21" t="s">
        <v>4170</v>
      </c>
      <c r="C667" s="28" t="s">
        <v>4172</v>
      </c>
      <c r="D667" s="30">
        <v>1011.0068</v>
      </c>
      <c r="E667" s="94">
        <f t="shared" si="30"/>
        <v>37.070249333333336</v>
      </c>
      <c r="F667" s="94">
        <f t="shared" si="31"/>
        <v>40.440272</v>
      </c>
      <c r="G667" s="29"/>
      <c r="H667" s="97">
        <f t="shared" si="32"/>
        <v>36.76388363636363</v>
      </c>
    </row>
    <row r="668" spans="1:8" ht="20.100000000000001" customHeight="1">
      <c r="A668" s="22" t="s">
        <v>4174</v>
      </c>
      <c r="B668" s="22" t="s">
        <v>4173</v>
      </c>
      <c r="C668" s="23" t="s">
        <v>4175</v>
      </c>
      <c r="D668" s="30" t="e">
        <f>#REF!+#REF!</f>
        <v>#REF!</v>
      </c>
      <c r="E668" s="94" t="e">
        <f t="shared" si="30"/>
        <v>#REF!</v>
      </c>
      <c r="F668" s="94" t="e">
        <f t="shared" si="31"/>
        <v>#REF!</v>
      </c>
      <c r="G668" s="29"/>
      <c r="H668" s="97" t="e">
        <f t="shared" si="32"/>
        <v>#REF!</v>
      </c>
    </row>
    <row r="669" spans="1:8" ht="20.100000000000001" customHeight="1">
      <c r="A669" s="22" t="s">
        <v>4177</v>
      </c>
      <c r="B669" s="22" t="s">
        <v>4176</v>
      </c>
      <c r="C669" s="23" t="s">
        <v>4178</v>
      </c>
      <c r="D669" s="30">
        <v>628.30000000000007</v>
      </c>
      <c r="E669" s="94">
        <f t="shared" si="30"/>
        <v>23.03766666666667</v>
      </c>
      <c r="F669" s="94">
        <f t="shared" si="31"/>
        <v>25.132000000000001</v>
      </c>
      <c r="G669" s="29"/>
      <c r="H669" s="97">
        <f t="shared" si="32"/>
        <v>22.847272727272728</v>
      </c>
    </row>
    <row r="670" spans="1:8" ht="20.100000000000001" customHeight="1">
      <c r="A670" s="21" t="s">
        <v>4180</v>
      </c>
      <c r="B670" s="21" t="s">
        <v>4179</v>
      </c>
      <c r="C670" s="28" t="s">
        <v>4181</v>
      </c>
      <c r="D670" s="30">
        <v>827.72860000000003</v>
      </c>
      <c r="E670" s="94">
        <f t="shared" si="30"/>
        <v>30.35004866666667</v>
      </c>
      <c r="F670" s="94">
        <f t="shared" si="31"/>
        <v>33.109144000000001</v>
      </c>
      <c r="G670" s="29"/>
      <c r="H670" s="97">
        <f t="shared" si="32"/>
        <v>30.099221818181817</v>
      </c>
    </row>
    <row r="671" spans="1:8" ht="20.100000000000001" customHeight="1">
      <c r="A671" s="21" t="s">
        <v>4183</v>
      </c>
      <c r="B671" s="21" t="s">
        <v>4182</v>
      </c>
      <c r="C671" s="28" t="s">
        <v>4184</v>
      </c>
      <c r="D671" s="30">
        <v>827.72860000000003</v>
      </c>
      <c r="E671" s="94">
        <f t="shared" si="30"/>
        <v>30.35004866666667</v>
      </c>
      <c r="F671" s="94">
        <f t="shared" si="31"/>
        <v>33.109144000000001</v>
      </c>
      <c r="G671" s="29"/>
      <c r="H671" s="97">
        <f t="shared" si="32"/>
        <v>30.099221818181817</v>
      </c>
    </row>
    <row r="672" spans="1:8" ht="20.100000000000001" customHeight="1">
      <c r="A672" s="21" t="s">
        <v>4186</v>
      </c>
      <c r="B672" s="21" t="s">
        <v>4185</v>
      </c>
      <c r="C672" s="28" t="s">
        <v>4187</v>
      </c>
      <c r="D672" s="30">
        <v>637.57000000000005</v>
      </c>
      <c r="E672" s="94">
        <f t="shared" si="30"/>
        <v>23.37756666666667</v>
      </c>
      <c r="F672" s="94">
        <f t="shared" si="31"/>
        <v>25.502800000000001</v>
      </c>
      <c r="G672" s="29"/>
      <c r="H672" s="97">
        <f t="shared" si="32"/>
        <v>23.184363636363639</v>
      </c>
    </row>
    <row r="673" spans="1:8" ht="20.100000000000001" customHeight="1">
      <c r="A673" s="22" t="s">
        <v>4189</v>
      </c>
      <c r="B673" s="22" t="s">
        <v>4188</v>
      </c>
      <c r="C673" s="23" t="s">
        <v>4190</v>
      </c>
      <c r="D673" s="30">
        <v>827.72860000000003</v>
      </c>
      <c r="E673" s="94">
        <f t="shared" si="30"/>
        <v>30.35004866666667</v>
      </c>
      <c r="F673" s="94">
        <f t="shared" si="31"/>
        <v>33.109144000000001</v>
      </c>
      <c r="G673" s="29"/>
      <c r="H673" s="97">
        <f t="shared" si="32"/>
        <v>30.099221818181817</v>
      </c>
    </row>
    <row r="674" spans="1:8" ht="20.100000000000001" customHeight="1">
      <c r="A674" s="22" t="s">
        <v>4192</v>
      </c>
      <c r="B674" s="22" t="s">
        <v>4191</v>
      </c>
      <c r="C674" s="23" t="s">
        <v>4193</v>
      </c>
      <c r="D674" s="30" t="e">
        <f>#REF!+#REF!</f>
        <v>#REF!</v>
      </c>
      <c r="E674" s="94" t="e">
        <f t="shared" si="30"/>
        <v>#REF!</v>
      </c>
      <c r="F674" s="94" t="e">
        <f t="shared" si="31"/>
        <v>#REF!</v>
      </c>
      <c r="G674" s="29"/>
      <c r="H674" s="97" t="e">
        <f t="shared" si="32"/>
        <v>#REF!</v>
      </c>
    </row>
    <row r="675" spans="1:8" ht="20.100000000000001" customHeight="1">
      <c r="A675" s="21" t="s">
        <v>4195</v>
      </c>
      <c r="B675" s="21" t="s">
        <v>4194</v>
      </c>
      <c r="C675" s="28" t="s">
        <v>4196</v>
      </c>
      <c r="D675" s="30">
        <v>982.41399999999999</v>
      </c>
      <c r="E675" s="94">
        <f t="shared" si="30"/>
        <v>36.021846666666669</v>
      </c>
      <c r="F675" s="94">
        <f t="shared" si="31"/>
        <v>39.296559999999999</v>
      </c>
      <c r="G675" s="29"/>
      <c r="H675" s="97">
        <f t="shared" si="32"/>
        <v>35.724145454545457</v>
      </c>
    </row>
    <row r="676" spans="1:8" ht="20.100000000000001" customHeight="1">
      <c r="A676" s="22" t="s">
        <v>4198</v>
      </c>
      <c r="B676" s="22" t="s">
        <v>4197</v>
      </c>
      <c r="C676" s="23" t="s">
        <v>4199</v>
      </c>
      <c r="D676" s="30" t="e">
        <f>#REF!+#REF!</f>
        <v>#REF!</v>
      </c>
      <c r="E676" s="94" t="e">
        <f t="shared" si="30"/>
        <v>#REF!</v>
      </c>
      <c r="F676" s="94" t="e">
        <f t="shared" si="31"/>
        <v>#REF!</v>
      </c>
      <c r="G676" s="29"/>
      <c r="H676" s="97" t="e">
        <f t="shared" si="32"/>
        <v>#REF!</v>
      </c>
    </row>
    <row r="677" spans="1:8" ht="20.100000000000001" customHeight="1">
      <c r="A677" s="22" t="s">
        <v>4201</v>
      </c>
      <c r="B677" s="22" t="s">
        <v>4200</v>
      </c>
      <c r="C677" s="23" t="s">
        <v>4202</v>
      </c>
      <c r="D677" s="30">
        <v>423.54629999999997</v>
      </c>
      <c r="E677" s="94">
        <f t="shared" si="30"/>
        <v>15.530031000000001</v>
      </c>
      <c r="F677" s="94">
        <f t="shared" si="31"/>
        <v>16.941851999999997</v>
      </c>
      <c r="G677" s="29"/>
      <c r="H677" s="97">
        <f t="shared" si="32"/>
        <v>15.401683636363634</v>
      </c>
    </row>
    <row r="678" spans="1:8" ht="20.100000000000001" customHeight="1">
      <c r="A678" s="21" t="s">
        <v>4204</v>
      </c>
      <c r="B678" s="21" t="s">
        <v>4203</v>
      </c>
      <c r="C678" s="28" t="s">
        <v>4205</v>
      </c>
      <c r="D678" s="30">
        <v>679.92360000000008</v>
      </c>
      <c r="E678" s="94">
        <f t="shared" si="30"/>
        <v>24.930532000000007</v>
      </c>
      <c r="F678" s="94">
        <f t="shared" si="31"/>
        <v>27.196944000000006</v>
      </c>
      <c r="G678" s="29"/>
      <c r="H678" s="97">
        <f t="shared" si="32"/>
        <v>24.724494545454547</v>
      </c>
    </row>
    <row r="679" spans="1:8" ht="20.100000000000001" customHeight="1">
      <c r="A679" s="22" t="s">
        <v>4207</v>
      </c>
      <c r="B679" s="22" t="s">
        <v>4206</v>
      </c>
      <c r="C679" s="23" t="s">
        <v>4208</v>
      </c>
      <c r="D679" s="30" t="e">
        <f>#REF!+#REF!</f>
        <v>#REF!</v>
      </c>
      <c r="E679" s="94" t="e">
        <f t="shared" si="30"/>
        <v>#REF!</v>
      </c>
      <c r="F679" s="94" t="e">
        <f t="shared" si="31"/>
        <v>#REF!</v>
      </c>
      <c r="G679" s="29"/>
      <c r="H679" s="97" t="e">
        <f t="shared" si="32"/>
        <v>#REF!</v>
      </c>
    </row>
    <row r="680" spans="1:8" ht="20.100000000000001" customHeight="1">
      <c r="A680" s="21" t="s">
        <v>4210</v>
      </c>
      <c r="B680" s="21" t="s">
        <v>4209</v>
      </c>
      <c r="C680" s="28" t="s">
        <v>4211</v>
      </c>
      <c r="D680" s="30">
        <v>679.92360000000008</v>
      </c>
      <c r="E680" s="94">
        <f t="shared" si="30"/>
        <v>24.930532000000007</v>
      </c>
      <c r="F680" s="94">
        <f t="shared" si="31"/>
        <v>27.196944000000006</v>
      </c>
      <c r="G680" s="29"/>
      <c r="H680" s="97">
        <f t="shared" si="32"/>
        <v>24.724494545454547</v>
      </c>
    </row>
    <row r="681" spans="1:8" ht="20.100000000000001" customHeight="1">
      <c r="A681" s="22" t="s">
        <v>4213</v>
      </c>
      <c r="B681" s="22" t="s">
        <v>4212</v>
      </c>
      <c r="C681" s="23" t="s">
        <v>4214</v>
      </c>
      <c r="D681" s="30">
        <v>707.75419999999997</v>
      </c>
      <c r="E681" s="94">
        <f t="shared" si="30"/>
        <v>25.950987333333334</v>
      </c>
      <c r="F681" s="94">
        <f t="shared" si="31"/>
        <v>28.310167999999997</v>
      </c>
      <c r="G681" s="29"/>
      <c r="H681" s="97">
        <f t="shared" si="32"/>
        <v>25.736516363636362</v>
      </c>
    </row>
    <row r="682" spans="1:8" ht="20.100000000000001" customHeight="1">
      <c r="A682" s="22" t="s">
        <v>4216</v>
      </c>
      <c r="B682" s="22" t="s">
        <v>4215</v>
      </c>
      <c r="C682" s="23" t="s">
        <v>4217</v>
      </c>
      <c r="D682" s="30">
        <v>1036.5611000000001</v>
      </c>
      <c r="E682" s="94">
        <f t="shared" si="30"/>
        <v>38.007240333333343</v>
      </c>
      <c r="F682" s="94">
        <f t="shared" si="31"/>
        <v>41.462444000000005</v>
      </c>
      <c r="G682" s="29"/>
      <c r="H682" s="97">
        <f t="shared" si="32"/>
        <v>37.693130909090911</v>
      </c>
    </row>
    <row r="683" spans="1:8" ht="20.100000000000001" customHeight="1">
      <c r="A683" s="21" t="s">
        <v>4219</v>
      </c>
      <c r="B683" s="21" t="s">
        <v>4218</v>
      </c>
      <c r="C683" s="28" t="s">
        <v>4220</v>
      </c>
      <c r="D683" s="30">
        <v>567.53</v>
      </c>
      <c r="E683" s="94">
        <f t="shared" si="30"/>
        <v>20.809433333333335</v>
      </c>
      <c r="F683" s="94">
        <f t="shared" si="31"/>
        <v>22.701199999999996</v>
      </c>
      <c r="G683" s="29"/>
      <c r="H683" s="97">
        <f t="shared" si="32"/>
        <v>20.637454545454545</v>
      </c>
    </row>
    <row r="684" spans="1:8" ht="20.100000000000001" customHeight="1">
      <c r="A684" s="22" t="s">
        <v>4222</v>
      </c>
      <c r="B684" s="22" t="s">
        <v>4221</v>
      </c>
      <c r="C684" s="23" t="s">
        <v>4223</v>
      </c>
      <c r="D684" s="30">
        <v>618</v>
      </c>
      <c r="E684" s="94">
        <f t="shared" si="30"/>
        <v>22.660000000000004</v>
      </c>
      <c r="F684" s="94">
        <f t="shared" si="31"/>
        <v>24.720000000000002</v>
      </c>
      <c r="G684" s="29"/>
      <c r="H684" s="97">
        <f t="shared" si="32"/>
        <v>22.472727272727273</v>
      </c>
    </row>
    <row r="685" spans="1:8" ht="20.100000000000001" customHeight="1">
      <c r="A685" s="21" t="s">
        <v>4225</v>
      </c>
      <c r="B685" s="21" t="s">
        <v>4224</v>
      </c>
      <c r="C685" s="28" t="s">
        <v>4226</v>
      </c>
      <c r="D685" s="30" t="e">
        <f>#REF!+#REF!</f>
        <v>#REF!</v>
      </c>
      <c r="E685" s="94" t="e">
        <f t="shared" si="30"/>
        <v>#REF!</v>
      </c>
      <c r="F685" s="94" t="e">
        <f t="shared" si="31"/>
        <v>#REF!</v>
      </c>
      <c r="G685" s="29"/>
      <c r="H685" s="97" t="e">
        <f t="shared" si="32"/>
        <v>#REF!</v>
      </c>
    </row>
    <row r="686" spans="1:8" ht="20.100000000000001" customHeight="1">
      <c r="A686" s="21" t="s">
        <v>4228</v>
      </c>
      <c r="B686" s="21" t="s">
        <v>4227</v>
      </c>
      <c r="C686" s="28" t="s">
        <v>4229</v>
      </c>
      <c r="D686" s="30" t="e">
        <f>#REF!+#REF!</f>
        <v>#REF!</v>
      </c>
      <c r="E686" s="94" t="e">
        <f t="shared" si="30"/>
        <v>#REF!</v>
      </c>
      <c r="F686" s="94" t="e">
        <f t="shared" si="31"/>
        <v>#REF!</v>
      </c>
      <c r="G686" s="29"/>
      <c r="H686" s="97" t="e">
        <f t="shared" si="32"/>
        <v>#REF!</v>
      </c>
    </row>
    <row r="687" spans="1:8" ht="20.100000000000001" customHeight="1">
      <c r="A687" s="21" t="s">
        <v>4231</v>
      </c>
      <c r="B687" s="21" t="s">
        <v>4230</v>
      </c>
      <c r="C687" s="28" t="s">
        <v>4232</v>
      </c>
      <c r="D687" s="30" t="e">
        <f>#REF!+#REF!</f>
        <v>#REF!</v>
      </c>
      <c r="E687" s="94" t="e">
        <f t="shared" si="30"/>
        <v>#REF!</v>
      </c>
      <c r="F687" s="94" t="e">
        <f t="shared" si="31"/>
        <v>#REF!</v>
      </c>
      <c r="G687" s="29"/>
      <c r="H687" s="97" t="e">
        <f t="shared" si="32"/>
        <v>#REF!</v>
      </c>
    </row>
    <row r="688" spans="1:8" ht="20.100000000000001" customHeight="1">
      <c r="A688" s="21" t="s">
        <v>4234</v>
      </c>
      <c r="B688" s="21" t="s">
        <v>4233</v>
      </c>
      <c r="C688" s="28" t="s">
        <v>4235</v>
      </c>
      <c r="D688" s="30" t="e">
        <f>#REF!+#REF!</f>
        <v>#REF!</v>
      </c>
      <c r="E688" s="94" t="e">
        <f t="shared" si="30"/>
        <v>#REF!</v>
      </c>
      <c r="F688" s="94" t="e">
        <f t="shared" si="31"/>
        <v>#REF!</v>
      </c>
      <c r="G688" s="29"/>
      <c r="H688" s="97" t="e">
        <f t="shared" si="32"/>
        <v>#REF!</v>
      </c>
    </row>
    <row r="689" spans="1:8" ht="20.100000000000001" customHeight="1">
      <c r="A689" s="21" t="s">
        <v>4237</v>
      </c>
      <c r="B689" s="21" t="s">
        <v>4236</v>
      </c>
      <c r="C689" s="28" t="s">
        <v>4238</v>
      </c>
      <c r="D689" s="30" t="e">
        <f>#REF!+#REF!</f>
        <v>#REF!</v>
      </c>
      <c r="E689" s="94" t="e">
        <f t="shared" si="30"/>
        <v>#REF!</v>
      </c>
      <c r="F689" s="94" t="e">
        <f t="shared" si="31"/>
        <v>#REF!</v>
      </c>
      <c r="G689" s="29"/>
      <c r="H689" s="97" t="e">
        <f t="shared" si="32"/>
        <v>#REF!</v>
      </c>
    </row>
    <row r="690" spans="1:8" ht="20.100000000000001" customHeight="1">
      <c r="A690" s="21" t="s">
        <v>4240</v>
      </c>
      <c r="B690" s="21" t="s">
        <v>4239</v>
      </c>
      <c r="C690" s="28" t="s">
        <v>4241</v>
      </c>
      <c r="D690" s="30" t="e">
        <f>#REF!+#REF!</f>
        <v>#REF!</v>
      </c>
      <c r="E690" s="94" t="e">
        <f t="shared" si="30"/>
        <v>#REF!</v>
      </c>
      <c r="F690" s="94" t="e">
        <f t="shared" si="31"/>
        <v>#REF!</v>
      </c>
      <c r="G690" s="29"/>
      <c r="H690" s="97" t="e">
        <f t="shared" si="32"/>
        <v>#REF!</v>
      </c>
    </row>
    <row r="691" spans="1:8" ht="20.100000000000001" customHeight="1">
      <c r="A691" s="22" t="s">
        <v>4243</v>
      </c>
      <c r="B691" s="22" t="s">
        <v>4242</v>
      </c>
      <c r="C691" s="23" t="s">
        <v>4244</v>
      </c>
      <c r="D691" s="30">
        <v>607.70000000000005</v>
      </c>
      <c r="E691" s="94">
        <f t="shared" si="30"/>
        <v>22.282333333333337</v>
      </c>
      <c r="F691" s="94">
        <f t="shared" si="31"/>
        <v>24.308</v>
      </c>
      <c r="G691" s="29"/>
      <c r="H691" s="97">
        <f t="shared" si="32"/>
        <v>22.098181818181818</v>
      </c>
    </row>
    <row r="692" spans="1:8" ht="20.100000000000001" customHeight="1">
      <c r="A692" s="21" t="s">
        <v>4246</v>
      </c>
      <c r="B692" s="21" t="s">
        <v>4245</v>
      </c>
      <c r="C692" s="28" t="s">
        <v>4247</v>
      </c>
      <c r="D692" s="30">
        <v>489.25</v>
      </c>
      <c r="E692" s="94">
        <f t="shared" si="30"/>
        <v>17.939166666666669</v>
      </c>
      <c r="F692" s="94">
        <f t="shared" si="31"/>
        <v>19.57</v>
      </c>
      <c r="G692" s="29"/>
      <c r="H692" s="97">
        <f t="shared" si="32"/>
        <v>17.790909090909093</v>
      </c>
    </row>
    <row r="693" spans="1:8" ht="20.100000000000001" customHeight="1">
      <c r="A693" s="21" t="s">
        <v>4249</v>
      </c>
      <c r="B693" s="21" t="s">
        <v>4248</v>
      </c>
      <c r="C693" s="28" t="s">
        <v>4250</v>
      </c>
      <c r="D693" s="30" t="e">
        <f>#REF!+#REF!</f>
        <v>#REF!</v>
      </c>
      <c r="E693" s="94" t="e">
        <f t="shared" si="30"/>
        <v>#REF!</v>
      </c>
      <c r="F693" s="94" t="e">
        <f t="shared" si="31"/>
        <v>#REF!</v>
      </c>
      <c r="G693" s="29"/>
      <c r="H693" s="97" t="e">
        <f t="shared" si="32"/>
        <v>#REF!</v>
      </c>
    </row>
    <row r="694" spans="1:8" ht="20.100000000000001" customHeight="1">
      <c r="A694" s="21" t="s">
        <v>4252</v>
      </c>
      <c r="B694" s="21" t="s">
        <v>4251</v>
      </c>
      <c r="C694" s="28" t="s">
        <v>4253</v>
      </c>
      <c r="D694" s="30" t="e">
        <f>#REF!+#REF!</f>
        <v>#REF!</v>
      </c>
      <c r="E694" s="94" t="e">
        <f t="shared" si="30"/>
        <v>#REF!</v>
      </c>
      <c r="F694" s="94" t="e">
        <f t="shared" si="31"/>
        <v>#REF!</v>
      </c>
      <c r="G694" s="29"/>
      <c r="H694" s="97" t="e">
        <f t="shared" si="32"/>
        <v>#REF!</v>
      </c>
    </row>
    <row r="695" spans="1:8" ht="20.100000000000001" customHeight="1">
      <c r="A695" s="21" t="s">
        <v>4255</v>
      </c>
      <c r="B695" s="21" t="s">
        <v>4254</v>
      </c>
      <c r="C695" s="28" t="s">
        <v>4256</v>
      </c>
      <c r="D695" s="30" t="e">
        <f>#REF!+#REF!</f>
        <v>#REF!</v>
      </c>
      <c r="E695" s="94" t="e">
        <f t="shared" si="30"/>
        <v>#REF!</v>
      </c>
      <c r="F695" s="94" t="e">
        <f t="shared" si="31"/>
        <v>#REF!</v>
      </c>
      <c r="G695" s="29"/>
      <c r="H695" s="97" t="e">
        <f t="shared" si="32"/>
        <v>#REF!</v>
      </c>
    </row>
    <row r="696" spans="1:8" ht="20.100000000000001" customHeight="1">
      <c r="A696" s="21" t="s">
        <v>4258</v>
      </c>
      <c r="B696" s="21" t="s">
        <v>4257</v>
      </c>
      <c r="C696" s="28" t="s">
        <v>4259</v>
      </c>
      <c r="D696" s="30">
        <v>679.92360000000008</v>
      </c>
      <c r="E696" s="94">
        <f t="shared" si="30"/>
        <v>24.930532000000007</v>
      </c>
      <c r="F696" s="94">
        <f t="shared" si="31"/>
        <v>27.196944000000006</v>
      </c>
      <c r="G696" s="29"/>
      <c r="H696" s="97">
        <f t="shared" si="32"/>
        <v>24.724494545454547</v>
      </c>
    </row>
    <row r="697" spans="1:8" ht="20.100000000000001" customHeight="1">
      <c r="A697" s="21" t="s">
        <v>4261</v>
      </c>
      <c r="B697" s="21" t="s">
        <v>4260</v>
      </c>
      <c r="C697" s="28" t="s">
        <v>4262</v>
      </c>
      <c r="D697" s="30">
        <v>827.72860000000003</v>
      </c>
      <c r="E697" s="94">
        <f t="shared" si="30"/>
        <v>30.35004866666667</v>
      </c>
      <c r="F697" s="94">
        <f t="shared" si="31"/>
        <v>33.109144000000001</v>
      </c>
      <c r="G697" s="29"/>
      <c r="H697" s="97">
        <f t="shared" si="32"/>
        <v>30.099221818181817</v>
      </c>
    </row>
    <row r="698" spans="1:8" ht="20.100000000000001" customHeight="1">
      <c r="A698" s="21" t="s">
        <v>4264</v>
      </c>
      <c r="B698" s="21" t="s">
        <v>4263</v>
      </c>
      <c r="C698" s="28" t="s">
        <v>4265</v>
      </c>
      <c r="D698" s="30">
        <v>679.92360000000008</v>
      </c>
      <c r="E698" s="94">
        <f t="shared" si="30"/>
        <v>24.930532000000007</v>
      </c>
      <c r="F698" s="94">
        <f t="shared" si="31"/>
        <v>27.196944000000006</v>
      </c>
      <c r="G698" s="29"/>
      <c r="H698" s="97">
        <f t="shared" si="32"/>
        <v>24.724494545454547</v>
      </c>
    </row>
    <row r="699" spans="1:8" ht="20.100000000000001" customHeight="1">
      <c r="A699" s="21" t="s">
        <v>4267</v>
      </c>
      <c r="B699" s="21" t="s">
        <v>4266</v>
      </c>
      <c r="C699" s="28" t="s">
        <v>4268</v>
      </c>
      <c r="D699" s="30">
        <v>1011.0068</v>
      </c>
      <c r="E699" s="94">
        <f t="shared" si="30"/>
        <v>37.070249333333336</v>
      </c>
      <c r="F699" s="94">
        <f t="shared" si="31"/>
        <v>40.440272</v>
      </c>
      <c r="G699" s="29"/>
      <c r="H699" s="97">
        <f t="shared" si="32"/>
        <v>36.76388363636363</v>
      </c>
    </row>
    <row r="700" spans="1:8" ht="20.100000000000001" customHeight="1">
      <c r="A700" s="21" t="s">
        <v>4270</v>
      </c>
      <c r="B700" s="21" t="s">
        <v>4269</v>
      </c>
      <c r="C700" s="28" t="s">
        <v>4271</v>
      </c>
      <c r="D700" s="30">
        <v>1346.2203</v>
      </c>
      <c r="E700" s="94">
        <f t="shared" si="30"/>
        <v>49.361411000000004</v>
      </c>
      <c r="F700" s="94">
        <f t="shared" si="31"/>
        <v>53.848811999999995</v>
      </c>
      <c r="G700" s="29"/>
      <c r="H700" s="97">
        <f t="shared" si="32"/>
        <v>48.953465454545452</v>
      </c>
    </row>
    <row r="701" spans="1:8" ht="20.100000000000001" customHeight="1">
      <c r="A701" s="21" t="s">
        <v>4273</v>
      </c>
      <c r="B701" s="21" t="s">
        <v>4272</v>
      </c>
      <c r="C701" s="28" t="s">
        <v>4274</v>
      </c>
      <c r="D701" s="30">
        <v>827.72860000000003</v>
      </c>
      <c r="E701" s="94">
        <f t="shared" si="30"/>
        <v>30.35004866666667</v>
      </c>
      <c r="F701" s="94">
        <f t="shared" si="31"/>
        <v>33.109144000000001</v>
      </c>
      <c r="G701" s="29"/>
      <c r="H701" s="97">
        <f t="shared" si="32"/>
        <v>30.099221818181817</v>
      </c>
    </row>
    <row r="702" spans="1:8" ht="20.100000000000001" customHeight="1">
      <c r="A702" s="22" t="s">
        <v>4276</v>
      </c>
      <c r="B702" s="22" t="s">
        <v>4275</v>
      </c>
      <c r="C702" s="23" t="s">
        <v>4277</v>
      </c>
      <c r="D702" s="30">
        <v>886.09870000000001</v>
      </c>
      <c r="E702" s="94">
        <f t="shared" si="30"/>
        <v>32.490285666666672</v>
      </c>
      <c r="F702" s="94">
        <f t="shared" si="31"/>
        <v>35.443947999999999</v>
      </c>
      <c r="G702" s="29"/>
      <c r="H702" s="97">
        <f t="shared" si="32"/>
        <v>32.221770909090907</v>
      </c>
    </row>
    <row r="703" spans="1:8" ht="20.100000000000001" customHeight="1">
      <c r="A703" s="22" t="s">
        <v>4279</v>
      </c>
      <c r="B703" s="22" t="s">
        <v>4278</v>
      </c>
      <c r="C703" s="23" t="s">
        <v>4280</v>
      </c>
      <c r="D703" s="30">
        <v>1011.0068</v>
      </c>
      <c r="E703" s="94">
        <f t="shared" si="30"/>
        <v>37.070249333333336</v>
      </c>
      <c r="F703" s="94">
        <f t="shared" si="31"/>
        <v>40.440272</v>
      </c>
      <c r="G703" s="29"/>
      <c r="H703" s="97">
        <f t="shared" si="32"/>
        <v>36.76388363636363</v>
      </c>
    </row>
    <row r="704" spans="1:8" ht="20.100000000000001" customHeight="1">
      <c r="A704" s="22" t="s">
        <v>4282</v>
      </c>
      <c r="B704" s="22" t="s">
        <v>4281</v>
      </c>
      <c r="C704" s="23" t="s">
        <v>4283</v>
      </c>
      <c r="D704" s="30">
        <v>1060.076</v>
      </c>
      <c r="E704" s="94">
        <f t="shared" si="30"/>
        <v>38.86945333333334</v>
      </c>
      <c r="F704" s="94">
        <f t="shared" si="31"/>
        <v>42.403040000000004</v>
      </c>
      <c r="G704" s="29"/>
      <c r="H704" s="97">
        <f t="shared" si="32"/>
        <v>38.548218181818186</v>
      </c>
    </row>
    <row r="705" spans="1:8" ht="20.100000000000001" customHeight="1">
      <c r="A705" s="22" t="s">
        <v>4285</v>
      </c>
      <c r="B705" s="22" t="s">
        <v>4284</v>
      </c>
      <c r="C705" s="23" t="s">
        <v>4286</v>
      </c>
      <c r="D705" s="30" t="e">
        <f>#REF!+#REF!</f>
        <v>#REF!</v>
      </c>
      <c r="E705" s="94" t="e">
        <f t="shared" si="30"/>
        <v>#REF!</v>
      </c>
      <c r="F705" s="94" t="e">
        <f t="shared" si="31"/>
        <v>#REF!</v>
      </c>
      <c r="G705" s="29"/>
      <c r="H705" s="97" t="e">
        <f t="shared" si="32"/>
        <v>#REF!</v>
      </c>
    </row>
    <row r="706" spans="1:8" ht="20.100000000000001" customHeight="1">
      <c r="A706" s="21" t="s">
        <v>4288</v>
      </c>
      <c r="B706" s="21" t="s">
        <v>4287</v>
      </c>
      <c r="C706" s="28" t="s">
        <v>4289</v>
      </c>
      <c r="D706" s="30">
        <v>1011.0068</v>
      </c>
      <c r="E706" s="94">
        <f t="shared" si="30"/>
        <v>37.070249333333336</v>
      </c>
      <c r="F706" s="94">
        <f t="shared" si="31"/>
        <v>40.440272</v>
      </c>
      <c r="G706" s="29"/>
      <c r="H706" s="97">
        <f t="shared" si="32"/>
        <v>36.76388363636363</v>
      </c>
    </row>
    <row r="707" spans="1:8" ht="20.100000000000001" customHeight="1">
      <c r="A707" s="22" t="s">
        <v>4762</v>
      </c>
      <c r="B707" s="22" t="s">
        <v>4761</v>
      </c>
      <c r="C707" s="23" t="s">
        <v>4763</v>
      </c>
      <c r="D707" s="30">
        <v>819.22080000000005</v>
      </c>
      <c r="E707" s="94">
        <f t="shared" si="30"/>
        <v>30.038096000000003</v>
      </c>
      <c r="F707" s="94">
        <f t="shared" si="31"/>
        <v>32.768832000000003</v>
      </c>
      <c r="G707" s="29"/>
      <c r="H707" s="97">
        <f t="shared" si="32"/>
        <v>29.789847272727275</v>
      </c>
    </row>
    <row r="708" spans="1:8" ht="20.100000000000001" customHeight="1">
      <c r="A708" s="22" t="s">
        <v>4294</v>
      </c>
      <c r="B708" s="22" t="s">
        <v>4293</v>
      </c>
      <c r="C708" s="23" t="s">
        <v>4295</v>
      </c>
      <c r="D708" s="30" t="e">
        <f>#REF!+#REF!</f>
        <v>#REF!</v>
      </c>
      <c r="E708" s="94" t="e">
        <f t="shared" si="30"/>
        <v>#REF!</v>
      </c>
      <c r="F708" s="94" t="e">
        <f t="shared" si="31"/>
        <v>#REF!</v>
      </c>
      <c r="G708" s="29"/>
      <c r="H708" s="97" t="e">
        <f t="shared" si="32"/>
        <v>#REF!</v>
      </c>
    </row>
    <row r="709" spans="1:8" ht="20.100000000000001" customHeight="1">
      <c r="A709" s="21" t="s">
        <v>4297</v>
      </c>
      <c r="B709" s="21" t="s">
        <v>4296</v>
      </c>
      <c r="C709" s="28" t="s">
        <v>4298</v>
      </c>
      <c r="D709" s="30">
        <v>587.1</v>
      </c>
      <c r="E709" s="94">
        <f t="shared" si="30"/>
        <v>21.527000000000001</v>
      </c>
      <c r="F709" s="94">
        <f t="shared" si="31"/>
        <v>23.483999999999998</v>
      </c>
      <c r="G709" s="29"/>
      <c r="H709" s="97">
        <f t="shared" si="32"/>
        <v>21.349090909090908</v>
      </c>
    </row>
    <row r="710" spans="1:8" ht="20.100000000000001" customHeight="1">
      <c r="A710" s="22" t="s">
        <v>4300</v>
      </c>
      <c r="B710" s="22" t="s">
        <v>4299</v>
      </c>
      <c r="C710" s="23" t="s">
        <v>4301</v>
      </c>
      <c r="D710" s="30">
        <v>819.22080000000005</v>
      </c>
      <c r="E710" s="94">
        <f t="shared" ref="E710:E773" si="33">+(D710*1.1/30)</f>
        <v>30.038096000000003</v>
      </c>
      <c r="F710" s="94">
        <f t="shared" ref="F710:F773" si="34">+(D710*1.2/30)</f>
        <v>32.768832000000003</v>
      </c>
      <c r="G710" s="29"/>
      <c r="H710" s="97">
        <f t="shared" ref="H710:H773" si="35">+(D710*1.2/33)</f>
        <v>29.789847272727275</v>
      </c>
    </row>
    <row r="711" spans="1:8" ht="20.100000000000001" customHeight="1">
      <c r="A711" s="22" t="s">
        <v>4303</v>
      </c>
      <c r="B711" s="22" t="s">
        <v>4302</v>
      </c>
      <c r="C711" s="23" t="s">
        <v>4304</v>
      </c>
      <c r="D711" s="30">
        <v>1003.22</v>
      </c>
      <c r="E711" s="94">
        <f t="shared" si="33"/>
        <v>36.784733333333335</v>
      </c>
      <c r="F711" s="94">
        <f t="shared" si="34"/>
        <v>40.128799999999998</v>
      </c>
      <c r="G711" s="29"/>
      <c r="H711" s="97">
        <f t="shared" si="35"/>
        <v>36.480727272727272</v>
      </c>
    </row>
    <row r="712" spans="1:8" ht="20.100000000000001" customHeight="1">
      <c r="A712" s="21" t="s">
        <v>4869</v>
      </c>
      <c r="B712" s="21" t="s">
        <v>4868</v>
      </c>
      <c r="C712" s="28" t="s">
        <v>4870</v>
      </c>
      <c r="D712" s="30">
        <v>785.77670000000001</v>
      </c>
      <c r="E712" s="94">
        <f t="shared" si="33"/>
        <v>28.811812333333339</v>
      </c>
      <c r="F712" s="94">
        <f t="shared" si="34"/>
        <v>31.431067999999996</v>
      </c>
      <c r="G712" s="29"/>
      <c r="H712" s="97">
        <f t="shared" si="35"/>
        <v>28.57369818181818</v>
      </c>
    </row>
    <row r="713" spans="1:8" ht="20.100000000000001" customHeight="1">
      <c r="A713" s="22" t="s">
        <v>4916</v>
      </c>
      <c r="B713" s="22" t="s">
        <v>4915</v>
      </c>
      <c r="C713" s="23" t="s">
        <v>4917</v>
      </c>
      <c r="D713" s="30">
        <v>545.9</v>
      </c>
      <c r="E713" s="94">
        <f t="shared" si="33"/>
        <v>20.016333333333332</v>
      </c>
      <c r="F713" s="94">
        <f t="shared" si="34"/>
        <v>21.835999999999999</v>
      </c>
      <c r="G713" s="29"/>
      <c r="H713" s="97">
        <f t="shared" si="35"/>
        <v>19.850909090909088</v>
      </c>
    </row>
    <row r="714" spans="1:8" ht="20.100000000000001" customHeight="1">
      <c r="A714" s="22" t="s">
        <v>4312</v>
      </c>
      <c r="B714" s="22" t="s">
        <v>4311</v>
      </c>
      <c r="C714" s="23" t="s">
        <v>4313</v>
      </c>
      <c r="D714" s="30" t="e">
        <f>#REF!+#REF!</f>
        <v>#REF!</v>
      </c>
      <c r="E714" s="94" t="e">
        <f t="shared" si="33"/>
        <v>#REF!</v>
      </c>
      <c r="F714" s="94" t="e">
        <f t="shared" si="34"/>
        <v>#REF!</v>
      </c>
      <c r="G714" s="29"/>
      <c r="H714" s="97" t="e">
        <f t="shared" si="35"/>
        <v>#REF!</v>
      </c>
    </row>
    <row r="715" spans="1:8" ht="20.100000000000001" customHeight="1">
      <c r="A715" s="22" t="s">
        <v>4315</v>
      </c>
      <c r="B715" s="22" t="s">
        <v>4314</v>
      </c>
      <c r="C715" s="23" t="s">
        <v>4316</v>
      </c>
      <c r="D715" s="30">
        <v>566.5</v>
      </c>
      <c r="E715" s="94">
        <f t="shared" si="33"/>
        <v>20.771666666666668</v>
      </c>
      <c r="F715" s="94">
        <f t="shared" si="34"/>
        <v>22.66</v>
      </c>
      <c r="G715" s="29"/>
      <c r="H715" s="97">
        <f t="shared" si="35"/>
        <v>20.599999999999998</v>
      </c>
    </row>
    <row r="716" spans="1:8" ht="20.100000000000001" customHeight="1">
      <c r="A716" s="22" t="s">
        <v>4318</v>
      </c>
      <c r="B716" s="22" t="s">
        <v>4317</v>
      </c>
      <c r="C716" s="23" t="s">
        <v>4319</v>
      </c>
      <c r="D716" s="30" t="e">
        <f>#REF!+#REF!</f>
        <v>#REF!</v>
      </c>
      <c r="E716" s="94" t="e">
        <f t="shared" si="33"/>
        <v>#REF!</v>
      </c>
      <c r="F716" s="94" t="e">
        <f t="shared" si="34"/>
        <v>#REF!</v>
      </c>
      <c r="G716" s="29"/>
      <c r="H716" s="97" t="e">
        <f t="shared" si="35"/>
        <v>#REF!</v>
      </c>
    </row>
    <row r="717" spans="1:8" ht="20.100000000000001" customHeight="1">
      <c r="A717" s="22" t="s">
        <v>4321</v>
      </c>
      <c r="B717" s="22" t="s">
        <v>4320</v>
      </c>
      <c r="C717" s="23" t="s">
        <v>4322</v>
      </c>
      <c r="D717" s="30">
        <v>642.72</v>
      </c>
      <c r="E717" s="94">
        <f t="shared" si="33"/>
        <v>23.566400000000002</v>
      </c>
      <c r="F717" s="94">
        <f t="shared" si="34"/>
        <v>25.7088</v>
      </c>
      <c r="G717" s="29"/>
      <c r="H717" s="97">
        <f t="shared" si="35"/>
        <v>23.371636363636362</v>
      </c>
    </row>
    <row r="718" spans="1:8" ht="20.100000000000001" customHeight="1">
      <c r="A718" s="22" t="s">
        <v>4324</v>
      </c>
      <c r="B718" s="22" t="s">
        <v>4323</v>
      </c>
      <c r="C718" s="23" t="s">
        <v>4325</v>
      </c>
      <c r="D718" s="30">
        <v>597.4</v>
      </c>
      <c r="E718" s="94">
        <f t="shared" si="33"/>
        <v>21.904666666666667</v>
      </c>
      <c r="F718" s="94">
        <f t="shared" si="34"/>
        <v>23.896000000000001</v>
      </c>
      <c r="G718" s="29"/>
      <c r="H718" s="97">
        <f t="shared" si="35"/>
        <v>21.723636363636363</v>
      </c>
    </row>
    <row r="719" spans="1:8" ht="20.100000000000001" customHeight="1">
      <c r="A719" s="22" t="s">
        <v>4327</v>
      </c>
      <c r="B719" s="22" t="s">
        <v>4326</v>
      </c>
      <c r="C719" s="23" t="s">
        <v>4328</v>
      </c>
      <c r="D719" s="30">
        <v>581.95000000000005</v>
      </c>
      <c r="E719" s="94">
        <f t="shared" si="33"/>
        <v>21.33816666666667</v>
      </c>
      <c r="F719" s="94">
        <f t="shared" si="34"/>
        <v>23.278000000000002</v>
      </c>
      <c r="G719" s="29"/>
      <c r="H719" s="97">
        <f t="shared" si="35"/>
        <v>21.161818181818184</v>
      </c>
    </row>
    <row r="720" spans="1:8" ht="20.100000000000001" customHeight="1">
      <c r="A720" s="21" t="s">
        <v>4330</v>
      </c>
      <c r="B720" s="21" t="s">
        <v>4329</v>
      </c>
      <c r="C720" s="28" t="s">
        <v>4331</v>
      </c>
      <c r="D720" s="30">
        <v>474</v>
      </c>
      <c r="E720" s="94">
        <f t="shared" si="33"/>
        <v>17.380000000000003</v>
      </c>
      <c r="F720" s="94">
        <f t="shared" si="34"/>
        <v>18.959999999999997</v>
      </c>
      <c r="G720" s="29"/>
      <c r="H720" s="97">
        <f t="shared" si="35"/>
        <v>17.236363636363635</v>
      </c>
    </row>
    <row r="721" spans="1:8" ht="20.100000000000001" customHeight="1">
      <c r="A721" s="21" t="s">
        <v>4333</v>
      </c>
      <c r="B721" s="21" t="s">
        <v>4332</v>
      </c>
      <c r="C721" s="23" t="s">
        <v>4334</v>
      </c>
      <c r="D721" s="30">
        <v>1011.0068</v>
      </c>
      <c r="E721" s="94">
        <f t="shared" si="33"/>
        <v>37.070249333333336</v>
      </c>
      <c r="F721" s="94">
        <f t="shared" si="34"/>
        <v>40.440272</v>
      </c>
      <c r="G721" s="29"/>
      <c r="H721" s="97">
        <f t="shared" si="35"/>
        <v>36.76388363636363</v>
      </c>
    </row>
    <row r="722" spans="1:8" ht="20.100000000000001" customHeight="1">
      <c r="A722" s="21" t="s">
        <v>4336</v>
      </c>
      <c r="B722" s="21" t="s">
        <v>4335</v>
      </c>
      <c r="C722" s="23" t="s">
        <v>4337</v>
      </c>
      <c r="D722" s="30">
        <v>1011.8926</v>
      </c>
      <c r="E722" s="94">
        <f t="shared" si="33"/>
        <v>37.102728666666664</v>
      </c>
      <c r="F722" s="94">
        <f t="shared" si="34"/>
        <v>40.475703999999993</v>
      </c>
      <c r="G722" s="29"/>
      <c r="H722" s="97">
        <f t="shared" si="35"/>
        <v>36.796094545454544</v>
      </c>
    </row>
    <row r="723" spans="1:8" ht="20.100000000000001" customHeight="1">
      <c r="A723" s="22" t="s">
        <v>4339</v>
      </c>
      <c r="B723" s="22" t="s">
        <v>4338</v>
      </c>
      <c r="C723" s="23" t="s">
        <v>4340</v>
      </c>
      <c r="D723" s="30" t="e">
        <f>#REF!+#REF!</f>
        <v>#REF!</v>
      </c>
      <c r="E723" s="94" t="e">
        <f t="shared" si="33"/>
        <v>#REF!</v>
      </c>
      <c r="F723" s="94" t="e">
        <f t="shared" si="34"/>
        <v>#REF!</v>
      </c>
      <c r="G723" s="29"/>
      <c r="H723" s="97" t="e">
        <f t="shared" si="35"/>
        <v>#REF!</v>
      </c>
    </row>
    <row r="724" spans="1:8" ht="20.100000000000001" customHeight="1">
      <c r="A724" s="21" t="s">
        <v>4342</v>
      </c>
      <c r="B724" s="21" t="s">
        <v>4341</v>
      </c>
      <c r="C724" s="28" t="s">
        <v>4343</v>
      </c>
      <c r="D724" s="30">
        <v>863.19150000000002</v>
      </c>
      <c r="E724" s="94">
        <f t="shared" si="33"/>
        <v>31.650355000000001</v>
      </c>
      <c r="F724" s="94">
        <f t="shared" si="34"/>
        <v>34.527659999999997</v>
      </c>
      <c r="G724" s="29"/>
      <c r="H724" s="97">
        <f t="shared" si="35"/>
        <v>31.388781818181819</v>
      </c>
    </row>
    <row r="725" spans="1:8" ht="20.100000000000001" customHeight="1">
      <c r="A725" s="21" t="s">
        <v>4345</v>
      </c>
      <c r="B725" s="21" t="s">
        <v>4344</v>
      </c>
      <c r="C725" s="23" t="s">
        <v>4346</v>
      </c>
      <c r="D725" s="30">
        <v>1011.0068</v>
      </c>
      <c r="E725" s="94">
        <f t="shared" si="33"/>
        <v>37.070249333333336</v>
      </c>
      <c r="F725" s="94">
        <f t="shared" si="34"/>
        <v>40.440272</v>
      </c>
      <c r="G725" s="29"/>
      <c r="H725" s="97">
        <f t="shared" si="35"/>
        <v>36.76388363636363</v>
      </c>
    </row>
    <row r="726" spans="1:8" ht="20.100000000000001" customHeight="1">
      <c r="A726" s="21" t="s">
        <v>4348</v>
      </c>
      <c r="B726" s="21" t="s">
        <v>4347</v>
      </c>
      <c r="C726" s="23" t="s">
        <v>4349</v>
      </c>
      <c r="D726" s="30" t="e">
        <f>#REF!+#REF!</f>
        <v>#REF!</v>
      </c>
      <c r="E726" s="94" t="e">
        <f t="shared" si="33"/>
        <v>#REF!</v>
      </c>
      <c r="F726" s="94" t="e">
        <f t="shared" si="34"/>
        <v>#REF!</v>
      </c>
      <c r="G726" s="29"/>
      <c r="H726" s="97" t="e">
        <f t="shared" si="35"/>
        <v>#REF!</v>
      </c>
    </row>
    <row r="727" spans="1:8" ht="20.100000000000001" customHeight="1">
      <c r="A727" s="21" t="s">
        <v>4981</v>
      </c>
      <c r="B727" s="21" t="s">
        <v>4980</v>
      </c>
      <c r="C727" s="23" t="s">
        <v>4982</v>
      </c>
      <c r="D727" s="30">
        <v>1011.8926</v>
      </c>
      <c r="E727" s="94">
        <f t="shared" si="33"/>
        <v>37.102728666666664</v>
      </c>
      <c r="F727" s="94">
        <f t="shared" si="34"/>
        <v>40.475703999999993</v>
      </c>
      <c r="G727" s="29"/>
      <c r="H727" s="97">
        <f t="shared" si="35"/>
        <v>36.796094545454544</v>
      </c>
    </row>
    <row r="728" spans="1:8" ht="20.100000000000001" customHeight="1">
      <c r="A728" s="21" t="s">
        <v>5053</v>
      </c>
      <c r="B728" s="21" t="s">
        <v>5052</v>
      </c>
      <c r="C728" s="28" t="s">
        <v>5054</v>
      </c>
      <c r="D728" s="30" t="s">
        <v>2</v>
      </c>
      <c r="E728" s="94" t="e">
        <f t="shared" si="33"/>
        <v>#VALUE!</v>
      </c>
      <c r="F728" s="94" t="e">
        <f t="shared" si="34"/>
        <v>#VALUE!</v>
      </c>
      <c r="G728" s="29"/>
      <c r="H728" s="97" t="e">
        <f t="shared" si="35"/>
        <v>#VALUE!</v>
      </c>
    </row>
    <row r="729" spans="1:8" ht="20.100000000000001" customHeight="1">
      <c r="A729" s="21" t="s">
        <v>4354</v>
      </c>
      <c r="B729" s="21" t="s">
        <v>4353</v>
      </c>
      <c r="C729" s="28" t="s">
        <v>4355</v>
      </c>
      <c r="D729" s="30">
        <v>1011.0068</v>
      </c>
      <c r="E729" s="94">
        <f t="shared" si="33"/>
        <v>37.070249333333336</v>
      </c>
      <c r="F729" s="94">
        <f t="shared" si="34"/>
        <v>40.440272</v>
      </c>
      <c r="G729" s="29"/>
      <c r="H729" s="97">
        <f t="shared" si="35"/>
        <v>36.76388363636363</v>
      </c>
    </row>
    <row r="730" spans="1:8" ht="20.100000000000001" customHeight="1">
      <c r="A730" s="21" t="s">
        <v>4357</v>
      </c>
      <c r="B730" s="21" t="s">
        <v>4356</v>
      </c>
      <c r="C730" s="23" t="s">
        <v>4358</v>
      </c>
      <c r="D730" s="30">
        <v>1011.0068</v>
      </c>
      <c r="E730" s="94">
        <f t="shared" si="33"/>
        <v>37.070249333333336</v>
      </c>
      <c r="F730" s="94">
        <f t="shared" si="34"/>
        <v>40.440272</v>
      </c>
      <c r="G730" s="29"/>
      <c r="H730" s="97">
        <f t="shared" si="35"/>
        <v>36.76388363636363</v>
      </c>
    </row>
    <row r="731" spans="1:8" ht="20.100000000000001" customHeight="1">
      <c r="A731" s="21" t="s">
        <v>4360</v>
      </c>
      <c r="B731" s="21" t="s">
        <v>4359</v>
      </c>
      <c r="C731" s="23" t="s">
        <v>4361</v>
      </c>
      <c r="D731" s="30">
        <v>1011.0068</v>
      </c>
      <c r="E731" s="94">
        <f t="shared" si="33"/>
        <v>37.070249333333336</v>
      </c>
      <c r="F731" s="94">
        <f t="shared" si="34"/>
        <v>40.440272</v>
      </c>
      <c r="G731" s="29"/>
      <c r="H731" s="97">
        <f t="shared" si="35"/>
        <v>36.76388363636363</v>
      </c>
    </row>
    <row r="732" spans="1:8" ht="20.100000000000001" customHeight="1">
      <c r="A732" s="21" t="s">
        <v>4363</v>
      </c>
      <c r="B732" s="21" t="s">
        <v>4362</v>
      </c>
      <c r="C732" s="28" t="s">
        <v>4364</v>
      </c>
      <c r="D732" s="30" t="e">
        <f>#REF!+#REF!</f>
        <v>#REF!</v>
      </c>
      <c r="E732" s="94" t="e">
        <f t="shared" si="33"/>
        <v>#REF!</v>
      </c>
      <c r="F732" s="94" t="e">
        <f t="shared" si="34"/>
        <v>#REF!</v>
      </c>
      <c r="G732" s="29"/>
      <c r="H732" s="97" t="e">
        <f t="shared" si="35"/>
        <v>#REF!</v>
      </c>
    </row>
    <row r="733" spans="1:8" ht="20.100000000000001" customHeight="1">
      <c r="A733" s="21" t="s">
        <v>4366</v>
      </c>
      <c r="B733" s="21" t="s">
        <v>4365</v>
      </c>
      <c r="C733" s="23" t="s">
        <v>4367</v>
      </c>
      <c r="D733" s="30">
        <v>1225.0201999999999</v>
      </c>
      <c r="E733" s="94">
        <f t="shared" si="33"/>
        <v>44.917407333333337</v>
      </c>
      <c r="F733" s="94">
        <f t="shared" si="34"/>
        <v>49.000807999999999</v>
      </c>
      <c r="G733" s="29"/>
      <c r="H733" s="97">
        <f t="shared" si="35"/>
        <v>44.546189090909088</v>
      </c>
    </row>
    <row r="734" spans="1:8" ht="20.100000000000001" customHeight="1">
      <c r="A734" s="21" t="s">
        <v>4369</v>
      </c>
      <c r="B734" s="21" t="s">
        <v>4368</v>
      </c>
      <c r="C734" s="28" t="s">
        <v>4370</v>
      </c>
      <c r="D734" s="30">
        <v>1011.0068</v>
      </c>
      <c r="E734" s="94">
        <f t="shared" si="33"/>
        <v>37.070249333333336</v>
      </c>
      <c r="F734" s="94">
        <f t="shared" si="34"/>
        <v>40.440272</v>
      </c>
      <c r="G734" s="29"/>
      <c r="H734" s="97">
        <f t="shared" si="35"/>
        <v>36.76388363636363</v>
      </c>
    </row>
    <row r="735" spans="1:8" ht="20.100000000000001" customHeight="1">
      <c r="A735" s="21" t="s">
        <v>4372</v>
      </c>
      <c r="B735" s="21" t="s">
        <v>4371</v>
      </c>
      <c r="C735" s="23" t="s">
        <v>4373</v>
      </c>
      <c r="D735" s="30">
        <v>1011.0068</v>
      </c>
      <c r="E735" s="94">
        <f t="shared" si="33"/>
        <v>37.070249333333336</v>
      </c>
      <c r="F735" s="94">
        <f t="shared" si="34"/>
        <v>40.440272</v>
      </c>
      <c r="G735" s="29"/>
      <c r="H735" s="97">
        <f t="shared" si="35"/>
        <v>36.76388363636363</v>
      </c>
    </row>
    <row r="736" spans="1:8" ht="20.100000000000001" customHeight="1">
      <c r="A736" s="21" t="s">
        <v>4375</v>
      </c>
      <c r="B736" s="21" t="s">
        <v>4374</v>
      </c>
      <c r="C736" s="28" t="s">
        <v>4376</v>
      </c>
      <c r="D736" s="30" t="e">
        <f>#REF!+#REF!</f>
        <v>#REF!</v>
      </c>
      <c r="E736" s="94" t="e">
        <f t="shared" si="33"/>
        <v>#REF!</v>
      </c>
      <c r="F736" s="94" t="e">
        <f t="shared" si="34"/>
        <v>#REF!</v>
      </c>
      <c r="G736" s="29"/>
      <c r="H736" s="97" t="e">
        <f t="shared" si="35"/>
        <v>#REF!</v>
      </c>
    </row>
    <row r="737" spans="1:8" ht="20.100000000000001" customHeight="1">
      <c r="A737" s="21" t="s">
        <v>4378</v>
      </c>
      <c r="B737" s="21" t="s">
        <v>4377</v>
      </c>
      <c r="C737" s="28" t="s">
        <v>4379</v>
      </c>
      <c r="D737" s="30" t="e">
        <f>#REF!+#REF!</f>
        <v>#REF!</v>
      </c>
      <c r="E737" s="94" t="e">
        <f t="shared" si="33"/>
        <v>#REF!</v>
      </c>
      <c r="F737" s="94" t="e">
        <f t="shared" si="34"/>
        <v>#REF!</v>
      </c>
      <c r="G737" s="29"/>
      <c r="H737" s="97" t="e">
        <f t="shared" si="35"/>
        <v>#REF!</v>
      </c>
    </row>
    <row r="738" spans="1:8" ht="20.100000000000001" customHeight="1">
      <c r="A738" s="21" t="s">
        <v>4381</v>
      </c>
      <c r="B738" s="21" t="s">
        <v>4380</v>
      </c>
      <c r="C738" s="28" t="s">
        <v>4382</v>
      </c>
      <c r="D738" s="30" t="e">
        <f>#REF!+#REF!</f>
        <v>#REF!</v>
      </c>
      <c r="E738" s="94" t="e">
        <f t="shared" si="33"/>
        <v>#REF!</v>
      </c>
      <c r="F738" s="94" t="e">
        <f t="shared" si="34"/>
        <v>#REF!</v>
      </c>
      <c r="G738" s="29"/>
      <c r="H738" s="97" t="e">
        <f t="shared" si="35"/>
        <v>#REF!</v>
      </c>
    </row>
    <row r="739" spans="1:8" ht="20.100000000000001" customHeight="1">
      <c r="A739" s="22" t="s">
        <v>4384</v>
      </c>
      <c r="B739" s="22" t="s">
        <v>4383</v>
      </c>
      <c r="C739" s="23" t="s">
        <v>4385</v>
      </c>
      <c r="D739" s="30">
        <v>1011.0068</v>
      </c>
      <c r="E739" s="94">
        <f t="shared" si="33"/>
        <v>37.070249333333336</v>
      </c>
      <c r="F739" s="94">
        <f t="shared" si="34"/>
        <v>40.440272</v>
      </c>
      <c r="G739" s="29"/>
      <c r="H739" s="97">
        <f t="shared" si="35"/>
        <v>36.76388363636363</v>
      </c>
    </row>
    <row r="740" spans="1:8" ht="20.100000000000001" customHeight="1">
      <c r="A740" s="21" t="s">
        <v>4387</v>
      </c>
      <c r="B740" s="21" t="s">
        <v>4386</v>
      </c>
      <c r="C740" s="23" t="s">
        <v>4388</v>
      </c>
      <c r="D740" s="30" t="e">
        <f>#REF!+#REF!</f>
        <v>#REF!</v>
      </c>
      <c r="E740" s="94" t="e">
        <f t="shared" si="33"/>
        <v>#REF!</v>
      </c>
      <c r="F740" s="94" t="e">
        <f t="shared" si="34"/>
        <v>#REF!</v>
      </c>
      <c r="G740" s="29"/>
      <c r="H740" s="97" t="e">
        <f t="shared" si="35"/>
        <v>#REF!</v>
      </c>
    </row>
    <row r="741" spans="1:8" ht="20.100000000000001" customHeight="1">
      <c r="A741" s="22" t="s">
        <v>4390</v>
      </c>
      <c r="B741" s="22" t="s">
        <v>4389</v>
      </c>
      <c r="C741" s="23" t="s">
        <v>4391</v>
      </c>
      <c r="D741" s="30" t="e">
        <f>#REF!+#REF!</f>
        <v>#REF!</v>
      </c>
      <c r="E741" s="94" t="e">
        <f t="shared" si="33"/>
        <v>#REF!</v>
      </c>
      <c r="F741" s="94" t="e">
        <f t="shared" si="34"/>
        <v>#REF!</v>
      </c>
      <c r="G741" s="29"/>
      <c r="H741" s="97" t="e">
        <f t="shared" si="35"/>
        <v>#REF!</v>
      </c>
    </row>
    <row r="742" spans="1:8" ht="20.100000000000001" customHeight="1">
      <c r="A742" s="22" t="s">
        <v>4393</v>
      </c>
      <c r="B742" s="22" t="s">
        <v>4392</v>
      </c>
      <c r="C742" s="23" t="s">
        <v>4394</v>
      </c>
      <c r="D742" s="30">
        <v>652.03120000000001</v>
      </c>
      <c r="E742" s="94">
        <f t="shared" si="33"/>
        <v>23.907810666666666</v>
      </c>
      <c r="F742" s="94">
        <f t="shared" si="34"/>
        <v>26.081248000000002</v>
      </c>
      <c r="G742" s="29"/>
      <c r="H742" s="97">
        <f t="shared" si="35"/>
        <v>23.710225454545455</v>
      </c>
    </row>
    <row r="743" spans="1:8" ht="20.100000000000001" customHeight="1">
      <c r="A743" s="22" t="s">
        <v>4396</v>
      </c>
      <c r="B743" s="22" t="s">
        <v>4395</v>
      </c>
      <c r="C743" s="23" t="s">
        <v>4397</v>
      </c>
      <c r="D743" s="30">
        <v>587.1</v>
      </c>
      <c r="E743" s="94">
        <f t="shared" si="33"/>
        <v>21.527000000000001</v>
      </c>
      <c r="F743" s="94">
        <f t="shared" si="34"/>
        <v>23.483999999999998</v>
      </c>
      <c r="G743" s="29"/>
      <c r="H743" s="97">
        <f t="shared" si="35"/>
        <v>21.349090909090908</v>
      </c>
    </row>
    <row r="744" spans="1:8" ht="20.100000000000001" customHeight="1">
      <c r="A744" s="21" t="s">
        <v>4399</v>
      </c>
      <c r="B744" s="21" t="s">
        <v>4398</v>
      </c>
      <c r="C744" s="28" t="s">
        <v>4400</v>
      </c>
      <c r="D744" s="30">
        <v>525.30000000000007</v>
      </c>
      <c r="E744" s="94">
        <f t="shared" si="33"/>
        <v>19.261000000000006</v>
      </c>
      <c r="F744" s="94">
        <f t="shared" si="34"/>
        <v>21.012</v>
      </c>
      <c r="G744" s="29"/>
      <c r="H744" s="97">
        <f t="shared" si="35"/>
        <v>19.101818181818182</v>
      </c>
    </row>
    <row r="745" spans="1:8" ht="20.100000000000001" customHeight="1">
      <c r="A745" s="22" t="s">
        <v>4402</v>
      </c>
      <c r="B745" s="22" t="s">
        <v>4401</v>
      </c>
      <c r="C745" s="23" t="s">
        <v>4403</v>
      </c>
      <c r="D745" s="30" t="e">
        <f>#REF!+#REF!</f>
        <v>#REF!</v>
      </c>
      <c r="E745" s="94" t="e">
        <f t="shared" si="33"/>
        <v>#REF!</v>
      </c>
      <c r="F745" s="94" t="e">
        <f t="shared" si="34"/>
        <v>#REF!</v>
      </c>
      <c r="G745" s="29"/>
      <c r="H745" s="97" t="e">
        <f t="shared" si="35"/>
        <v>#REF!</v>
      </c>
    </row>
    <row r="746" spans="1:8" ht="20.100000000000001" customHeight="1">
      <c r="A746" s="21" t="s">
        <v>4405</v>
      </c>
      <c r="B746" s="21" t="s">
        <v>4404</v>
      </c>
      <c r="C746" s="23" t="s">
        <v>4406</v>
      </c>
      <c r="D746" s="30">
        <v>1011.0068</v>
      </c>
      <c r="E746" s="94">
        <f t="shared" si="33"/>
        <v>37.070249333333336</v>
      </c>
      <c r="F746" s="94">
        <f t="shared" si="34"/>
        <v>40.440272</v>
      </c>
      <c r="G746" s="29"/>
      <c r="H746" s="97">
        <f t="shared" si="35"/>
        <v>36.76388363636363</v>
      </c>
    </row>
    <row r="747" spans="1:8" ht="20.100000000000001" customHeight="1">
      <c r="A747" s="22" t="s">
        <v>4408</v>
      </c>
      <c r="B747" s="22" t="s">
        <v>4407</v>
      </c>
      <c r="C747" s="23" t="s">
        <v>4409</v>
      </c>
      <c r="D747" s="30">
        <v>763.48750000000007</v>
      </c>
      <c r="E747" s="94">
        <f t="shared" si="33"/>
        <v>27.994541666666674</v>
      </c>
      <c r="F747" s="94">
        <f t="shared" si="34"/>
        <v>30.5395</v>
      </c>
      <c r="G747" s="29"/>
      <c r="H747" s="97">
        <f t="shared" si="35"/>
        <v>27.76318181818182</v>
      </c>
    </row>
    <row r="748" spans="1:8" ht="20.100000000000001" customHeight="1">
      <c r="A748" s="22" t="s">
        <v>4411</v>
      </c>
      <c r="B748" s="22" t="s">
        <v>4410</v>
      </c>
      <c r="C748" s="23" t="s">
        <v>4412</v>
      </c>
      <c r="D748" s="30">
        <v>871.68899999999996</v>
      </c>
      <c r="E748" s="94">
        <f t="shared" si="33"/>
        <v>31.961930000000002</v>
      </c>
      <c r="F748" s="94">
        <f t="shared" si="34"/>
        <v>34.867559999999997</v>
      </c>
      <c r="G748" s="29"/>
      <c r="H748" s="97">
        <f t="shared" si="35"/>
        <v>31.697781818181813</v>
      </c>
    </row>
    <row r="749" spans="1:8" ht="20.100000000000001" customHeight="1">
      <c r="A749" s="22" t="s">
        <v>4414</v>
      </c>
      <c r="B749" s="22" t="s">
        <v>4413</v>
      </c>
      <c r="C749" s="23" t="s">
        <v>4415</v>
      </c>
      <c r="D749" s="30" t="e">
        <f>#REF!+#REF!</f>
        <v>#REF!</v>
      </c>
      <c r="E749" s="94" t="e">
        <f t="shared" si="33"/>
        <v>#REF!</v>
      </c>
      <c r="F749" s="94" t="e">
        <f t="shared" si="34"/>
        <v>#REF!</v>
      </c>
      <c r="G749" s="29"/>
      <c r="H749" s="97" t="e">
        <f t="shared" si="35"/>
        <v>#REF!</v>
      </c>
    </row>
    <row r="750" spans="1:8" ht="20.100000000000001" customHeight="1">
      <c r="A750" s="22" t="s">
        <v>4417</v>
      </c>
      <c r="B750" s="22" t="s">
        <v>4416</v>
      </c>
      <c r="C750" s="23" t="s">
        <v>4418</v>
      </c>
      <c r="D750" s="30">
        <v>707.75419999999997</v>
      </c>
      <c r="E750" s="94">
        <f t="shared" si="33"/>
        <v>25.950987333333334</v>
      </c>
      <c r="F750" s="94">
        <f t="shared" si="34"/>
        <v>28.310167999999997</v>
      </c>
      <c r="G750" s="29"/>
      <c r="H750" s="97">
        <f t="shared" si="35"/>
        <v>25.736516363636362</v>
      </c>
    </row>
    <row r="751" spans="1:8" ht="20.100000000000001" customHeight="1">
      <c r="A751" s="21" t="s">
        <v>4420</v>
      </c>
      <c r="B751" s="21" t="s">
        <v>4419</v>
      </c>
      <c r="C751" s="28" t="s">
        <v>4421</v>
      </c>
      <c r="D751" s="30" t="e">
        <f>#REF!+#REF!</f>
        <v>#REF!</v>
      </c>
      <c r="E751" s="94" t="e">
        <f t="shared" si="33"/>
        <v>#REF!</v>
      </c>
      <c r="F751" s="94" t="e">
        <f t="shared" si="34"/>
        <v>#REF!</v>
      </c>
      <c r="G751" s="29"/>
      <c r="H751" s="97" t="e">
        <f t="shared" si="35"/>
        <v>#REF!</v>
      </c>
    </row>
    <row r="752" spans="1:8" ht="20.100000000000001" customHeight="1">
      <c r="A752" s="21" t="s">
        <v>4423</v>
      </c>
      <c r="B752" s="21" t="s">
        <v>4422</v>
      </c>
      <c r="C752" s="28" t="s">
        <v>4424</v>
      </c>
      <c r="D752" s="30">
        <v>1149.3461</v>
      </c>
      <c r="E752" s="94">
        <f t="shared" si="33"/>
        <v>42.142690333333334</v>
      </c>
      <c r="F752" s="94">
        <f t="shared" si="34"/>
        <v>45.973844</v>
      </c>
      <c r="G752" s="29"/>
      <c r="H752" s="97">
        <f t="shared" si="35"/>
        <v>41.79440363636364</v>
      </c>
    </row>
    <row r="753" spans="1:8" ht="20.100000000000001" customHeight="1">
      <c r="A753" s="21" t="s">
        <v>4426</v>
      </c>
      <c r="B753" s="21" t="s">
        <v>4425</v>
      </c>
      <c r="C753" s="28" t="s">
        <v>4427</v>
      </c>
      <c r="D753" s="30">
        <v>574.00869999999998</v>
      </c>
      <c r="E753" s="94">
        <f t="shared" si="33"/>
        <v>21.046985666666668</v>
      </c>
      <c r="F753" s="94">
        <f t="shared" si="34"/>
        <v>22.960348</v>
      </c>
      <c r="G753" s="29"/>
      <c r="H753" s="97">
        <f t="shared" si="35"/>
        <v>20.873043636363636</v>
      </c>
    </row>
    <row r="754" spans="1:8" ht="20.100000000000001" customHeight="1">
      <c r="A754" s="21" t="s">
        <v>4429</v>
      </c>
      <c r="B754" s="21" t="s">
        <v>4428</v>
      </c>
      <c r="C754" s="28" t="s">
        <v>4430</v>
      </c>
      <c r="D754" s="30">
        <v>530.45000000000005</v>
      </c>
      <c r="E754" s="94">
        <f t="shared" si="33"/>
        <v>19.449833333333338</v>
      </c>
      <c r="F754" s="94">
        <f t="shared" si="34"/>
        <v>21.218000000000004</v>
      </c>
      <c r="G754" s="29"/>
      <c r="H754" s="97">
        <f t="shared" si="35"/>
        <v>19.289090909090913</v>
      </c>
    </row>
    <row r="755" spans="1:8" ht="20.100000000000001" customHeight="1">
      <c r="A755" s="22" t="s">
        <v>4432</v>
      </c>
      <c r="B755" s="22" t="s">
        <v>4431</v>
      </c>
      <c r="C755" s="23" t="s">
        <v>4433</v>
      </c>
      <c r="D755" s="30">
        <v>654.05000000000007</v>
      </c>
      <c r="E755" s="94">
        <f t="shared" si="33"/>
        <v>23.981833333333338</v>
      </c>
      <c r="F755" s="94">
        <f t="shared" si="34"/>
        <v>26.161999999999999</v>
      </c>
      <c r="G755" s="29"/>
      <c r="H755" s="97">
        <f t="shared" si="35"/>
        <v>23.783636363636365</v>
      </c>
    </row>
    <row r="756" spans="1:8" ht="20.100000000000001" customHeight="1">
      <c r="A756" s="21" t="s">
        <v>4435</v>
      </c>
      <c r="B756" s="21" t="s">
        <v>4434</v>
      </c>
      <c r="C756" s="28" t="s">
        <v>4436</v>
      </c>
      <c r="D756" s="30" t="e">
        <f>#REF!+#REF!</f>
        <v>#REF!</v>
      </c>
      <c r="E756" s="94" t="e">
        <f t="shared" si="33"/>
        <v>#REF!</v>
      </c>
      <c r="F756" s="94" t="e">
        <f t="shared" si="34"/>
        <v>#REF!</v>
      </c>
      <c r="G756" s="29"/>
      <c r="H756" s="97" t="e">
        <f t="shared" si="35"/>
        <v>#REF!</v>
      </c>
    </row>
    <row r="757" spans="1:8" ht="20.100000000000001" customHeight="1">
      <c r="A757" s="22" t="s">
        <v>4438</v>
      </c>
      <c r="B757" s="22" t="s">
        <v>4437</v>
      </c>
      <c r="C757" s="23" t="s">
        <v>4439</v>
      </c>
      <c r="D757" s="30">
        <v>576.80000000000007</v>
      </c>
      <c r="E757" s="94">
        <f t="shared" si="33"/>
        <v>21.149333333333338</v>
      </c>
      <c r="F757" s="94">
        <f t="shared" si="34"/>
        <v>23.072000000000003</v>
      </c>
      <c r="G757" s="29"/>
      <c r="H757" s="97">
        <f t="shared" si="35"/>
        <v>20.974545454545456</v>
      </c>
    </row>
    <row r="758" spans="1:8" ht="20.100000000000001" customHeight="1">
      <c r="A758" s="22" t="s">
        <v>4441</v>
      </c>
      <c r="B758" s="22" t="s">
        <v>4440</v>
      </c>
      <c r="C758" s="23" t="s">
        <v>4442</v>
      </c>
      <c r="D758" s="30">
        <v>827.72860000000003</v>
      </c>
      <c r="E758" s="94">
        <f t="shared" si="33"/>
        <v>30.35004866666667</v>
      </c>
      <c r="F758" s="94">
        <f t="shared" si="34"/>
        <v>33.109144000000001</v>
      </c>
      <c r="G758" s="29"/>
      <c r="H758" s="97">
        <f t="shared" si="35"/>
        <v>30.099221818181817</v>
      </c>
    </row>
    <row r="759" spans="1:8" ht="20.100000000000001" customHeight="1">
      <c r="A759" s="22" t="s">
        <v>4444</v>
      </c>
      <c r="B759" s="22" t="s">
        <v>4443</v>
      </c>
      <c r="C759" s="23" t="s">
        <v>4445</v>
      </c>
      <c r="D759" s="30">
        <v>580.91999999999996</v>
      </c>
      <c r="E759" s="94">
        <f t="shared" si="33"/>
        <v>21.300400000000003</v>
      </c>
      <c r="F759" s="94">
        <f t="shared" si="34"/>
        <v>23.236799999999999</v>
      </c>
      <c r="G759" s="29"/>
      <c r="H759" s="97">
        <f t="shared" si="35"/>
        <v>21.124363636363633</v>
      </c>
    </row>
    <row r="760" spans="1:8" ht="20.100000000000001" customHeight="1">
      <c r="A760" s="21" t="s">
        <v>4447</v>
      </c>
      <c r="B760" s="21" t="s">
        <v>4446</v>
      </c>
      <c r="C760" s="28" t="s">
        <v>4448</v>
      </c>
      <c r="D760" s="30">
        <v>597.4</v>
      </c>
      <c r="E760" s="94">
        <f t="shared" si="33"/>
        <v>21.904666666666667</v>
      </c>
      <c r="F760" s="94">
        <f t="shared" si="34"/>
        <v>23.896000000000001</v>
      </c>
      <c r="G760" s="29"/>
      <c r="H760" s="97">
        <f t="shared" si="35"/>
        <v>21.723636363636363</v>
      </c>
    </row>
    <row r="761" spans="1:8" ht="20.100000000000001" customHeight="1">
      <c r="A761" s="21" t="s">
        <v>4450</v>
      </c>
      <c r="B761" s="21" t="s">
        <v>4449</v>
      </c>
      <c r="C761" s="23" t="s">
        <v>4451</v>
      </c>
      <c r="D761" s="30">
        <v>690</v>
      </c>
      <c r="E761" s="94">
        <f t="shared" si="33"/>
        <v>25.300000000000004</v>
      </c>
      <c r="F761" s="94">
        <f t="shared" si="34"/>
        <v>27.6</v>
      </c>
      <c r="G761" s="29"/>
      <c r="H761" s="97">
        <f t="shared" si="35"/>
        <v>25.09090909090909</v>
      </c>
    </row>
    <row r="762" spans="1:8" ht="20.100000000000001" customHeight="1">
      <c r="A762" s="22" t="s">
        <v>4453</v>
      </c>
      <c r="B762" s="22" t="s">
        <v>4452</v>
      </c>
      <c r="C762" s="23" t="s">
        <v>4454</v>
      </c>
      <c r="D762" s="30">
        <v>638.6</v>
      </c>
      <c r="E762" s="94">
        <f t="shared" si="33"/>
        <v>23.415333333333333</v>
      </c>
      <c r="F762" s="94">
        <f t="shared" si="34"/>
        <v>25.544</v>
      </c>
      <c r="G762" s="29"/>
      <c r="H762" s="97">
        <f t="shared" si="35"/>
        <v>23.221818181818183</v>
      </c>
    </row>
    <row r="763" spans="1:8" ht="20.100000000000001" customHeight="1">
      <c r="A763" s="22" t="s">
        <v>4456</v>
      </c>
      <c r="B763" s="22" t="s">
        <v>4455</v>
      </c>
      <c r="C763" s="23" t="s">
        <v>4457</v>
      </c>
      <c r="D763" s="30">
        <v>642.72</v>
      </c>
      <c r="E763" s="94">
        <f t="shared" si="33"/>
        <v>23.566400000000002</v>
      </c>
      <c r="F763" s="94">
        <f t="shared" si="34"/>
        <v>25.7088</v>
      </c>
      <c r="G763" s="29"/>
      <c r="H763" s="97">
        <f t="shared" si="35"/>
        <v>23.371636363636362</v>
      </c>
    </row>
    <row r="764" spans="1:8" ht="20.100000000000001" customHeight="1">
      <c r="A764" s="21" t="s">
        <v>4459</v>
      </c>
      <c r="B764" s="21" t="s">
        <v>4458</v>
      </c>
      <c r="C764" s="28" t="s">
        <v>4460</v>
      </c>
      <c r="D764" s="30">
        <v>486</v>
      </c>
      <c r="E764" s="94">
        <f t="shared" si="33"/>
        <v>17.82</v>
      </c>
      <c r="F764" s="94">
        <f t="shared" si="34"/>
        <v>19.439999999999998</v>
      </c>
      <c r="G764" s="29"/>
      <c r="H764" s="97">
        <f t="shared" si="35"/>
        <v>17.672727272727272</v>
      </c>
    </row>
    <row r="765" spans="1:8" ht="20.100000000000001" customHeight="1">
      <c r="A765" s="22" t="s">
        <v>4462</v>
      </c>
      <c r="B765" s="22" t="s">
        <v>4461</v>
      </c>
      <c r="C765" s="23" t="s">
        <v>4463</v>
      </c>
      <c r="D765" s="30" t="e">
        <f>#REF!+#REF!</f>
        <v>#REF!</v>
      </c>
      <c r="E765" s="94" t="e">
        <f t="shared" si="33"/>
        <v>#REF!</v>
      </c>
      <c r="F765" s="94" t="e">
        <f t="shared" si="34"/>
        <v>#REF!</v>
      </c>
      <c r="G765" s="29"/>
      <c r="H765" s="97" t="e">
        <f t="shared" si="35"/>
        <v>#REF!</v>
      </c>
    </row>
    <row r="766" spans="1:8" ht="20.100000000000001" customHeight="1">
      <c r="A766" s="22" t="s">
        <v>4465</v>
      </c>
      <c r="B766" s="22" t="s">
        <v>4464</v>
      </c>
      <c r="C766" s="23" t="s">
        <v>4466</v>
      </c>
      <c r="D766" s="30" t="e">
        <f>#REF!+#REF!</f>
        <v>#REF!</v>
      </c>
      <c r="E766" s="94" t="e">
        <f t="shared" si="33"/>
        <v>#REF!</v>
      </c>
      <c r="F766" s="94" t="e">
        <f t="shared" si="34"/>
        <v>#REF!</v>
      </c>
      <c r="G766" s="29"/>
      <c r="H766" s="97" t="e">
        <f t="shared" si="35"/>
        <v>#REF!</v>
      </c>
    </row>
    <row r="767" spans="1:8" ht="20.100000000000001" customHeight="1">
      <c r="A767" s="21" t="s">
        <v>4468</v>
      </c>
      <c r="B767" s="21" t="s">
        <v>4467</v>
      </c>
      <c r="C767" s="23" t="s">
        <v>4469</v>
      </c>
      <c r="D767" s="30" t="e">
        <f>#REF!+#REF!</f>
        <v>#REF!</v>
      </c>
      <c r="E767" s="94" t="e">
        <f t="shared" si="33"/>
        <v>#REF!</v>
      </c>
      <c r="F767" s="94" t="e">
        <f t="shared" si="34"/>
        <v>#REF!</v>
      </c>
      <c r="G767" s="29"/>
      <c r="H767" s="97" t="e">
        <f t="shared" si="35"/>
        <v>#REF!</v>
      </c>
    </row>
    <row r="768" spans="1:8" ht="20.100000000000001" customHeight="1">
      <c r="A768" s="22" t="s">
        <v>4471</v>
      </c>
      <c r="B768" s="22" t="s">
        <v>4470</v>
      </c>
      <c r="C768" s="23" t="s">
        <v>4472</v>
      </c>
      <c r="D768" s="30">
        <v>470</v>
      </c>
      <c r="E768" s="94">
        <f t="shared" si="33"/>
        <v>17.233333333333334</v>
      </c>
      <c r="F768" s="94">
        <f t="shared" si="34"/>
        <v>18.8</v>
      </c>
      <c r="G768" s="29"/>
      <c r="H768" s="97">
        <f t="shared" si="35"/>
        <v>17.09090909090909</v>
      </c>
    </row>
    <row r="769" spans="1:8" ht="20.100000000000001" customHeight="1">
      <c r="A769" s="22" t="s">
        <v>4474</v>
      </c>
      <c r="B769" s="22" t="s">
        <v>4473</v>
      </c>
      <c r="C769" s="23" t="s">
        <v>4475</v>
      </c>
      <c r="D769" s="30">
        <v>769.0598</v>
      </c>
      <c r="E769" s="94">
        <f t="shared" si="33"/>
        <v>28.198859333333338</v>
      </c>
      <c r="F769" s="94">
        <f t="shared" si="34"/>
        <v>30.762391999999998</v>
      </c>
      <c r="G769" s="29"/>
      <c r="H769" s="97">
        <f t="shared" si="35"/>
        <v>27.965810909090909</v>
      </c>
    </row>
    <row r="770" spans="1:8" ht="20.100000000000001" customHeight="1">
      <c r="A770" s="21" t="s">
        <v>4477</v>
      </c>
      <c r="B770" s="21" t="s">
        <v>4476</v>
      </c>
      <c r="C770" s="28" t="s">
        <v>4478</v>
      </c>
      <c r="D770" s="30">
        <v>1011.0068</v>
      </c>
      <c r="E770" s="94">
        <f t="shared" si="33"/>
        <v>37.070249333333336</v>
      </c>
      <c r="F770" s="94">
        <f t="shared" si="34"/>
        <v>40.440272</v>
      </c>
      <c r="G770" s="29"/>
      <c r="H770" s="97">
        <f t="shared" si="35"/>
        <v>36.76388363636363</v>
      </c>
    </row>
    <row r="771" spans="1:8" ht="20.100000000000001" customHeight="1">
      <c r="A771" s="22" t="s">
        <v>4480</v>
      </c>
      <c r="B771" s="22" t="s">
        <v>4479</v>
      </c>
      <c r="C771" s="23" t="s">
        <v>4481</v>
      </c>
      <c r="D771" s="30">
        <v>694.8895</v>
      </c>
      <c r="E771" s="94">
        <f t="shared" si="33"/>
        <v>25.479281666666669</v>
      </c>
      <c r="F771" s="94">
        <f t="shared" si="34"/>
        <v>27.795579999999998</v>
      </c>
      <c r="G771" s="29"/>
      <c r="H771" s="97">
        <f t="shared" si="35"/>
        <v>25.268709090909091</v>
      </c>
    </row>
    <row r="772" spans="1:8" ht="20.100000000000001" customHeight="1">
      <c r="A772" s="22" t="s">
        <v>4483</v>
      </c>
      <c r="B772" s="22" t="s">
        <v>4482</v>
      </c>
      <c r="C772" s="23" t="s">
        <v>4484</v>
      </c>
      <c r="D772" s="30">
        <v>576.80000000000007</v>
      </c>
      <c r="E772" s="94">
        <f t="shared" si="33"/>
        <v>21.149333333333338</v>
      </c>
      <c r="F772" s="94">
        <f t="shared" si="34"/>
        <v>23.072000000000003</v>
      </c>
      <c r="G772" s="29"/>
      <c r="H772" s="97">
        <f t="shared" si="35"/>
        <v>20.974545454545456</v>
      </c>
    </row>
    <row r="773" spans="1:8" ht="20.100000000000001" customHeight="1">
      <c r="A773" s="22" t="s">
        <v>4486</v>
      </c>
      <c r="B773" s="22" t="s">
        <v>4485</v>
      </c>
      <c r="C773" s="23" t="s">
        <v>4487</v>
      </c>
      <c r="D773" s="30">
        <v>652.03120000000001</v>
      </c>
      <c r="E773" s="94">
        <f t="shared" si="33"/>
        <v>23.907810666666666</v>
      </c>
      <c r="F773" s="94">
        <f t="shared" si="34"/>
        <v>26.081248000000002</v>
      </c>
      <c r="G773" s="29"/>
      <c r="H773" s="97">
        <f t="shared" si="35"/>
        <v>23.710225454545455</v>
      </c>
    </row>
    <row r="774" spans="1:8" ht="20.100000000000001" customHeight="1">
      <c r="A774" s="22" t="s">
        <v>4489</v>
      </c>
      <c r="B774" s="22" t="s">
        <v>4488</v>
      </c>
      <c r="C774" s="23" t="s">
        <v>4490</v>
      </c>
      <c r="D774" s="30" t="e">
        <f>#REF!+#REF!</f>
        <v>#REF!</v>
      </c>
      <c r="E774" s="94" t="e">
        <f t="shared" ref="E774:E837" si="36">+(D774*1.1/30)</f>
        <v>#REF!</v>
      </c>
      <c r="F774" s="94" t="e">
        <f t="shared" ref="F774:F837" si="37">+(D774*1.2/30)</f>
        <v>#REF!</v>
      </c>
      <c r="G774" s="29"/>
      <c r="H774" s="97" t="e">
        <f t="shared" ref="H774:H837" si="38">+(D774*1.2/33)</f>
        <v>#REF!</v>
      </c>
    </row>
    <row r="775" spans="1:8" ht="20.100000000000001" customHeight="1">
      <c r="A775" s="22" t="s">
        <v>4492</v>
      </c>
      <c r="B775" s="22" t="s">
        <v>4491</v>
      </c>
      <c r="C775" s="23" t="s">
        <v>4493</v>
      </c>
      <c r="D775" s="30">
        <v>614.91</v>
      </c>
      <c r="E775" s="94">
        <f t="shared" si="36"/>
        <v>22.546700000000001</v>
      </c>
      <c r="F775" s="94">
        <f t="shared" si="37"/>
        <v>24.596399999999999</v>
      </c>
      <c r="G775" s="29"/>
      <c r="H775" s="97">
        <f t="shared" si="38"/>
        <v>22.360363636363633</v>
      </c>
    </row>
    <row r="776" spans="1:8" ht="20.100000000000001" customHeight="1">
      <c r="A776" s="22" t="s">
        <v>4495</v>
      </c>
      <c r="B776" s="22" t="s">
        <v>4494</v>
      </c>
      <c r="C776" s="23" t="s">
        <v>4496</v>
      </c>
      <c r="D776" s="30">
        <v>652.03120000000001</v>
      </c>
      <c r="E776" s="94">
        <f t="shared" si="36"/>
        <v>23.907810666666666</v>
      </c>
      <c r="F776" s="94">
        <f t="shared" si="37"/>
        <v>26.081248000000002</v>
      </c>
      <c r="G776" s="29"/>
      <c r="H776" s="97">
        <f t="shared" si="38"/>
        <v>23.710225454545455</v>
      </c>
    </row>
    <row r="777" spans="1:8" ht="20.100000000000001" customHeight="1">
      <c r="A777" s="22" t="s">
        <v>4498</v>
      </c>
      <c r="B777" s="22" t="s">
        <v>4497</v>
      </c>
      <c r="C777" s="23" t="s">
        <v>4499</v>
      </c>
      <c r="D777" s="30">
        <v>707.75419999999997</v>
      </c>
      <c r="E777" s="94">
        <f t="shared" si="36"/>
        <v>25.950987333333334</v>
      </c>
      <c r="F777" s="94">
        <f t="shared" si="37"/>
        <v>28.310167999999997</v>
      </c>
      <c r="G777" s="29"/>
      <c r="H777" s="97">
        <f t="shared" si="38"/>
        <v>25.736516363636362</v>
      </c>
    </row>
    <row r="778" spans="1:8" ht="20.100000000000001" customHeight="1">
      <c r="A778" s="21" t="s">
        <v>4501</v>
      </c>
      <c r="B778" s="21" t="s">
        <v>4500</v>
      </c>
      <c r="C778" s="28" t="s">
        <v>4502</v>
      </c>
      <c r="D778" s="30" t="e">
        <f>#REF!+#REF!</f>
        <v>#REF!</v>
      </c>
      <c r="E778" s="94" t="e">
        <f t="shared" si="36"/>
        <v>#REF!</v>
      </c>
      <c r="F778" s="94" t="e">
        <f t="shared" si="37"/>
        <v>#REF!</v>
      </c>
      <c r="G778" s="29"/>
      <c r="H778" s="97" t="e">
        <f t="shared" si="38"/>
        <v>#REF!</v>
      </c>
    </row>
    <row r="779" spans="1:8" ht="20.100000000000001" customHeight="1">
      <c r="A779" s="22" t="s">
        <v>4504</v>
      </c>
      <c r="B779" s="22" t="s">
        <v>4503</v>
      </c>
      <c r="C779" s="23" t="s">
        <v>4505</v>
      </c>
      <c r="D779" s="30">
        <v>1002.9110000000001</v>
      </c>
      <c r="E779" s="94">
        <f t="shared" si="36"/>
        <v>36.773403333333341</v>
      </c>
      <c r="F779" s="94">
        <f t="shared" si="37"/>
        <v>40.116440000000004</v>
      </c>
      <c r="G779" s="29"/>
      <c r="H779" s="97">
        <f t="shared" si="38"/>
        <v>36.469490909090915</v>
      </c>
    </row>
    <row r="780" spans="1:8" ht="20.100000000000001" customHeight="1">
      <c r="A780" s="22" t="s">
        <v>4507</v>
      </c>
      <c r="B780" s="22" t="s">
        <v>4506</v>
      </c>
      <c r="C780" s="23" t="s">
        <v>4508</v>
      </c>
      <c r="D780" s="30">
        <v>618.58710000000008</v>
      </c>
      <c r="E780" s="94">
        <f t="shared" si="36"/>
        <v>22.681527000000006</v>
      </c>
      <c r="F780" s="94">
        <f t="shared" si="37"/>
        <v>24.743484000000002</v>
      </c>
      <c r="G780" s="29"/>
      <c r="H780" s="97">
        <f t="shared" si="38"/>
        <v>22.494076363636363</v>
      </c>
    </row>
    <row r="781" spans="1:8" ht="20.100000000000001" customHeight="1">
      <c r="A781" s="21" t="s">
        <v>4510</v>
      </c>
      <c r="B781" s="21" t="s">
        <v>4509</v>
      </c>
      <c r="C781" s="28" t="s">
        <v>4511</v>
      </c>
      <c r="D781" s="30" t="e">
        <f>#REF!+#REF!</f>
        <v>#REF!</v>
      </c>
      <c r="E781" s="94" t="e">
        <f t="shared" si="36"/>
        <v>#REF!</v>
      </c>
      <c r="F781" s="94" t="e">
        <f t="shared" si="37"/>
        <v>#REF!</v>
      </c>
      <c r="G781" s="29"/>
      <c r="H781" s="97" t="e">
        <f t="shared" si="38"/>
        <v>#REF!</v>
      </c>
    </row>
    <row r="782" spans="1:8" ht="20.100000000000001" customHeight="1">
      <c r="A782" s="22" t="s">
        <v>4513</v>
      </c>
      <c r="B782" s="22" t="s">
        <v>4512</v>
      </c>
      <c r="C782" s="23" t="s">
        <v>4514</v>
      </c>
      <c r="D782" s="30">
        <v>827.72860000000003</v>
      </c>
      <c r="E782" s="94">
        <f t="shared" si="36"/>
        <v>30.35004866666667</v>
      </c>
      <c r="F782" s="94">
        <f t="shared" si="37"/>
        <v>33.109144000000001</v>
      </c>
      <c r="G782" s="29"/>
      <c r="H782" s="97">
        <f t="shared" si="38"/>
        <v>30.099221818181817</v>
      </c>
    </row>
    <row r="783" spans="1:8" ht="20.100000000000001" customHeight="1">
      <c r="A783" s="22" t="s">
        <v>4516</v>
      </c>
      <c r="B783" s="22" t="s">
        <v>4515</v>
      </c>
      <c r="C783" s="23" t="s">
        <v>4517</v>
      </c>
      <c r="D783" s="30">
        <v>827.72860000000003</v>
      </c>
      <c r="E783" s="94">
        <f t="shared" si="36"/>
        <v>30.35004866666667</v>
      </c>
      <c r="F783" s="94">
        <f t="shared" si="37"/>
        <v>33.109144000000001</v>
      </c>
      <c r="G783" s="29"/>
      <c r="H783" s="97">
        <f t="shared" si="38"/>
        <v>30.099221818181817</v>
      </c>
    </row>
    <row r="784" spans="1:8" ht="20.100000000000001" customHeight="1">
      <c r="A784" s="21" t="s">
        <v>4519</v>
      </c>
      <c r="B784" s="21" t="s">
        <v>4518</v>
      </c>
      <c r="C784" s="23" t="s">
        <v>4520</v>
      </c>
      <c r="D784" s="30">
        <v>512.71339999999998</v>
      </c>
      <c r="E784" s="94">
        <f t="shared" si="36"/>
        <v>18.799491333333332</v>
      </c>
      <c r="F784" s="94">
        <f t="shared" si="37"/>
        <v>20.508535999999999</v>
      </c>
      <c r="G784" s="29"/>
      <c r="H784" s="97">
        <f t="shared" si="38"/>
        <v>18.644123636363638</v>
      </c>
    </row>
    <row r="785" spans="1:8" ht="20.100000000000001" customHeight="1">
      <c r="A785" s="21" t="s">
        <v>4522</v>
      </c>
      <c r="B785" s="21" t="s">
        <v>4521</v>
      </c>
      <c r="C785" s="28" t="s">
        <v>4523</v>
      </c>
      <c r="D785" s="30">
        <v>551.05000000000007</v>
      </c>
      <c r="E785" s="94">
        <f t="shared" si="36"/>
        <v>20.20516666666667</v>
      </c>
      <c r="F785" s="94">
        <f t="shared" si="37"/>
        <v>22.042000000000005</v>
      </c>
      <c r="G785" s="29"/>
      <c r="H785" s="97">
        <f t="shared" si="38"/>
        <v>20.038181818181823</v>
      </c>
    </row>
    <row r="786" spans="1:8" ht="20.100000000000001" customHeight="1">
      <c r="A786" s="21" t="s">
        <v>4525</v>
      </c>
      <c r="B786" s="21" t="s">
        <v>4524</v>
      </c>
      <c r="C786" s="23" t="s">
        <v>4526</v>
      </c>
      <c r="D786" s="30">
        <v>1149.3461</v>
      </c>
      <c r="E786" s="94">
        <f t="shared" si="36"/>
        <v>42.142690333333334</v>
      </c>
      <c r="F786" s="94">
        <f t="shared" si="37"/>
        <v>45.973844</v>
      </c>
      <c r="G786" s="29"/>
      <c r="H786" s="97">
        <f t="shared" si="38"/>
        <v>41.79440363636364</v>
      </c>
    </row>
    <row r="787" spans="1:8" ht="20.100000000000001" customHeight="1">
      <c r="A787" s="22" t="s">
        <v>4528</v>
      </c>
      <c r="B787" s="22" t="s">
        <v>4527</v>
      </c>
      <c r="C787" s="23" t="s">
        <v>4529</v>
      </c>
      <c r="D787" s="30">
        <v>827.72860000000003</v>
      </c>
      <c r="E787" s="94">
        <f t="shared" si="36"/>
        <v>30.35004866666667</v>
      </c>
      <c r="F787" s="94">
        <f t="shared" si="37"/>
        <v>33.109144000000001</v>
      </c>
      <c r="G787" s="29"/>
      <c r="H787" s="97">
        <f t="shared" si="38"/>
        <v>30.099221818181817</v>
      </c>
    </row>
    <row r="788" spans="1:8" ht="20.100000000000001" customHeight="1">
      <c r="A788" s="22" t="s">
        <v>4531</v>
      </c>
      <c r="B788" s="22" t="s">
        <v>4530</v>
      </c>
      <c r="C788" s="23" t="s">
        <v>4532</v>
      </c>
      <c r="D788" s="30">
        <v>683.92000000000007</v>
      </c>
      <c r="E788" s="94">
        <f t="shared" si="36"/>
        <v>25.077066666666671</v>
      </c>
      <c r="F788" s="94">
        <f t="shared" si="37"/>
        <v>27.356800000000003</v>
      </c>
      <c r="G788" s="29"/>
      <c r="H788" s="97">
        <f t="shared" si="38"/>
        <v>24.869818181818182</v>
      </c>
    </row>
    <row r="789" spans="1:8" ht="20.100000000000001" customHeight="1">
      <c r="A789" s="22" t="s">
        <v>4534</v>
      </c>
      <c r="B789" s="22" t="s">
        <v>4533</v>
      </c>
      <c r="C789" s="23" t="s">
        <v>4535</v>
      </c>
      <c r="D789" s="30">
        <v>556.20000000000005</v>
      </c>
      <c r="E789" s="94">
        <f t="shared" si="36"/>
        <v>20.394000000000002</v>
      </c>
      <c r="F789" s="94">
        <f t="shared" si="37"/>
        <v>22.248000000000001</v>
      </c>
      <c r="G789" s="29"/>
      <c r="H789" s="97">
        <f t="shared" si="38"/>
        <v>20.225454545454546</v>
      </c>
    </row>
    <row r="790" spans="1:8" ht="20.100000000000001" customHeight="1">
      <c r="A790" s="21" t="s">
        <v>4537</v>
      </c>
      <c r="B790" s="21" t="s">
        <v>4536</v>
      </c>
      <c r="C790" s="28" t="s">
        <v>4538</v>
      </c>
      <c r="D790" s="30" t="e">
        <f>#REF!+#REF!</f>
        <v>#REF!</v>
      </c>
      <c r="E790" s="94" t="e">
        <f t="shared" si="36"/>
        <v>#REF!</v>
      </c>
      <c r="F790" s="94" t="e">
        <f t="shared" si="37"/>
        <v>#REF!</v>
      </c>
      <c r="G790" s="29"/>
      <c r="H790" s="97" t="e">
        <f t="shared" si="38"/>
        <v>#REF!</v>
      </c>
    </row>
    <row r="791" spans="1:8" ht="20.100000000000001" customHeight="1">
      <c r="A791" s="21" t="s">
        <v>4540</v>
      </c>
      <c r="B791" s="21" t="s">
        <v>4539</v>
      </c>
      <c r="C791" s="28" t="s">
        <v>4541</v>
      </c>
      <c r="D791" s="30" t="e">
        <f>#REF!+#REF!</f>
        <v>#REF!</v>
      </c>
      <c r="E791" s="94" t="e">
        <f t="shared" si="36"/>
        <v>#REF!</v>
      </c>
      <c r="F791" s="94" t="e">
        <f t="shared" si="37"/>
        <v>#REF!</v>
      </c>
      <c r="G791" s="29"/>
      <c r="H791" s="97" t="e">
        <f t="shared" si="38"/>
        <v>#REF!</v>
      </c>
    </row>
    <row r="792" spans="1:8" ht="20.100000000000001" customHeight="1">
      <c r="A792" s="22" t="s">
        <v>4543</v>
      </c>
      <c r="B792" s="22" t="s">
        <v>4542</v>
      </c>
      <c r="C792" s="23" t="s">
        <v>4544</v>
      </c>
      <c r="D792" s="30">
        <v>618.58710000000008</v>
      </c>
      <c r="E792" s="94">
        <f t="shared" si="36"/>
        <v>22.681527000000006</v>
      </c>
      <c r="F792" s="94">
        <f t="shared" si="37"/>
        <v>24.743484000000002</v>
      </c>
      <c r="G792" s="29"/>
      <c r="H792" s="97">
        <f t="shared" si="38"/>
        <v>22.494076363636363</v>
      </c>
    </row>
    <row r="793" spans="1:8" ht="20.100000000000001" customHeight="1">
      <c r="A793" s="21" t="s">
        <v>4546</v>
      </c>
      <c r="B793" s="21" t="s">
        <v>4545</v>
      </c>
      <c r="C793" s="23" t="s">
        <v>4547</v>
      </c>
      <c r="D793" s="30">
        <v>1011.0068</v>
      </c>
      <c r="E793" s="94">
        <f t="shared" si="36"/>
        <v>37.070249333333336</v>
      </c>
      <c r="F793" s="94">
        <f t="shared" si="37"/>
        <v>40.440272</v>
      </c>
      <c r="G793" s="29"/>
      <c r="H793" s="97">
        <f t="shared" si="38"/>
        <v>36.76388363636363</v>
      </c>
    </row>
    <row r="794" spans="1:8" ht="20.100000000000001" customHeight="1">
      <c r="A794" s="21" t="s">
        <v>4549</v>
      </c>
      <c r="B794" s="21" t="s">
        <v>4548</v>
      </c>
      <c r="C794" s="23" t="s">
        <v>4550</v>
      </c>
      <c r="D794" s="30">
        <v>1011.0068</v>
      </c>
      <c r="E794" s="94">
        <f t="shared" si="36"/>
        <v>37.070249333333336</v>
      </c>
      <c r="F794" s="94">
        <f t="shared" si="37"/>
        <v>40.440272</v>
      </c>
      <c r="G794" s="29"/>
      <c r="H794" s="97">
        <f t="shared" si="38"/>
        <v>36.76388363636363</v>
      </c>
    </row>
    <row r="795" spans="1:8" ht="20.100000000000001" customHeight="1">
      <c r="A795" s="21" t="s">
        <v>4552</v>
      </c>
      <c r="B795" s="21" t="s">
        <v>4551</v>
      </c>
      <c r="C795" s="23" t="s">
        <v>4553</v>
      </c>
      <c r="D795" s="30">
        <v>1011.0068</v>
      </c>
      <c r="E795" s="94">
        <f t="shared" si="36"/>
        <v>37.070249333333336</v>
      </c>
      <c r="F795" s="94">
        <f t="shared" si="37"/>
        <v>40.440272</v>
      </c>
      <c r="G795" s="29"/>
      <c r="H795" s="97">
        <f t="shared" si="38"/>
        <v>36.76388363636363</v>
      </c>
    </row>
    <row r="796" spans="1:8" ht="20.100000000000001" customHeight="1">
      <c r="A796" s="22" t="s">
        <v>4555</v>
      </c>
      <c r="B796" s="22" t="s">
        <v>4554</v>
      </c>
      <c r="C796" s="23" t="s">
        <v>4556</v>
      </c>
      <c r="D796" s="30" t="e">
        <f>#REF!+#REF!</f>
        <v>#REF!</v>
      </c>
      <c r="E796" s="94" t="e">
        <f t="shared" si="36"/>
        <v>#REF!</v>
      </c>
      <c r="F796" s="94" t="e">
        <f t="shared" si="37"/>
        <v>#REF!</v>
      </c>
      <c r="G796" s="29"/>
      <c r="H796" s="97" t="e">
        <f t="shared" si="38"/>
        <v>#REF!</v>
      </c>
    </row>
    <row r="797" spans="1:8" ht="20.100000000000001" customHeight="1">
      <c r="A797" s="21" t="s">
        <v>4558</v>
      </c>
      <c r="B797" s="21" t="s">
        <v>4557</v>
      </c>
      <c r="C797" s="23" t="s">
        <v>4559</v>
      </c>
      <c r="D797" s="30">
        <v>679.92360000000008</v>
      </c>
      <c r="E797" s="94">
        <f t="shared" si="36"/>
        <v>24.930532000000007</v>
      </c>
      <c r="F797" s="94">
        <f t="shared" si="37"/>
        <v>27.196944000000006</v>
      </c>
      <c r="G797" s="29"/>
      <c r="H797" s="97">
        <f t="shared" si="38"/>
        <v>24.724494545454547</v>
      </c>
    </row>
    <row r="798" spans="1:8" ht="20.100000000000001" customHeight="1">
      <c r="A798" s="22" t="s">
        <v>4561</v>
      </c>
      <c r="B798" s="22" t="s">
        <v>4560</v>
      </c>
      <c r="C798" s="23" t="s">
        <v>4562</v>
      </c>
      <c r="D798" s="30">
        <v>551.71950000000004</v>
      </c>
      <c r="E798" s="94">
        <f t="shared" si="36"/>
        <v>20.229715000000002</v>
      </c>
      <c r="F798" s="94">
        <f t="shared" si="37"/>
        <v>22.06878</v>
      </c>
      <c r="G798" s="29"/>
      <c r="H798" s="97">
        <f t="shared" si="38"/>
        <v>20.062527272727273</v>
      </c>
    </row>
    <row r="799" spans="1:8" ht="20.100000000000001" customHeight="1">
      <c r="A799" s="22" t="s">
        <v>4564</v>
      </c>
      <c r="B799" s="22" t="s">
        <v>4563</v>
      </c>
      <c r="C799" s="23" t="s">
        <v>4565</v>
      </c>
      <c r="D799" s="30" t="e">
        <f>#REF!+#REF!</f>
        <v>#REF!</v>
      </c>
      <c r="E799" s="94" t="e">
        <f t="shared" si="36"/>
        <v>#REF!</v>
      </c>
      <c r="F799" s="94" t="e">
        <f t="shared" si="37"/>
        <v>#REF!</v>
      </c>
      <c r="G799" s="29"/>
      <c r="H799" s="97" t="e">
        <f t="shared" si="38"/>
        <v>#REF!</v>
      </c>
    </row>
    <row r="800" spans="1:8" ht="20.100000000000001" customHeight="1">
      <c r="A800" s="21" t="s">
        <v>4567</v>
      </c>
      <c r="B800" s="21" t="s">
        <v>4566</v>
      </c>
      <c r="C800" s="28" t="s">
        <v>4568</v>
      </c>
      <c r="D800" s="30" t="e">
        <f>#REF!+#REF!</f>
        <v>#REF!</v>
      </c>
      <c r="E800" s="94" t="e">
        <f t="shared" si="36"/>
        <v>#REF!</v>
      </c>
      <c r="F800" s="94" t="e">
        <f t="shared" si="37"/>
        <v>#REF!</v>
      </c>
      <c r="G800" s="29"/>
      <c r="H800" s="97" t="e">
        <f t="shared" si="38"/>
        <v>#REF!</v>
      </c>
    </row>
    <row r="801" spans="1:9" ht="20.100000000000001" customHeight="1">
      <c r="A801" s="22" t="s">
        <v>4570</v>
      </c>
      <c r="B801" s="22" t="s">
        <v>4569</v>
      </c>
      <c r="C801" s="23" t="s">
        <v>4571</v>
      </c>
      <c r="D801" s="30">
        <v>673</v>
      </c>
      <c r="E801" s="94">
        <f t="shared" si="36"/>
        <v>24.676666666666669</v>
      </c>
      <c r="F801" s="94">
        <f t="shared" si="37"/>
        <v>26.92</v>
      </c>
      <c r="G801" s="29"/>
      <c r="H801" s="97">
        <f t="shared" si="38"/>
        <v>24.472727272727273</v>
      </c>
      <c r="I801" s="54">
        <v>45320</v>
      </c>
    </row>
    <row r="802" spans="1:9" ht="20.100000000000001" customHeight="1">
      <c r="A802" s="21" t="s">
        <v>4573</v>
      </c>
      <c r="B802" s="21" t="s">
        <v>4572</v>
      </c>
      <c r="C802" s="28" t="s">
        <v>4574</v>
      </c>
      <c r="D802" s="30" t="e">
        <f>#REF!+#REF!</f>
        <v>#REF!</v>
      </c>
      <c r="E802" s="94" t="e">
        <f t="shared" si="36"/>
        <v>#REF!</v>
      </c>
      <c r="F802" s="94" t="e">
        <f t="shared" si="37"/>
        <v>#REF!</v>
      </c>
      <c r="G802" s="29"/>
      <c r="H802" s="97" t="e">
        <f t="shared" si="38"/>
        <v>#REF!</v>
      </c>
    </row>
    <row r="803" spans="1:9" ht="20.100000000000001" customHeight="1">
      <c r="A803" s="21" t="s">
        <v>4576</v>
      </c>
      <c r="B803" s="21" t="s">
        <v>4575</v>
      </c>
      <c r="C803" s="28" t="s">
        <v>4577</v>
      </c>
      <c r="D803" s="30" t="e">
        <f>#REF!+#REF!</f>
        <v>#REF!</v>
      </c>
      <c r="E803" s="94" t="e">
        <f t="shared" si="36"/>
        <v>#REF!</v>
      </c>
      <c r="F803" s="94" t="e">
        <f t="shared" si="37"/>
        <v>#REF!</v>
      </c>
      <c r="G803" s="29"/>
      <c r="H803" s="97" t="e">
        <f t="shared" si="38"/>
        <v>#REF!</v>
      </c>
    </row>
    <row r="804" spans="1:9" ht="20.100000000000001" customHeight="1">
      <c r="A804" s="21" t="s">
        <v>4579</v>
      </c>
      <c r="B804" s="21" t="s">
        <v>4578</v>
      </c>
      <c r="C804" s="28" t="s">
        <v>4580</v>
      </c>
      <c r="D804" s="30">
        <v>1011.8926</v>
      </c>
      <c r="E804" s="94">
        <f t="shared" si="36"/>
        <v>37.102728666666664</v>
      </c>
      <c r="F804" s="94">
        <f t="shared" si="37"/>
        <v>40.475703999999993</v>
      </c>
      <c r="G804" s="29"/>
      <c r="H804" s="97">
        <f t="shared" si="38"/>
        <v>36.796094545454544</v>
      </c>
    </row>
    <row r="805" spans="1:9" ht="20.100000000000001" customHeight="1">
      <c r="A805" s="22" t="s">
        <v>4582</v>
      </c>
      <c r="B805" s="22" t="s">
        <v>4581</v>
      </c>
      <c r="C805" s="23" t="s">
        <v>3435</v>
      </c>
      <c r="D805" s="30">
        <v>763.48750000000007</v>
      </c>
      <c r="E805" s="94">
        <f t="shared" si="36"/>
        <v>27.994541666666674</v>
      </c>
      <c r="F805" s="94">
        <f t="shared" si="37"/>
        <v>30.5395</v>
      </c>
      <c r="G805" s="29"/>
      <c r="H805" s="97">
        <f t="shared" si="38"/>
        <v>27.76318181818182</v>
      </c>
    </row>
    <row r="806" spans="1:9" ht="20.100000000000001" customHeight="1">
      <c r="A806" s="22" t="s">
        <v>4584</v>
      </c>
      <c r="B806" s="22" t="s">
        <v>4583</v>
      </c>
      <c r="C806" s="23" t="s">
        <v>4585</v>
      </c>
      <c r="D806" s="30">
        <v>991.97240000000011</v>
      </c>
      <c r="E806" s="94">
        <f t="shared" si="36"/>
        <v>36.372321333333346</v>
      </c>
      <c r="F806" s="94">
        <f t="shared" si="37"/>
        <v>39.678896000000002</v>
      </c>
      <c r="G806" s="29"/>
      <c r="H806" s="97">
        <f t="shared" si="38"/>
        <v>36.071723636363636</v>
      </c>
    </row>
    <row r="807" spans="1:9" ht="20.100000000000001" customHeight="1">
      <c r="A807" s="22" t="s">
        <v>4587</v>
      </c>
      <c r="B807" s="22" t="s">
        <v>4586</v>
      </c>
      <c r="C807" s="23" t="s">
        <v>4588</v>
      </c>
      <c r="D807" s="30" t="e">
        <f>#REF!+#REF!</f>
        <v>#REF!</v>
      </c>
      <c r="E807" s="94" t="e">
        <f t="shared" si="36"/>
        <v>#REF!</v>
      </c>
      <c r="F807" s="94" t="e">
        <f t="shared" si="37"/>
        <v>#REF!</v>
      </c>
      <c r="G807" s="29"/>
      <c r="H807" s="97" t="e">
        <f t="shared" si="38"/>
        <v>#REF!</v>
      </c>
    </row>
    <row r="808" spans="1:9" ht="20.100000000000001" customHeight="1">
      <c r="A808" s="22" t="s">
        <v>4590</v>
      </c>
      <c r="B808" s="22" t="s">
        <v>4589</v>
      </c>
      <c r="C808" s="23" t="s">
        <v>4591</v>
      </c>
      <c r="D808" s="30">
        <v>819.22080000000005</v>
      </c>
      <c r="E808" s="94">
        <f t="shared" si="36"/>
        <v>30.038096000000003</v>
      </c>
      <c r="F808" s="94">
        <f t="shared" si="37"/>
        <v>32.768832000000003</v>
      </c>
      <c r="G808" s="29"/>
      <c r="H808" s="97">
        <f t="shared" si="38"/>
        <v>29.789847272727275</v>
      </c>
    </row>
    <row r="809" spans="1:9" ht="20.100000000000001" customHeight="1">
      <c r="A809" s="22" t="s">
        <v>4593</v>
      </c>
      <c r="B809" s="22" t="s">
        <v>4592</v>
      </c>
      <c r="C809" s="23" t="s">
        <v>4594</v>
      </c>
      <c r="D809" s="30">
        <v>763.48750000000007</v>
      </c>
      <c r="E809" s="94">
        <f t="shared" si="36"/>
        <v>27.994541666666674</v>
      </c>
      <c r="F809" s="94">
        <f t="shared" si="37"/>
        <v>30.5395</v>
      </c>
      <c r="G809" s="29"/>
      <c r="H809" s="97">
        <f t="shared" si="38"/>
        <v>27.76318181818182</v>
      </c>
    </row>
    <row r="810" spans="1:9" ht="20.100000000000001" customHeight="1">
      <c r="A810" s="22" t="s">
        <v>4596</v>
      </c>
      <c r="B810" s="22" t="s">
        <v>4595</v>
      </c>
      <c r="C810" s="23" t="s">
        <v>4597</v>
      </c>
      <c r="D810" s="30">
        <v>1148.4706000000001</v>
      </c>
      <c r="E810" s="94">
        <f t="shared" si="36"/>
        <v>42.110588666666672</v>
      </c>
      <c r="F810" s="94">
        <f t="shared" si="37"/>
        <v>45.938823999999997</v>
      </c>
      <c r="G810" s="29"/>
      <c r="H810" s="97">
        <f t="shared" si="38"/>
        <v>41.762567272727274</v>
      </c>
    </row>
    <row r="811" spans="1:9" ht="20.100000000000001" customHeight="1">
      <c r="A811" s="21" t="s">
        <v>4599</v>
      </c>
      <c r="B811" s="21" t="s">
        <v>4598</v>
      </c>
      <c r="C811" s="28" t="s">
        <v>4600</v>
      </c>
      <c r="D811" s="30">
        <v>1011.0068</v>
      </c>
      <c r="E811" s="94">
        <f t="shared" si="36"/>
        <v>37.070249333333336</v>
      </c>
      <c r="F811" s="94">
        <f t="shared" si="37"/>
        <v>40.440272</v>
      </c>
      <c r="G811" s="29"/>
      <c r="H811" s="97">
        <f t="shared" si="38"/>
        <v>36.76388363636363</v>
      </c>
    </row>
    <row r="812" spans="1:9" ht="20.100000000000001" customHeight="1">
      <c r="A812" s="22" t="s">
        <v>4602</v>
      </c>
      <c r="B812" s="22" t="s">
        <v>4601</v>
      </c>
      <c r="C812" s="23" t="s">
        <v>4603</v>
      </c>
      <c r="D812" s="30" t="e">
        <f>#REF!+#REF!</f>
        <v>#REF!</v>
      </c>
      <c r="E812" s="94" t="e">
        <f t="shared" si="36"/>
        <v>#REF!</v>
      </c>
      <c r="F812" s="94" t="e">
        <f t="shared" si="37"/>
        <v>#REF!</v>
      </c>
      <c r="G812" s="29"/>
      <c r="H812" s="97" t="e">
        <f t="shared" si="38"/>
        <v>#REF!</v>
      </c>
    </row>
    <row r="813" spans="1:9" ht="20.100000000000001" customHeight="1">
      <c r="A813" s="22" t="s">
        <v>4605</v>
      </c>
      <c r="B813" s="22" t="s">
        <v>4604</v>
      </c>
      <c r="C813" s="23" t="s">
        <v>4606</v>
      </c>
      <c r="D813" s="30" t="e">
        <f>#REF!+#REF!</f>
        <v>#REF!</v>
      </c>
      <c r="E813" s="94" t="e">
        <f t="shared" si="36"/>
        <v>#REF!</v>
      </c>
      <c r="F813" s="94" t="e">
        <f t="shared" si="37"/>
        <v>#REF!</v>
      </c>
      <c r="G813" s="29"/>
      <c r="H813" s="97" t="e">
        <f t="shared" si="38"/>
        <v>#REF!</v>
      </c>
    </row>
    <row r="814" spans="1:9" ht="20.100000000000001" customHeight="1">
      <c r="A814" s="22" t="s">
        <v>4608</v>
      </c>
      <c r="B814" s="22" t="s">
        <v>4607</v>
      </c>
      <c r="C814" s="23" t="s">
        <v>4609</v>
      </c>
      <c r="D814" s="30">
        <v>1226.0399</v>
      </c>
      <c r="E814" s="94">
        <f t="shared" si="36"/>
        <v>44.954796333333334</v>
      </c>
      <c r="F814" s="94">
        <f t="shared" si="37"/>
        <v>49.041595999999998</v>
      </c>
      <c r="G814" s="29"/>
      <c r="H814" s="97">
        <f t="shared" si="38"/>
        <v>44.583269090909084</v>
      </c>
    </row>
    <row r="815" spans="1:9" ht="20.100000000000001" customHeight="1">
      <c r="A815" s="21" t="s">
        <v>4611</v>
      </c>
      <c r="B815" s="21" t="s">
        <v>4610</v>
      </c>
      <c r="C815" s="28" t="s">
        <v>4612</v>
      </c>
      <c r="D815" s="30">
        <v>1011.0068</v>
      </c>
      <c r="E815" s="94">
        <f t="shared" si="36"/>
        <v>37.070249333333336</v>
      </c>
      <c r="F815" s="94">
        <f t="shared" si="37"/>
        <v>40.440272</v>
      </c>
      <c r="G815" s="29"/>
      <c r="H815" s="97">
        <f t="shared" si="38"/>
        <v>36.76388363636363</v>
      </c>
    </row>
    <row r="816" spans="1:9" ht="20.100000000000001" customHeight="1">
      <c r="A816" s="22" t="s">
        <v>4614</v>
      </c>
      <c r="B816" s="22" t="s">
        <v>4613</v>
      </c>
      <c r="C816" s="23" t="s">
        <v>4615</v>
      </c>
      <c r="D816" s="30" t="e">
        <f>#REF!+#REF!</f>
        <v>#REF!</v>
      </c>
      <c r="E816" s="94" t="e">
        <f t="shared" si="36"/>
        <v>#REF!</v>
      </c>
      <c r="F816" s="94" t="e">
        <f t="shared" si="37"/>
        <v>#REF!</v>
      </c>
      <c r="G816" s="29"/>
      <c r="H816" s="97" t="e">
        <f t="shared" si="38"/>
        <v>#REF!</v>
      </c>
    </row>
    <row r="817" spans="1:10" ht="20.100000000000001" customHeight="1">
      <c r="A817" s="22" t="s">
        <v>5056</v>
      </c>
      <c r="B817" s="22" t="s">
        <v>5055</v>
      </c>
      <c r="C817" s="23" t="s">
        <v>5057</v>
      </c>
      <c r="D817" s="30">
        <v>819.22080000000005</v>
      </c>
      <c r="E817" s="94">
        <f t="shared" si="36"/>
        <v>30.038096000000003</v>
      </c>
      <c r="F817" s="94">
        <f t="shared" si="37"/>
        <v>32.768832000000003</v>
      </c>
      <c r="G817" s="29"/>
      <c r="H817" s="97">
        <f t="shared" si="38"/>
        <v>29.789847272727275</v>
      </c>
    </row>
    <row r="818" spans="1:10" ht="20.100000000000001" customHeight="1">
      <c r="A818" s="21" t="s">
        <v>4620</v>
      </c>
      <c r="B818" s="21" t="s">
        <v>4619</v>
      </c>
      <c r="D818" s="30">
        <v>863.19150000000002</v>
      </c>
      <c r="E818" s="94">
        <f t="shared" si="36"/>
        <v>31.650355000000001</v>
      </c>
      <c r="F818" s="94">
        <f t="shared" si="37"/>
        <v>34.527659999999997</v>
      </c>
      <c r="G818" s="29"/>
      <c r="H818" s="97">
        <f t="shared" si="38"/>
        <v>31.388781818181819</v>
      </c>
    </row>
    <row r="819" spans="1:10" ht="20.100000000000001" customHeight="1">
      <c r="A819" s="21" t="s">
        <v>4620</v>
      </c>
      <c r="B819" s="21" t="s">
        <v>4619</v>
      </c>
      <c r="C819" s="28" t="s">
        <v>3705</v>
      </c>
      <c r="D819" s="30">
        <v>863.19150000000002</v>
      </c>
      <c r="E819" s="94">
        <f t="shared" si="36"/>
        <v>31.650355000000001</v>
      </c>
      <c r="F819" s="94">
        <f t="shared" si="37"/>
        <v>34.527659999999997</v>
      </c>
      <c r="G819" s="29"/>
      <c r="H819" s="97">
        <f t="shared" si="38"/>
        <v>31.388781818181819</v>
      </c>
    </row>
    <row r="820" spans="1:10" ht="20.100000000000001" customHeight="1">
      <c r="A820" s="22" t="s">
        <v>4622</v>
      </c>
      <c r="B820" s="22" t="s">
        <v>4621</v>
      </c>
      <c r="C820" s="23" t="s">
        <v>4623</v>
      </c>
      <c r="D820" s="30" t="e">
        <f>#REF!+#REF!</f>
        <v>#REF!</v>
      </c>
      <c r="E820" s="94" t="e">
        <f t="shared" si="36"/>
        <v>#REF!</v>
      </c>
      <c r="F820" s="94" t="e">
        <f t="shared" si="37"/>
        <v>#REF!</v>
      </c>
      <c r="G820" s="29"/>
      <c r="H820" s="97" t="e">
        <f t="shared" si="38"/>
        <v>#REF!</v>
      </c>
    </row>
    <row r="821" spans="1:10" ht="20.100000000000001" customHeight="1">
      <c r="A821" s="22" t="s">
        <v>4625</v>
      </c>
      <c r="B821" s="22" t="s">
        <v>4624</v>
      </c>
      <c r="C821" s="23" t="s">
        <v>4626</v>
      </c>
      <c r="D821" s="30">
        <v>556.20000000000005</v>
      </c>
      <c r="E821" s="94">
        <f t="shared" si="36"/>
        <v>20.394000000000002</v>
      </c>
      <c r="F821" s="94">
        <f t="shared" si="37"/>
        <v>22.248000000000001</v>
      </c>
      <c r="G821" s="29"/>
      <c r="H821" s="97">
        <f t="shared" si="38"/>
        <v>20.225454545454546</v>
      </c>
    </row>
    <row r="822" spans="1:10" ht="20.100000000000001" customHeight="1">
      <c r="A822" s="21" t="s">
        <v>4628</v>
      </c>
      <c r="B822" s="21" t="s">
        <v>4627</v>
      </c>
      <c r="D822" s="30">
        <v>1149.3461</v>
      </c>
      <c r="E822" s="94">
        <f t="shared" si="36"/>
        <v>42.142690333333334</v>
      </c>
      <c r="F822" s="94">
        <f t="shared" si="37"/>
        <v>45.973844</v>
      </c>
      <c r="G822" s="29"/>
      <c r="H822" s="97">
        <f t="shared" si="38"/>
        <v>41.79440363636364</v>
      </c>
    </row>
    <row r="823" spans="1:10" ht="20.100000000000001" customHeight="1">
      <c r="A823" s="21" t="s">
        <v>4628</v>
      </c>
      <c r="B823" s="21" t="s">
        <v>4627</v>
      </c>
      <c r="C823" s="28" t="s">
        <v>3705</v>
      </c>
      <c r="D823" s="30">
        <v>1149.3461</v>
      </c>
      <c r="E823" s="94">
        <f t="shared" si="36"/>
        <v>42.142690333333334</v>
      </c>
      <c r="F823" s="94">
        <f t="shared" si="37"/>
        <v>45.973844</v>
      </c>
      <c r="G823" s="29"/>
      <c r="H823" s="97">
        <f t="shared" si="38"/>
        <v>41.79440363636364</v>
      </c>
    </row>
    <row r="824" spans="1:10" ht="20.100000000000001" customHeight="1">
      <c r="A824" s="22" t="s">
        <v>4630</v>
      </c>
      <c r="B824" s="22" t="s">
        <v>4629</v>
      </c>
      <c r="C824" s="23" t="s">
        <v>4631</v>
      </c>
      <c r="D824" s="30">
        <v>652.03120000000001</v>
      </c>
      <c r="E824" s="94">
        <f t="shared" si="36"/>
        <v>23.907810666666666</v>
      </c>
      <c r="F824" s="94">
        <f t="shared" si="37"/>
        <v>26.081248000000002</v>
      </c>
      <c r="G824" s="29"/>
      <c r="H824" s="97">
        <f t="shared" si="38"/>
        <v>23.710225454545455</v>
      </c>
    </row>
    <row r="825" spans="1:10" ht="20.100000000000001" customHeight="1">
      <c r="A825" s="22" t="s">
        <v>4633</v>
      </c>
      <c r="B825" s="22" t="s">
        <v>4632</v>
      </c>
      <c r="C825" s="23" t="s">
        <v>4634</v>
      </c>
      <c r="D825" s="30">
        <v>980.83810000000005</v>
      </c>
      <c r="E825" s="94">
        <f t="shared" si="36"/>
        <v>35.964063666666675</v>
      </c>
      <c r="F825" s="94">
        <f t="shared" si="37"/>
        <v>39.233524000000003</v>
      </c>
      <c r="G825" s="29"/>
      <c r="H825" s="97">
        <f t="shared" si="38"/>
        <v>35.666840000000001</v>
      </c>
    </row>
    <row r="826" spans="1:10" ht="20.100000000000001" customHeight="1">
      <c r="A826" s="22" t="s">
        <v>4636</v>
      </c>
      <c r="B826" s="22" t="s">
        <v>4635</v>
      </c>
      <c r="C826" s="23" t="s">
        <v>4637</v>
      </c>
      <c r="D826" s="30" t="e">
        <f>#REF!+#REF!</f>
        <v>#REF!</v>
      </c>
      <c r="E826" s="94" t="e">
        <f t="shared" si="36"/>
        <v>#REF!</v>
      </c>
      <c r="F826" s="94" t="e">
        <f t="shared" si="37"/>
        <v>#REF!</v>
      </c>
      <c r="G826" s="29"/>
      <c r="H826" s="97" t="e">
        <f t="shared" si="38"/>
        <v>#REF!</v>
      </c>
    </row>
    <row r="827" spans="1:10" ht="20.100000000000001" customHeight="1">
      <c r="A827" s="21" t="s">
        <v>4639</v>
      </c>
      <c r="B827" s="21" t="s">
        <v>4638</v>
      </c>
      <c r="C827" s="28" t="s">
        <v>4640</v>
      </c>
      <c r="D827" s="30">
        <v>550</v>
      </c>
      <c r="E827" s="94">
        <f t="shared" si="36"/>
        <v>20.166666666666668</v>
      </c>
      <c r="F827" s="94">
        <f t="shared" si="37"/>
        <v>22</v>
      </c>
      <c r="G827" s="29"/>
      <c r="H827" s="97">
        <f t="shared" si="38"/>
        <v>20</v>
      </c>
      <c r="J827" s="91" t="s">
        <v>8627</v>
      </c>
    </row>
    <row r="828" spans="1:10" ht="20.100000000000001" customHeight="1">
      <c r="A828" s="22" t="s">
        <v>4642</v>
      </c>
      <c r="B828" s="22" t="s">
        <v>4641</v>
      </c>
      <c r="C828" s="23" t="s">
        <v>4643</v>
      </c>
      <c r="D828" s="30">
        <v>763.48750000000007</v>
      </c>
      <c r="E828" s="94">
        <f t="shared" si="36"/>
        <v>27.994541666666674</v>
      </c>
      <c r="F828" s="94">
        <f t="shared" si="37"/>
        <v>30.5395</v>
      </c>
      <c r="G828" s="29"/>
      <c r="H828" s="97">
        <f t="shared" si="38"/>
        <v>27.76318181818182</v>
      </c>
    </row>
    <row r="829" spans="1:10" ht="20.100000000000001" customHeight="1">
      <c r="A829" s="21" t="s">
        <v>4645</v>
      </c>
      <c r="B829" s="21" t="s">
        <v>4644</v>
      </c>
      <c r="C829" s="28" t="s">
        <v>4646</v>
      </c>
      <c r="D829" s="30">
        <v>1149.3461</v>
      </c>
      <c r="E829" s="94">
        <f t="shared" si="36"/>
        <v>42.142690333333334</v>
      </c>
      <c r="F829" s="94">
        <f t="shared" si="37"/>
        <v>45.973844</v>
      </c>
      <c r="G829" s="29"/>
      <c r="H829" s="97">
        <f t="shared" si="38"/>
        <v>41.79440363636364</v>
      </c>
    </row>
    <row r="830" spans="1:10" ht="20.100000000000001" customHeight="1">
      <c r="A830" s="21" t="s">
        <v>4648</v>
      </c>
      <c r="B830" s="21" t="s">
        <v>4647</v>
      </c>
      <c r="C830" s="28" t="s">
        <v>4649</v>
      </c>
      <c r="D830" s="30">
        <v>278.64589999999998</v>
      </c>
      <c r="E830" s="94">
        <f t="shared" si="36"/>
        <v>10.217016333333333</v>
      </c>
      <c r="F830" s="94">
        <f t="shared" si="37"/>
        <v>11.145835999999999</v>
      </c>
      <c r="G830" s="29"/>
      <c r="H830" s="97">
        <f t="shared" si="38"/>
        <v>10.132578181818181</v>
      </c>
    </row>
    <row r="831" spans="1:10" ht="20.100000000000001" customHeight="1">
      <c r="A831" s="22" t="s">
        <v>4651</v>
      </c>
      <c r="B831" s="22" t="s">
        <v>4650</v>
      </c>
      <c r="C831" s="23" t="s">
        <v>4652</v>
      </c>
      <c r="D831" s="30">
        <v>819.22080000000005</v>
      </c>
      <c r="E831" s="94">
        <f t="shared" si="36"/>
        <v>30.038096000000003</v>
      </c>
      <c r="F831" s="94">
        <f t="shared" si="37"/>
        <v>32.768832000000003</v>
      </c>
      <c r="G831" s="29"/>
      <c r="H831" s="97">
        <f t="shared" si="38"/>
        <v>29.789847272727275</v>
      </c>
    </row>
    <row r="832" spans="1:10" ht="20.100000000000001" customHeight="1">
      <c r="A832" s="22" t="s">
        <v>4654</v>
      </c>
      <c r="B832" s="22" t="s">
        <v>4653</v>
      </c>
      <c r="C832" s="23" t="s">
        <v>4655</v>
      </c>
      <c r="D832" s="30">
        <v>642.72</v>
      </c>
      <c r="E832" s="94">
        <f t="shared" si="36"/>
        <v>23.566400000000002</v>
      </c>
      <c r="F832" s="94">
        <f t="shared" si="37"/>
        <v>25.7088</v>
      </c>
      <c r="G832" s="29"/>
      <c r="H832" s="97">
        <f t="shared" si="38"/>
        <v>23.371636363636362</v>
      </c>
    </row>
    <row r="833" spans="1:8" ht="20.100000000000001" customHeight="1">
      <c r="A833" s="21" t="s">
        <v>4657</v>
      </c>
      <c r="B833" s="21" t="s">
        <v>4656</v>
      </c>
      <c r="C833" s="28" t="s">
        <v>4658</v>
      </c>
      <c r="D833" s="30">
        <v>679.92360000000008</v>
      </c>
      <c r="E833" s="94">
        <f t="shared" si="36"/>
        <v>24.930532000000007</v>
      </c>
      <c r="F833" s="94">
        <f t="shared" si="37"/>
        <v>27.196944000000006</v>
      </c>
      <c r="G833" s="29"/>
      <c r="H833" s="97">
        <f t="shared" si="38"/>
        <v>24.724494545454547</v>
      </c>
    </row>
    <row r="834" spans="1:8" ht="20.100000000000001" customHeight="1">
      <c r="A834" s="21" t="s">
        <v>4660</v>
      </c>
      <c r="B834" s="21" t="s">
        <v>4659</v>
      </c>
      <c r="C834" s="28" t="s">
        <v>4661</v>
      </c>
      <c r="D834" s="30">
        <v>1011.0068</v>
      </c>
      <c r="E834" s="94">
        <f t="shared" si="36"/>
        <v>37.070249333333336</v>
      </c>
      <c r="F834" s="94">
        <f t="shared" si="37"/>
        <v>40.440272</v>
      </c>
      <c r="G834" s="29"/>
      <c r="H834" s="97">
        <f t="shared" si="38"/>
        <v>36.76388363636363</v>
      </c>
    </row>
    <row r="835" spans="1:8" ht="20.100000000000001" customHeight="1">
      <c r="A835" s="21" t="s">
        <v>4663</v>
      </c>
      <c r="B835" s="21" t="s">
        <v>4662</v>
      </c>
      <c r="C835" s="28" t="s">
        <v>4664</v>
      </c>
      <c r="D835" s="30">
        <v>585.16359999999997</v>
      </c>
      <c r="E835" s="94">
        <f t="shared" si="36"/>
        <v>21.45599866666667</v>
      </c>
      <c r="F835" s="94">
        <f t="shared" si="37"/>
        <v>23.406543999999997</v>
      </c>
      <c r="G835" s="29"/>
      <c r="H835" s="97">
        <f t="shared" si="38"/>
        <v>21.278676363636361</v>
      </c>
    </row>
    <row r="836" spans="1:8" ht="20.100000000000001" customHeight="1">
      <c r="A836" s="22" t="s">
        <v>4666</v>
      </c>
      <c r="B836" s="22" t="s">
        <v>4665</v>
      </c>
      <c r="C836" s="23" t="s">
        <v>4667</v>
      </c>
      <c r="D836" s="30">
        <v>576.80000000000007</v>
      </c>
      <c r="E836" s="94">
        <f t="shared" si="36"/>
        <v>21.149333333333338</v>
      </c>
      <c r="F836" s="94">
        <f t="shared" si="37"/>
        <v>23.072000000000003</v>
      </c>
      <c r="G836" s="29"/>
      <c r="H836" s="97">
        <f t="shared" si="38"/>
        <v>20.974545454545456</v>
      </c>
    </row>
    <row r="837" spans="1:8" ht="20.100000000000001" customHeight="1">
      <c r="A837" s="22" t="s">
        <v>4669</v>
      </c>
      <c r="B837" s="22" t="s">
        <v>4668</v>
      </c>
      <c r="C837" s="23" t="s">
        <v>4670</v>
      </c>
      <c r="D837" s="30" t="e">
        <f>#REF!+#REF!</f>
        <v>#REF!</v>
      </c>
      <c r="E837" s="94" t="e">
        <f t="shared" si="36"/>
        <v>#REF!</v>
      </c>
      <c r="F837" s="94" t="e">
        <f t="shared" si="37"/>
        <v>#REF!</v>
      </c>
      <c r="G837" s="29"/>
      <c r="H837" s="97" t="e">
        <f t="shared" si="38"/>
        <v>#REF!</v>
      </c>
    </row>
    <row r="838" spans="1:8" ht="20.100000000000001" customHeight="1">
      <c r="A838" s="22" t="s">
        <v>4669</v>
      </c>
      <c r="B838" s="22" t="s">
        <v>4668</v>
      </c>
      <c r="C838" s="23" t="s">
        <v>4671</v>
      </c>
      <c r="D838" s="30" t="e">
        <f>#REF!+#REF!</f>
        <v>#REF!</v>
      </c>
      <c r="E838" s="94" t="e">
        <f t="shared" ref="E838:E886" si="39">+(D838*1.1/30)</f>
        <v>#REF!</v>
      </c>
      <c r="F838" s="94" t="e">
        <f t="shared" ref="F838:F886" si="40">+(D838*1.2/30)</f>
        <v>#REF!</v>
      </c>
      <c r="G838" s="29"/>
      <c r="H838" s="97" t="e">
        <f t="shared" ref="H838:H887" si="41">+(D838*1.2/33)</f>
        <v>#REF!</v>
      </c>
    </row>
    <row r="839" spans="1:8" ht="20.100000000000001" customHeight="1">
      <c r="A839" s="22" t="s">
        <v>4673</v>
      </c>
      <c r="B839" s="22" t="s">
        <v>4672</v>
      </c>
      <c r="C839" s="23" t="s">
        <v>4674</v>
      </c>
      <c r="D839" s="30" t="e">
        <f>#REF!+#REF!</f>
        <v>#REF!</v>
      </c>
      <c r="E839" s="94" t="e">
        <f t="shared" si="39"/>
        <v>#REF!</v>
      </c>
      <c r="F839" s="94" t="e">
        <f t="shared" si="40"/>
        <v>#REF!</v>
      </c>
      <c r="G839" s="29"/>
      <c r="H839" s="97" t="e">
        <f t="shared" si="41"/>
        <v>#REF!</v>
      </c>
    </row>
    <row r="840" spans="1:8" ht="20.100000000000001" customHeight="1">
      <c r="A840" s="22" t="s">
        <v>4676</v>
      </c>
      <c r="B840" s="22" t="s">
        <v>4675</v>
      </c>
      <c r="C840" s="23" t="s">
        <v>4677</v>
      </c>
      <c r="D840" s="30">
        <v>1125.7282</v>
      </c>
      <c r="E840" s="94">
        <f t="shared" si="39"/>
        <v>41.27670066666667</v>
      </c>
      <c r="F840" s="94">
        <f t="shared" si="40"/>
        <v>45.029128</v>
      </c>
      <c r="G840" s="29"/>
      <c r="H840" s="97">
        <f t="shared" si="41"/>
        <v>40.935570909090906</v>
      </c>
    </row>
    <row r="841" spans="1:8" ht="20.100000000000001" customHeight="1">
      <c r="A841" s="21" t="s">
        <v>4679</v>
      </c>
      <c r="B841" s="21" t="s">
        <v>4678</v>
      </c>
      <c r="C841" s="28" t="s">
        <v>4680</v>
      </c>
      <c r="D841" s="30" t="e">
        <f>#REF!+#REF!</f>
        <v>#REF!</v>
      </c>
      <c r="E841" s="94" t="e">
        <f t="shared" si="39"/>
        <v>#REF!</v>
      </c>
      <c r="F841" s="94" t="e">
        <f t="shared" si="40"/>
        <v>#REF!</v>
      </c>
      <c r="G841" s="29"/>
      <c r="H841" s="97" t="e">
        <f t="shared" si="41"/>
        <v>#REF!</v>
      </c>
    </row>
    <row r="842" spans="1:8" ht="20.100000000000001" customHeight="1">
      <c r="A842" s="21" t="s">
        <v>4682</v>
      </c>
      <c r="B842" s="21" t="s">
        <v>4681</v>
      </c>
      <c r="C842" s="28" t="s">
        <v>4683</v>
      </c>
      <c r="D842" s="30">
        <v>1282.9679999999998</v>
      </c>
      <c r="E842" s="94">
        <f t="shared" si="39"/>
        <v>47.042159999999996</v>
      </c>
      <c r="F842" s="94">
        <f t="shared" si="40"/>
        <v>51.318719999999992</v>
      </c>
      <c r="G842" s="29"/>
      <c r="H842" s="97">
        <f t="shared" si="41"/>
        <v>46.653381818181813</v>
      </c>
    </row>
    <row r="843" spans="1:8" ht="20.100000000000001" customHeight="1">
      <c r="A843" s="22" t="s">
        <v>4685</v>
      </c>
      <c r="B843" s="22" t="s">
        <v>4684</v>
      </c>
      <c r="C843" s="23" t="s">
        <v>4686</v>
      </c>
      <c r="D843" s="30">
        <v>710.7</v>
      </c>
      <c r="E843" s="94">
        <f t="shared" si="39"/>
        <v>26.059000000000005</v>
      </c>
      <c r="F843" s="94">
        <f t="shared" si="40"/>
        <v>28.428000000000001</v>
      </c>
      <c r="G843" s="29"/>
      <c r="H843" s="97">
        <f t="shared" si="41"/>
        <v>25.843636363636364</v>
      </c>
    </row>
    <row r="844" spans="1:8" ht="20.100000000000001" customHeight="1">
      <c r="A844" s="22" t="s">
        <v>5174</v>
      </c>
      <c r="B844" s="22" t="s">
        <v>5173</v>
      </c>
      <c r="C844" s="23" t="s">
        <v>5175</v>
      </c>
      <c r="D844" s="30">
        <v>509.85</v>
      </c>
      <c r="E844" s="94">
        <f t="shared" si="39"/>
        <v>18.694500000000001</v>
      </c>
      <c r="F844" s="94">
        <f t="shared" si="40"/>
        <v>20.394000000000002</v>
      </c>
      <c r="G844" s="29"/>
      <c r="H844" s="97">
        <f t="shared" si="41"/>
        <v>18.540000000000003</v>
      </c>
    </row>
    <row r="845" spans="1:8" ht="20.100000000000001" customHeight="1">
      <c r="A845" s="22" t="s">
        <v>5200</v>
      </c>
      <c r="B845" s="22" t="s">
        <v>5199</v>
      </c>
      <c r="C845" s="23" t="s">
        <v>5201</v>
      </c>
      <c r="D845" s="30">
        <v>532.51</v>
      </c>
      <c r="E845" s="94">
        <f t="shared" si="39"/>
        <v>19.52536666666667</v>
      </c>
      <c r="F845" s="94">
        <f t="shared" si="40"/>
        <v>21.3004</v>
      </c>
      <c r="G845" s="29"/>
      <c r="H845" s="97">
        <f t="shared" si="41"/>
        <v>19.363999999999997</v>
      </c>
    </row>
    <row r="846" spans="1:8" ht="20.100000000000001" customHeight="1">
      <c r="A846" s="22" t="s">
        <v>4694</v>
      </c>
      <c r="B846" s="22" t="s">
        <v>4693</v>
      </c>
      <c r="C846" s="23" t="s">
        <v>4695</v>
      </c>
      <c r="D846" s="30">
        <v>535.6</v>
      </c>
      <c r="E846" s="94">
        <f t="shared" si="39"/>
        <v>19.638666666666669</v>
      </c>
      <c r="F846" s="94">
        <f t="shared" si="40"/>
        <v>21.423999999999999</v>
      </c>
      <c r="G846" s="29"/>
      <c r="H846" s="97">
        <f t="shared" si="41"/>
        <v>19.476363636363637</v>
      </c>
    </row>
    <row r="847" spans="1:8" ht="20.100000000000001" customHeight="1">
      <c r="A847" s="21" t="s">
        <v>4697</v>
      </c>
      <c r="B847" s="21" t="s">
        <v>4696</v>
      </c>
      <c r="C847" s="28" t="s">
        <v>4698</v>
      </c>
      <c r="D847" s="30" t="e">
        <f>#REF!+#REF!</f>
        <v>#REF!</v>
      </c>
      <c r="E847" s="94" t="e">
        <f t="shared" si="39"/>
        <v>#REF!</v>
      </c>
      <c r="F847" s="94" t="e">
        <f t="shared" si="40"/>
        <v>#REF!</v>
      </c>
      <c r="G847" s="29"/>
      <c r="H847" s="97" t="e">
        <f t="shared" si="41"/>
        <v>#REF!</v>
      </c>
    </row>
    <row r="848" spans="1:8" ht="20.100000000000001" customHeight="1">
      <c r="A848" s="22" t="s">
        <v>4700</v>
      </c>
      <c r="B848" s="22" t="s">
        <v>4699</v>
      </c>
      <c r="C848" s="23" t="s">
        <v>4701</v>
      </c>
      <c r="D848" s="30">
        <v>1285.0382999999999</v>
      </c>
      <c r="E848" s="94">
        <f t="shared" si="39"/>
        <v>47.118071</v>
      </c>
      <c r="F848" s="94">
        <f t="shared" si="40"/>
        <v>51.401531999999996</v>
      </c>
      <c r="G848" s="29"/>
      <c r="H848" s="97">
        <f t="shared" si="41"/>
        <v>46.72866545454545</v>
      </c>
    </row>
    <row r="849" spans="1:8" ht="20.100000000000001" customHeight="1">
      <c r="A849" s="22" t="s">
        <v>4703</v>
      </c>
      <c r="B849" s="22" t="s">
        <v>4702</v>
      </c>
      <c r="C849" s="23" t="s">
        <v>4704</v>
      </c>
      <c r="D849" s="30">
        <v>603</v>
      </c>
      <c r="E849" s="94">
        <f t="shared" si="39"/>
        <v>22.110000000000003</v>
      </c>
      <c r="F849" s="94">
        <f t="shared" si="40"/>
        <v>24.12</v>
      </c>
      <c r="G849" s="29"/>
      <c r="H849" s="97">
        <f t="shared" si="41"/>
        <v>21.927272727272729</v>
      </c>
    </row>
    <row r="850" spans="1:8" ht="20.100000000000001" customHeight="1">
      <c r="A850" s="22" t="s">
        <v>4706</v>
      </c>
      <c r="B850" s="22" t="s">
        <v>4705</v>
      </c>
      <c r="C850" s="23" t="s">
        <v>4707</v>
      </c>
      <c r="D850" s="30" t="e">
        <f>#REF!+#REF!</f>
        <v>#REF!</v>
      </c>
      <c r="E850" s="94" t="e">
        <f>+(D850*1.1/30)</f>
        <v>#REF!</v>
      </c>
      <c r="F850" s="94" t="e">
        <f t="shared" si="40"/>
        <v>#REF!</v>
      </c>
      <c r="G850" s="29"/>
      <c r="H850" s="97" t="e">
        <f t="shared" si="41"/>
        <v>#REF!</v>
      </c>
    </row>
    <row r="851" spans="1:8" ht="20.100000000000001" customHeight="1">
      <c r="A851" s="22" t="s">
        <v>4709</v>
      </c>
      <c r="B851" s="22" t="s">
        <v>4708</v>
      </c>
      <c r="C851" s="23" t="s">
        <v>4710</v>
      </c>
      <c r="D851" s="30">
        <v>803.4</v>
      </c>
      <c r="E851" s="94">
        <f t="shared" si="39"/>
        <v>29.458000000000002</v>
      </c>
      <c r="F851" s="94">
        <f t="shared" si="40"/>
        <v>32.135999999999996</v>
      </c>
      <c r="G851" s="29"/>
      <c r="H851" s="97">
        <f t="shared" si="41"/>
        <v>29.214545454545451</v>
      </c>
    </row>
    <row r="852" spans="1:8" ht="20.100000000000001" customHeight="1">
      <c r="A852" s="21" t="s">
        <v>4712</v>
      </c>
      <c r="B852" s="21" t="s">
        <v>4711</v>
      </c>
      <c r="C852" s="28" t="s">
        <v>4713</v>
      </c>
      <c r="D852" s="30">
        <v>1012.5414999999999</v>
      </c>
      <c r="E852" s="94">
        <f t="shared" si="39"/>
        <v>37.126521666666669</v>
      </c>
      <c r="F852" s="94">
        <f t="shared" si="40"/>
        <v>40.501659999999994</v>
      </c>
      <c r="G852" s="29"/>
      <c r="H852" s="97">
        <f t="shared" si="41"/>
        <v>36.819690909090902</v>
      </c>
    </row>
    <row r="853" spans="1:8" ht="20.100000000000001" customHeight="1">
      <c r="A853" s="21" t="s">
        <v>5384</v>
      </c>
      <c r="B853" s="21" t="s">
        <v>5383</v>
      </c>
      <c r="C853" s="28" t="s">
        <v>5385</v>
      </c>
      <c r="D853" s="30">
        <v>1011.8926</v>
      </c>
      <c r="E853" s="94">
        <f t="shared" si="39"/>
        <v>37.102728666666664</v>
      </c>
      <c r="F853" s="94">
        <f t="shared" si="40"/>
        <v>40.475703999999993</v>
      </c>
      <c r="G853" s="29"/>
      <c r="H853" s="97">
        <f t="shared" si="41"/>
        <v>36.796094545454544</v>
      </c>
    </row>
    <row r="854" spans="1:8" ht="20.100000000000001" customHeight="1">
      <c r="A854" s="21" t="s">
        <v>4718</v>
      </c>
      <c r="B854" s="21" t="s">
        <v>4717</v>
      </c>
      <c r="C854" s="28" t="s">
        <v>4719</v>
      </c>
      <c r="D854" s="30">
        <v>1011.0068</v>
      </c>
      <c r="E854" s="94">
        <f t="shared" si="39"/>
        <v>37.070249333333336</v>
      </c>
      <c r="F854" s="94">
        <f t="shared" si="40"/>
        <v>40.440272</v>
      </c>
      <c r="G854" s="29"/>
      <c r="H854" s="97">
        <f t="shared" si="41"/>
        <v>36.76388363636363</v>
      </c>
    </row>
    <row r="855" spans="1:8" ht="20.100000000000001" customHeight="1">
      <c r="A855" s="21" t="s">
        <v>4721</v>
      </c>
      <c r="B855" s="21" t="s">
        <v>4720</v>
      </c>
      <c r="C855" s="28" t="s">
        <v>4722</v>
      </c>
      <c r="D855" s="30">
        <v>982.41399999999999</v>
      </c>
      <c r="E855" s="94">
        <f t="shared" si="39"/>
        <v>36.021846666666669</v>
      </c>
      <c r="F855" s="94">
        <f t="shared" si="40"/>
        <v>39.296559999999999</v>
      </c>
      <c r="G855" s="29"/>
      <c r="H855" s="97">
        <f t="shared" si="41"/>
        <v>35.724145454545457</v>
      </c>
    </row>
    <row r="856" spans="1:8" ht="20.100000000000001" customHeight="1">
      <c r="A856" s="21" t="s">
        <v>4724</v>
      </c>
      <c r="B856" s="21" t="s">
        <v>4723</v>
      </c>
      <c r="C856" s="28" t="s">
        <v>4725</v>
      </c>
      <c r="D856" s="30">
        <v>982.41399999999999</v>
      </c>
      <c r="E856" s="94">
        <f t="shared" si="39"/>
        <v>36.021846666666669</v>
      </c>
      <c r="F856" s="94">
        <f t="shared" si="40"/>
        <v>39.296559999999999</v>
      </c>
      <c r="G856" s="29"/>
      <c r="H856" s="97">
        <f t="shared" si="41"/>
        <v>35.724145454545457</v>
      </c>
    </row>
    <row r="857" spans="1:8" ht="20.100000000000001" customHeight="1">
      <c r="A857" s="21" t="s">
        <v>4727</v>
      </c>
      <c r="B857" s="21" t="s">
        <v>4726</v>
      </c>
      <c r="C857" s="28" t="s">
        <v>4728</v>
      </c>
      <c r="D857" s="30">
        <v>649</v>
      </c>
      <c r="E857" s="94">
        <f t="shared" si="39"/>
        <v>23.79666666666667</v>
      </c>
      <c r="F857" s="94">
        <f t="shared" si="40"/>
        <v>25.959999999999997</v>
      </c>
      <c r="G857" s="29"/>
      <c r="H857" s="97">
        <f t="shared" si="41"/>
        <v>23.599999999999998</v>
      </c>
    </row>
    <row r="858" spans="1:8" ht="20.100000000000001" customHeight="1">
      <c r="A858" s="22" t="s">
        <v>4730</v>
      </c>
      <c r="B858" s="22" t="s">
        <v>4729</v>
      </c>
      <c r="C858" s="23" t="s">
        <v>4731</v>
      </c>
      <c r="D858" s="30">
        <v>618</v>
      </c>
      <c r="E858" s="94">
        <f t="shared" si="39"/>
        <v>22.660000000000004</v>
      </c>
      <c r="F858" s="94">
        <f t="shared" si="40"/>
        <v>24.720000000000002</v>
      </c>
      <c r="G858" s="29"/>
      <c r="H858" s="97">
        <f t="shared" si="41"/>
        <v>22.472727272727273</v>
      </c>
    </row>
    <row r="859" spans="1:8" ht="20.100000000000001" customHeight="1">
      <c r="A859" s="21" t="s">
        <v>4733</v>
      </c>
      <c r="B859" s="21" t="s">
        <v>4732</v>
      </c>
      <c r="C859" s="28" t="s">
        <v>4658</v>
      </c>
      <c r="D859" s="30">
        <v>1011.0068</v>
      </c>
      <c r="E859" s="94">
        <f t="shared" si="39"/>
        <v>37.070249333333336</v>
      </c>
      <c r="F859" s="94">
        <f t="shared" si="40"/>
        <v>40.440272</v>
      </c>
      <c r="G859" s="29"/>
      <c r="H859" s="97">
        <f t="shared" si="41"/>
        <v>36.76388363636363</v>
      </c>
    </row>
    <row r="860" spans="1:8" ht="20.100000000000001" customHeight="1">
      <c r="A860" s="21" t="s">
        <v>4735</v>
      </c>
      <c r="B860" s="21" t="s">
        <v>4734</v>
      </c>
      <c r="C860" s="28" t="s">
        <v>4736</v>
      </c>
      <c r="D860" s="30">
        <v>556.20000000000005</v>
      </c>
      <c r="E860" s="94">
        <f t="shared" si="39"/>
        <v>20.394000000000002</v>
      </c>
      <c r="F860" s="94">
        <f t="shared" si="40"/>
        <v>22.248000000000001</v>
      </c>
      <c r="G860" s="29"/>
      <c r="H860" s="97">
        <f t="shared" si="41"/>
        <v>20.225454545454546</v>
      </c>
    </row>
    <row r="861" spans="1:8" ht="20.100000000000001" customHeight="1">
      <c r="A861" s="21" t="s">
        <v>4738</v>
      </c>
      <c r="B861" s="21" t="s">
        <v>4737</v>
      </c>
      <c r="C861" s="28" t="s">
        <v>4739</v>
      </c>
      <c r="D861" s="30" t="e">
        <f>#REF!+#REF!</f>
        <v>#REF!</v>
      </c>
      <c r="E861" s="94" t="e">
        <f t="shared" si="39"/>
        <v>#REF!</v>
      </c>
      <c r="F861" s="94" t="e">
        <f t="shared" si="40"/>
        <v>#REF!</v>
      </c>
      <c r="G861" s="29"/>
      <c r="H861" s="97" t="e">
        <f t="shared" si="41"/>
        <v>#REF!</v>
      </c>
    </row>
    <row r="862" spans="1:8" ht="20.100000000000001" customHeight="1">
      <c r="A862" s="22" t="s">
        <v>4741</v>
      </c>
      <c r="B862" s="22" t="s">
        <v>4740</v>
      </c>
      <c r="C862" s="23" t="s">
        <v>4742</v>
      </c>
      <c r="D862" s="30" t="e">
        <f>#REF!+#REF!</f>
        <v>#REF!</v>
      </c>
      <c r="E862" s="94" t="e">
        <f t="shared" si="39"/>
        <v>#REF!</v>
      </c>
      <c r="F862" s="94" t="e">
        <f t="shared" si="40"/>
        <v>#REF!</v>
      </c>
      <c r="G862" s="29"/>
      <c r="H862" s="97" t="e">
        <f t="shared" si="41"/>
        <v>#REF!</v>
      </c>
    </row>
    <row r="863" spans="1:8" ht="20.100000000000001" customHeight="1">
      <c r="A863" s="21" t="s">
        <v>4744</v>
      </c>
      <c r="B863" s="21" t="s">
        <v>4743</v>
      </c>
      <c r="C863" s="28" t="s">
        <v>4745</v>
      </c>
      <c r="D863" s="30">
        <v>863.19150000000002</v>
      </c>
      <c r="E863" s="94">
        <f t="shared" si="39"/>
        <v>31.650355000000001</v>
      </c>
      <c r="F863" s="94">
        <f t="shared" si="40"/>
        <v>34.527659999999997</v>
      </c>
      <c r="G863" s="29"/>
      <c r="H863" s="97">
        <f t="shared" si="41"/>
        <v>31.388781818181819</v>
      </c>
    </row>
    <row r="864" spans="1:8" ht="20.100000000000001" customHeight="1">
      <c r="A864" s="21" t="s">
        <v>4747</v>
      </c>
      <c r="B864" s="21" t="s">
        <v>4746</v>
      </c>
      <c r="C864" s="28" t="s">
        <v>4748</v>
      </c>
      <c r="D864" s="30">
        <v>1011.0068</v>
      </c>
      <c r="E864" s="94">
        <f t="shared" si="39"/>
        <v>37.070249333333336</v>
      </c>
      <c r="F864" s="94">
        <f t="shared" si="40"/>
        <v>40.440272</v>
      </c>
      <c r="G864" s="29"/>
      <c r="H864" s="97">
        <f t="shared" si="41"/>
        <v>36.76388363636363</v>
      </c>
    </row>
    <row r="865" spans="1:8" ht="20.100000000000001" customHeight="1">
      <c r="A865" s="21" t="s">
        <v>4750</v>
      </c>
      <c r="B865" s="21" t="s">
        <v>4749</v>
      </c>
      <c r="C865" s="28" t="s">
        <v>4751</v>
      </c>
      <c r="D865" s="30" t="e">
        <f>#REF!+#REF!</f>
        <v>#REF!</v>
      </c>
      <c r="E865" s="94" t="e">
        <f t="shared" si="39"/>
        <v>#REF!</v>
      </c>
      <c r="F865" s="94" t="e">
        <f t="shared" si="40"/>
        <v>#REF!</v>
      </c>
      <c r="G865" s="29"/>
      <c r="H865" s="97" t="e">
        <f t="shared" si="41"/>
        <v>#REF!</v>
      </c>
    </row>
    <row r="866" spans="1:8" ht="20.100000000000001" customHeight="1">
      <c r="A866" s="22" t="s">
        <v>4753</v>
      </c>
      <c r="B866" s="22" t="s">
        <v>4752</v>
      </c>
      <c r="C866" s="23" t="s">
        <v>4754</v>
      </c>
      <c r="D866" s="30">
        <v>952.96630000000005</v>
      </c>
      <c r="E866" s="94">
        <f t="shared" si="39"/>
        <v>34.942097666666669</v>
      </c>
      <c r="F866" s="94">
        <f t="shared" si="40"/>
        <v>38.118651999999997</v>
      </c>
      <c r="G866" s="29"/>
      <c r="H866" s="97">
        <f t="shared" si="41"/>
        <v>34.653320000000001</v>
      </c>
    </row>
    <row r="867" spans="1:8" ht="20.100000000000001" customHeight="1">
      <c r="A867" s="21" t="s">
        <v>4756</v>
      </c>
      <c r="B867" s="21" t="s">
        <v>4755</v>
      </c>
      <c r="C867" s="28" t="s">
        <v>4757</v>
      </c>
      <c r="D867" s="30">
        <v>1135.1526999999999</v>
      </c>
      <c r="E867" s="94">
        <f t="shared" si="39"/>
        <v>41.622265666666664</v>
      </c>
      <c r="F867" s="94">
        <f t="shared" si="40"/>
        <v>45.406107999999996</v>
      </c>
      <c r="G867" s="29"/>
      <c r="H867" s="97">
        <f t="shared" si="41"/>
        <v>41.278279999999995</v>
      </c>
    </row>
    <row r="868" spans="1:8" ht="20.100000000000001" customHeight="1">
      <c r="A868" s="21" t="s">
        <v>4759</v>
      </c>
      <c r="B868" s="21" t="s">
        <v>4758</v>
      </c>
      <c r="C868" s="28" t="s">
        <v>4760</v>
      </c>
      <c r="D868" s="30">
        <v>855.84759999999994</v>
      </c>
      <c r="E868" s="94">
        <f t="shared" si="39"/>
        <v>31.381078666666667</v>
      </c>
      <c r="F868" s="94">
        <f t="shared" si="40"/>
        <v>34.233904000000003</v>
      </c>
      <c r="G868" s="29"/>
      <c r="H868" s="97">
        <f t="shared" si="41"/>
        <v>31.121730909090907</v>
      </c>
    </row>
    <row r="869" spans="1:8" ht="20.100000000000001" customHeight="1">
      <c r="A869" s="22" t="s">
        <v>5387</v>
      </c>
      <c r="B869" s="22" t="s">
        <v>5386</v>
      </c>
      <c r="C869" s="23" t="s">
        <v>5388</v>
      </c>
      <c r="D869" s="30">
        <v>498.52000000000004</v>
      </c>
      <c r="E869" s="94">
        <f t="shared" si="39"/>
        <v>18.279066666666669</v>
      </c>
      <c r="F869" s="94">
        <f t="shared" si="40"/>
        <v>19.940800000000003</v>
      </c>
      <c r="G869" s="29"/>
      <c r="H869" s="97">
        <f t="shared" si="41"/>
        <v>18.128</v>
      </c>
    </row>
    <row r="870" spans="1:8" ht="20.100000000000001" customHeight="1">
      <c r="A870" s="22" t="s">
        <v>4765</v>
      </c>
      <c r="B870" s="22" t="s">
        <v>4764</v>
      </c>
      <c r="C870" s="23" t="s">
        <v>4766</v>
      </c>
      <c r="D870" s="30" t="e">
        <f>#REF!+#REF!</f>
        <v>#REF!</v>
      </c>
      <c r="E870" s="94" t="e">
        <f t="shared" si="39"/>
        <v>#REF!</v>
      </c>
      <c r="F870" s="94" t="e">
        <f t="shared" si="40"/>
        <v>#REF!</v>
      </c>
      <c r="G870" s="29"/>
      <c r="H870" s="97" t="e">
        <f t="shared" si="41"/>
        <v>#REF!</v>
      </c>
    </row>
    <row r="871" spans="1:8" ht="20.100000000000001" customHeight="1">
      <c r="A871" s="21" t="s">
        <v>4768</v>
      </c>
      <c r="B871" s="21" t="s">
        <v>4767</v>
      </c>
      <c r="C871" s="28" t="s">
        <v>4769</v>
      </c>
      <c r="D871" s="30">
        <v>827.72860000000003</v>
      </c>
      <c r="E871" s="94">
        <f t="shared" si="39"/>
        <v>30.35004866666667</v>
      </c>
      <c r="F871" s="94">
        <f t="shared" si="40"/>
        <v>33.109144000000001</v>
      </c>
      <c r="G871" s="29"/>
      <c r="H871" s="97">
        <f t="shared" si="41"/>
        <v>30.099221818181817</v>
      </c>
    </row>
    <row r="872" spans="1:8" ht="20.100000000000001" customHeight="1">
      <c r="A872" s="21" t="s">
        <v>4771</v>
      </c>
      <c r="B872" s="21" t="s">
        <v>4770</v>
      </c>
      <c r="C872" s="28" t="s">
        <v>4772</v>
      </c>
      <c r="D872" s="30" t="e">
        <f>#REF!+#REF!</f>
        <v>#REF!</v>
      </c>
      <c r="E872" s="94" t="e">
        <f t="shared" si="39"/>
        <v>#REF!</v>
      </c>
      <c r="F872" s="94" t="e">
        <f t="shared" si="40"/>
        <v>#REF!</v>
      </c>
      <c r="G872" s="29"/>
      <c r="H872" s="97" t="e">
        <f t="shared" si="41"/>
        <v>#REF!</v>
      </c>
    </row>
    <row r="873" spans="1:8" ht="20.100000000000001" customHeight="1">
      <c r="A873" s="21" t="s">
        <v>4774</v>
      </c>
      <c r="B873" s="21" t="s">
        <v>4773</v>
      </c>
      <c r="C873" s="28" t="s">
        <v>4775</v>
      </c>
      <c r="D873" s="30" t="e">
        <f>#REF!+#REF!</f>
        <v>#REF!</v>
      </c>
      <c r="E873" s="94" t="e">
        <f t="shared" si="39"/>
        <v>#REF!</v>
      </c>
      <c r="F873" s="94" t="e">
        <f t="shared" si="40"/>
        <v>#REF!</v>
      </c>
      <c r="G873" s="29"/>
      <c r="H873" s="97" t="e">
        <f t="shared" si="41"/>
        <v>#REF!</v>
      </c>
    </row>
    <row r="874" spans="1:8" ht="20.100000000000001" customHeight="1">
      <c r="A874" s="21" t="s">
        <v>4777</v>
      </c>
      <c r="B874" s="21" t="s">
        <v>4776</v>
      </c>
      <c r="C874" s="28" t="s">
        <v>4778</v>
      </c>
      <c r="D874" s="30">
        <v>1011.0068</v>
      </c>
      <c r="E874" s="94">
        <f t="shared" si="39"/>
        <v>37.070249333333336</v>
      </c>
      <c r="F874" s="94">
        <f t="shared" si="40"/>
        <v>40.440272</v>
      </c>
      <c r="G874" s="29"/>
      <c r="H874" s="97">
        <f t="shared" si="41"/>
        <v>36.76388363636363</v>
      </c>
    </row>
    <row r="875" spans="1:8" ht="20.100000000000001" customHeight="1">
      <c r="A875" s="21" t="s">
        <v>4780</v>
      </c>
      <c r="B875" s="21" t="s">
        <v>4779</v>
      </c>
      <c r="C875" s="28" t="s">
        <v>4781</v>
      </c>
      <c r="D875" s="30" t="e">
        <f>#REF!+#REF!</f>
        <v>#REF!</v>
      </c>
      <c r="E875" s="94" t="e">
        <f t="shared" si="39"/>
        <v>#REF!</v>
      </c>
      <c r="F875" s="94" t="e">
        <f t="shared" si="40"/>
        <v>#REF!</v>
      </c>
      <c r="G875" s="29"/>
      <c r="H875" s="97" t="e">
        <f t="shared" si="41"/>
        <v>#REF!</v>
      </c>
    </row>
    <row r="876" spans="1:8" ht="20.100000000000001" customHeight="1">
      <c r="A876" s="21" t="s">
        <v>4783</v>
      </c>
      <c r="B876" s="21" t="s">
        <v>4782</v>
      </c>
      <c r="C876" s="28" t="s">
        <v>4784</v>
      </c>
      <c r="D876" s="30">
        <v>679.92360000000008</v>
      </c>
      <c r="E876" s="94">
        <f t="shared" si="39"/>
        <v>24.930532000000007</v>
      </c>
      <c r="F876" s="94">
        <f t="shared" si="40"/>
        <v>27.196944000000006</v>
      </c>
      <c r="G876" s="29"/>
      <c r="H876" s="97">
        <f t="shared" si="41"/>
        <v>24.724494545454547</v>
      </c>
    </row>
    <row r="877" spans="1:8" ht="20.100000000000001" customHeight="1">
      <c r="A877" s="21" t="s">
        <v>4786</v>
      </c>
      <c r="B877" s="21" t="s">
        <v>4785</v>
      </c>
      <c r="C877" s="28" t="s">
        <v>4787</v>
      </c>
      <c r="D877" s="30" t="e">
        <f>#REF!+#REF!</f>
        <v>#REF!</v>
      </c>
      <c r="E877" s="94" t="e">
        <f t="shared" si="39"/>
        <v>#REF!</v>
      </c>
      <c r="F877" s="94" t="e">
        <f t="shared" si="40"/>
        <v>#REF!</v>
      </c>
      <c r="G877" s="29"/>
      <c r="H877" s="97" t="e">
        <f t="shared" si="41"/>
        <v>#REF!</v>
      </c>
    </row>
    <row r="878" spans="1:8" ht="20.100000000000001" customHeight="1">
      <c r="A878" s="21" t="s">
        <v>4789</v>
      </c>
      <c r="B878" s="21" t="s">
        <v>4788</v>
      </c>
      <c r="C878" s="28" t="s">
        <v>4790</v>
      </c>
      <c r="D878" s="30" t="e">
        <f>#REF!+#REF!</f>
        <v>#REF!</v>
      </c>
      <c r="E878" s="94" t="e">
        <f t="shared" si="39"/>
        <v>#REF!</v>
      </c>
      <c r="F878" s="94" t="e">
        <f t="shared" si="40"/>
        <v>#REF!</v>
      </c>
      <c r="G878" s="29"/>
      <c r="H878" s="97" t="e">
        <f t="shared" si="41"/>
        <v>#REF!</v>
      </c>
    </row>
    <row r="879" spans="1:8" ht="20.100000000000001" customHeight="1">
      <c r="A879" s="21" t="s">
        <v>4792</v>
      </c>
      <c r="B879" s="21" t="s">
        <v>4791</v>
      </c>
      <c r="C879" s="28" t="s">
        <v>3871</v>
      </c>
      <c r="D879" s="30" t="e">
        <f>#REF!+#REF!</f>
        <v>#REF!</v>
      </c>
      <c r="E879" s="94" t="e">
        <f t="shared" si="39"/>
        <v>#REF!</v>
      </c>
      <c r="F879" s="94" t="e">
        <f t="shared" si="40"/>
        <v>#REF!</v>
      </c>
      <c r="G879" s="29"/>
      <c r="H879" s="97" t="e">
        <f t="shared" si="41"/>
        <v>#REF!</v>
      </c>
    </row>
    <row r="880" spans="1:8" ht="20.100000000000001" customHeight="1">
      <c r="A880" s="21" t="s">
        <v>4794</v>
      </c>
      <c r="B880" s="21" t="s">
        <v>4793</v>
      </c>
      <c r="C880" s="28" t="s">
        <v>4795</v>
      </c>
      <c r="D880" s="30">
        <v>827.72860000000003</v>
      </c>
      <c r="E880" s="94">
        <f t="shared" si="39"/>
        <v>30.35004866666667</v>
      </c>
      <c r="F880" s="94">
        <f t="shared" si="40"/>
        <v>33.109144000000001</v>
      </c>
      <c r="G880" s="29"/>
      <c r="H880" s="97">
        <f t="shared" si="41"/>
        <v>30.099221818181817</v>
      </c>
    </row>
    <row r="881" spans="1:8" ht="20.100000000000001" customHeight="1">
      <c r="A881" s="21" t="s">
        <v>4796</v>
      </c>
      <c r="B881" s="21" t="s">
        <v>3532</v>
      </c>
      <c r="C881" s="28" t="s">
        <v>4006</v>
      </c>
      <c r="D881" s="30">
        <v>618.58710000000008</v>
      </c>
      <c r="E881" s="94">
        <f t="shared" si="39"/>
        <v>22.681527000000006</v>
      </c>
      <c r="F881" s="94">
        <f t="shared" si="40"/>
        <v>24.743484000000002</v>
      </c>
      <c r="G881" s="29"/>
      <c r="H881" s="97">
        <f t="shared" si="41"/>
        <v>22.494076363636363</v>
      </c>
    </row>
    <row r="882" spans="1:8" ht="20.100000000000001" customHeight="1">
      <c r="A882" s="21" t="s">
        <v>4798</v>
      </c>
      <c r="B882" s="21" t="s">
        <v>4797</v>
      </c>
      <c r="C882" s="28" t="s">
        <v>4799</v>
      </c>
      <c r="D882" s="30">
        <v>863.19150000000002</v>
      </c>
      <c r="E882" s="94">
        <f t="shared" si="39"/>
        <v>31.650355000000001</v>
      </c>
      <c r="F882" s="94">
        <f t="shared" si="40"/>
        <v>34.527659999999997</v>
      </c>
      <c r="G882" s="29"/>
      <c r="H882" s="97">
        <f t="shared" si="41"/>
        <v>31.388781818181819</v>
      </c>
    </row>
    <row r="883" spans="1:8" ht="20.100000000000001" customHeight="1">
      <c r="A883" s="21" t="s">
        <v>4801</v>
      </c>
      <c r="B883" s="21" t="s">
        <v>4800</v>
      </c>
      <c r="C883" s="28" t="s">
        <v>4802</v>
      </c>
      <c r="D883" s="30">
        <v>462.55239999999998</v>
      </c>
      <c r="E883" s="94">
        <f t="shared" si="39"/>
        <v>16.960254666666668</v>
      </c>
      <c r="F883" s="94">
        <f t="shared" si="40"/>
        <v>18.502095999999998</v>
      </c>
      <c r="G883" s="29"/>
      <c r="H883" s="97">
        <f t="shared" si="41"/>
        <v>16.820087272727271</v>
      </c>
    </row>
    <row r="884" spans="1:8" ht="20.100000000000001" customHeight="1">
      <c r="A884" s="21" t="s">
        <v>4804</v>
      </c>
      <c r="B884" s="21" t="s">
        <v>4803</v>
      </c>
      <c r="C884" s="28" t="s">
        <v>4805</v>
      </c>
      <c r="D884" s="30" t="e">
        <f>#REF!+#REF!</f>
        <v>#REF!</v>
      </c>
      <c r="E884" s="94" t="e">
        <f t="shared" si="39"/>
        <v>#REF!</v>
      </c>
      <c r="F884" s="94" t="e">
        <f t="shared" si="40"/>
        <v>#REF!</v>
      </c>
      <c r="G884" s="29"/>
      <c r="H884" s="97" t="e">
        <f t="shared" si="41"/>
        <v>#REF!</v>
      </c>
    </row>
    <row r="885" spans="1:8" ht="20.100000000000001" customHeight="1">
      <c r="A885" s="22" t="s">
        <v>4807</v>
      </c>
      <c r="B885" s="22" t="s">
        <v>4806</v>
      </c>
      <c r="C885" s="23" t="s">
        <v>4808</v>
      </c>
      <c r="D885" s="30" t="e">
        <f>#REF!+#REF!</f>
        <v>#REF!</v>
      </c>
      <c r="E885" s="94" t="e">
        <f t="shared" si="39"/>
        <v>#REF!</v>
      </c>
      <c r="F885" s="94" t="e">
        <f t="shared" si="40"/>
        <v>#REF!</v>
      </c>
      <c r="G885" s="29"/>
      <c r="H885" s="97" t="e">
        <f t="shared" si="41"/>
        <v>#REF!</v>
      </c>
    </row>
    <row r="886" spans="1:8" ht="20.100000000000001" customHeight="1">
      <c r="A886" s="21" t="s">
        <v>4810</v>
      </c>
      <c r="B886" s="21" t="s">
        <v>4809</v>
      </c>
      <c r="C886" s="28" t="s">
        <v>4811</v>
      </c>
      <c r="D886" s="30">
        <v>1011.0068</v>
      </c>
      <c r="E886" s="94">
        <f t="shared" si="39"/>
        <v>37.070249333333336</v>
      </c>
      <c r="F886" s="94">
        <f t="shared" si="40"/>
        <v>40.440272</v>
      </c>
      <c r="G886" s="29"/>
      <c r="H886" s="97">
        <f t="shared" si="41"/>
        <v>36.76388363636363</v>
      </c>
    </row>
    <row r="887" spans="1:8">
      <c r="A887" s="22" t="s">
        <v>4813</v>
      </c>
      <c r="B887" s="22" t="s">
        <v>4812</v>
      </c>
      <c r="C887" s="23" t="s">
        <v>4814</v>
      </c>
      <c r="D887" s="30">
        <v>833.27</v>
      </c>
      <c r="E887" s="94">
        <f t="shared" ref="E887" si="42">+(D887*1.1/30)</f>
        <v>30.553233333333335</v>
      </c>
      <c r="F887" s="94">
        <f t="shared" ref="F887" si="43">+(D887*1.2/30)</f>
        <v>33.330799999999996</v>
      </c>
      <c r="G887" s="29"/>
      <c r="H887" s="97">
        <f t="shared" si="41"/>
        <v>30.300727272727272</v>
      </c>
    </row>
    <row r="888" spans="1:8" ht="20.100000000000001" customHeight="1">
      <c r="A888" s="21" t="s">
        <v>4816</v>
      </c>
      <c r="B888" s="21" t="s">
        <v>4815</v>
      </c>
      <c r="C888" s="28" t="s">
        <v>4817</v>
      </c>
      <c r="D888" s="30">
        <v>1011.0068</v>
      </c>
      <c r="E888" s="94">
        <f t="shared" ref="E888:E903" si="44">+(D888*1.1/30)</f>
        <v>37.070249333333336</v>
      </c>
      <c r="F888" s="94">
        <f t="shared" ref="F888:F903" si="45">+(D888*1.2/30)</f>
        <v>40.440272</v>
      </c>
      <c r="G888" s="29"/>
      <c r="H888" s="97">
        <f t="shared" ref="H888:H905" si="46">+(D888*1.2/33)</f>
        <v>36.76388363636363</v>
      </c>
    </row>
    <row r="889" spans="1:8" ht="20.100000000000001" customHeight="1">
      <c r="A889" s="21" t="s">
        <v>4819</v>
      </c>
      <c r="B889" s="21" t="s">
        <v>4818</v>
      </c>
      <c r="C889" s="28" t="s">
        <v>4817</v>
      </c>
      <c r="D889" s="30">
        <v>1011.0068</v>
      </c>
      <c r="E889" s="94">
        <f t="shared" si="44"/>
        <v>37.070249333333336</v>
      </c>
      <c r="F889" s="94">
        <f t="shared" si="45"/>
        <v>40.440272</v>
      </c>
      <c r="G889" s="29"/>
      <c r="H889" s="97">
        <f t="shared" si="46"/>
        <v>36.76388363636363</v>
      </c>
    </row>
    <row r="890" spans="1:8" ht="20.100000000000001" customHeight="1">
      <c r="A890" s="22" t="s">
        <v>4821</v>
      </c>
      <c r="B890" s="22" t="s">
        <v>4820</v>
      </c>
      <c r="C890" s="23" t="s">
        <v>4822</v>
      </c>
      <c r="D890" s="30">
        <v>767.35</v>
      </c>
      <c r="E890" s="94">
        <f t="shared" si="44"/>
        <v>28.136166666666668</v>
      </c>
      <c r="F890" s="94">
        <f t="shared" si="45"/>
        <v>30.694000000000003</v>
      </c>
      <c r="G890" s="29"/>
      <c r="H890" s="97">
        <f t="shared" si="46"/>
        <v>27.903636363636366</v>
      </c>
    </row>
    <row r="891" spans="1:8" ht="20.100000000000001" customHeight="1">
      <c r="A891" s="21" t="s">
        <v>4824</v>
      </c>
      <c r="B891" s="21" t="s">
        <v>4823</v>
      </c>
      <c r="C891" s="23" t="s">
        <v>4825</v>
      </c>
      <c r="D891" s="30">
        <v>628.30000000000007</v>
      </c>
      <c r="E891" s="94">
        <f t="shared" si="44"/>
        <v>23.03766666666667</v>
      </c>
      <c r="F891" s="94">
        <f t="shared" si="45"/>
        <v>25.132000000000001</v>
      </c>
      <c r="G891" s="29"/>
      <c r="H891" s="97">
        <f t="shared" si="46"/>
        <v>22.847272727272728</v>
      </c>
    </row>
    <row r="892" spans="1:8" ht="20.100000000000001" customHeight="1">
      <c r="A892" s="21" t="s">
        <v>4827</v>
      </c>
      <c r="B892" s="21" t="s">
        <v>4826</v>
      </c>
      <c r="C892" s="23" t="s">
        <v>4828</v>
      </c>
      <c r="D892" s="30">
        <v>1011.0068</v>
      </c>
      <c r="E892" s="94">
        <f t="shared" si="44"/>
        <v>37.070249333333336</v>
      </c>
      <c r="F892" s="94">
        <f t="shared" si="45"/>
        <v>40.440272</v>
      </c>
      <c r="G892" s="29"/>
      <c r="H892" s="97">
        <f t="shared" si="46"/>
        <v>36.76388363636363</v>
      </c>
    </row>
    <row r="893" spans="1:8" ht="20.100000000000001" customHeight="1">
      <c r="A893" s="22" t="s">
        <v>4830</v>
      </c>
      <c r="B893" s="22" t="s">
        <v>4829</v>
      </c>
      <c r="C893" s="23" t="s">
        <v>4831</v>
      </c>
      <c r="D893" s="30">
        <v>886.09870000000001</v>
      </c>
      <c r="E893" s="94">
        <f t="shared" si="44"/>
        <v>32.490285666666672</v>
      </c>
      <c r="F893" s="94">
        <f t="shared" si="45"/>
        <v>35.443947999999999</v>
      </c>
      <c r="G893" s="29"/>
      <c r="H893" s="97">
        <f t="shared" si="46"/>
        <v>32.221770909090907</v>
      </c>
    </row>
    <row r="894" spans="1:8" ht="20.100000000000001" customHeight="1">
      <c r="A894" s="21" t="s">
        <v>4833</v>
      </c>
      <c r="B894" s="21" t="s">
        <v>4832</v>
      </c>
      <c r="C894" s="28" t="s">
        <v>4834</v>
      </c>
      <c r="D894" s="30">
        <v>1060.076</v>
      </c>
      <c r="E894" s="94">
        <f t="shared" si="44"/>
        <v>38.86945333333334</v>
      </c>
      <c r="F894" s="94">
        <f t="shared" si="45"/>
        <v>42.403040000000004</v>
      </c>
      <c r="G894" s="29"/>
      <c r="H894" s="97">
        <f t="shared" si="46"/>
        <v>38.548218181818186</v>
      </c>
    </row>
    <row r="895" spans="1:8" ht="20.100000000000001" customHeight="1">
      <c r="A895" s="21" t="s">
        <v>4836</v>
      </c>
      <c r="B895" s="21" t="s">
        <v>4835</v>
      </c>
      <c r="C895" s="28" t="s">
        <v>4837</v>
      </c>
      <c r="D895" s="30" t="e">
        <f>#REF!+#REF!</f>
        <v>#REF!</v>
      </c>
      <c r="E895" s="94" t="e">
        <f t="shared" si="44"/>
        <v>#REF!</v>
      </c>
      <c r="F895" s="94" t="e">
        <f t="shared" si="45"/>
        <v>#REF!</v>
      </c>
      <c r="G895" s="29"/>
      <c r="H895" s="97" t="e">
        <f t="shared" si="46"/>
        <v>#REF!</v>
      </c>
    </row>
    <row r="896" spans="1:8" ht="20.100000000000001" customHeight="1">
      <c r="A896" s="21" t="s">
        <v>4839</v>
      </c>
      <c r="B896" s="21" t="s">
        <v>4838</v>
      </c>
      <c r="C896" s="28" t="s">
        <v>4840</v>
      </c>
      <c r="D896" s="30">
        <v>1149.3461</v>
      </c>
      <c r="E896" s="94">
        <f t="shared" si="44"/>
        <v>42.142690333333334</v>
      </c>
      <c r="F896" s="94">
        <f t="shared" si="45"/>
        <v>45.973844</v>
      </c>
      <c r="G896" s="29"/>
      <c r="H896" s="97">
        <f t="shared" si="46"/>
        <v>41.79440363636364</v>
      </c>
    </row>
    <row r="897" spans="1:8" ht="20.100000000000001" customHeight="1">
      <c r="A897" s="22" t="s">
        <v>4842</v>
      </c>
      <c r="B897" s="22" t="s">
        <v>4841</v>
      </c>
      <c r="C897" s="23" t="s">
        <v>4843</v>
      </c>
      <c r="D897" s="30" t="e">
        <f>#REF!+#REF!</f>
        <v>#REF!</v>
      </c>
      <c r="E897" s="94" t="e">
        <f t="shared" si="44"/>
        <v>#REF!</v>
      </c>
      <c r="F897" s="94" t="e">
        <f t="shared" si="45"/>
        <v>#REF!</v>
      </c>
      <c r="G897" s="29"/>
      <c r="H897" s="97" t="e">
        <f t="shared" si="46"/>
        <v>#REF!</v>
      </c>
    </row>
    <row r="898" spans="1:8" ht="20.100000000000001" customHeight="1">
      <c r="A898" s="21" t="s">
        <v>4845</v>
      </c>
      <c r="B898" s="21" t="s">
        <v>4844</v>
      </c>
      <c r="C898" s="28" t="s">
        <v>4846</v>
      </c>
      <c r="D898" s="30">
        <v>827.72860000000003</v>
      </c>
      <c r="E898" s="94">
        <f t="shared" si="44"/>
        <v>30.35004866666667</v>
      </c>
      <c r="F898" s="94">
        <f t="shared" si="45"/>
        <v>33.109144000000001</v>
      </c>
      <c r="G898" s="29"/>
      <c r="H898" s="97">
        <f t="shared" si="46"/>
        <v>30.099221818181817</v>
      </c>
    </row>
    <row r="899" spans="1:8" ht="20.100000000000001" customHeight="1">
      <c r="A899" s="21" t="s">
        <v>4848</v>
      </c>
      <c r="B899" s="21" t="s">
        <v>4847</v>
      </c>
      <c r="C899" s="28" t="s">
        <v>4849</v>
      </c>
      <c r="D899" s="30" t="e">
        <f>#REF!+#REF!</f>
        <v>#REF!</v>
      </c>
      <c r="E899" s="94" t="e">
        <f t="shared" si="44"/>
        <v>#REF!</v>
      </c>
      <c r="F899" s="94" t="e">
        <f t="shared" si="45"/>
        <v>#REF!</v>
      </c>
      <c r="G899" s="29"/>
      <c r="H899" s="97" t="e">
        <f t="shared" si="46"/>
        <v>#REF!</v>
      </c>
    </row>
    <row r="900" spans="1:8" ht="20.100000000000001" customHeight="1">
      <c r="A900" s="21" t="s">
        <v>4851</v>
      </c>
      <c r="B900" s="21" t="s">
        <v>4850</v>
      </c>
      <c r="C900" s="28" t="s">
        <v>4852</v>
      </c>
      <c r="D900" s="30">
        <v>1011.0068</v>
      </c>
      <c r="E900" s="94">
        <f t="shared" si="44"/>
        <v>37.070249333333336</v>
      </c>
      <c r="F900" s="94">
        <f t="shared" si="45"/>
        <v>40.440272</v>
      </c>
      <c r="G900" s="29"/>
      <c r="H900" s="97">
        <f t="shared" si="46"/>
        <v>36.76388363636363</v>
      </c>
    </row>
    <row r="901" spans="1:8" ht="20.100000000000001" customHeight="1">
      <c r="A901" s="21" t="s">
        <v>4854</v>
      </c>
      <c r="B901" s="21" t="s">
        <v>4853</v>
      </c>
      <c r="C901" s="28" t="s">
        <v>4855</v>
      </c>
      <c r="D901" s="30">
        <v>1011.0068</v>
      </c>
      <c r="E901" s="94">
        <f t="shared" si="44"/>
        <v>37.070249333333336</v>
      </c>
      <c r="F901" s="94">
        <f t="shared" si="45"/>
        <v>40.440272</v>
      </c>
      <c r="G901" s="29"/>
      <c r="H901" s="97">
        <f t="shared" si="46"/>
        <v>36.76388363636363</v>
      </c>
    </row>
    <row r="902" spans="1:8" ht="20.100000000000001" customHeight="1">
      <c r="A902" s="21" t="s">
        <v>4857</v>
      </c>
      <c r="B902" s="21" t="s">
        <v>4856</v>
      </c>
      <c r="C902" s="28" t="s">
        <v>4858</v>
      </c>
      <c r="D902" s="30">
        <v>707.75419999999997</v>
      </c>
      <c r="E902" s="94">
        <f t="shared" si="44"/>
        <v>25.950987333333334</v>
      </c>
      <c r="F902" s="94">
        <f t="shared" si="45"/>
        <v>28.310167999999997</v>
      </c>
      <c r="G902" s="29"/>
      <c r="H902" s="97">
        <f t="shared" si="46"/>
        <v>25.736516363636362</v>
      </c>
    </row>
    <row r="903" spans="1:8" ht="20.100000000000001" customHeight="1">
      <c r="A903" s="21" t="s">
        <v>4860</v>
      </c>
      <c r="B903" s="21" t="s">
        <v>4859</v>
      </c>
      <c r="C903" s="28" t="s">
        <v>4861</v>
      </c>
      <c r="D903" s="30" t="e">
        <f>#REF!+#REF!</f>
        <v>#REF!</v>
      </c>
      <c r="E903" s="94" t="e">
        <f t="shared" si="44"/>
        <v>#REF!</v>
      </c>
      <c r="F903" s="94" t="e">
        <f t="shared" si="45"/>
        <v>#REF!</v>
      </c>
      <c r="G903" s="29"/>
      <c r="H903" s="97" t="e">
        <f t="shared" si="46"/>
        <v>#REF!</v>
      </c>
    </row>
    <row r="904" spans="1:8" ht="20.100000000000001" customHeight="1">
      <c r="A904" s="21" t="s">
        <v>4863</v>
      </c>
      <c r="B904" s="21" t="s">
        <v>4862</v>
      </c>
      <c r="C904" s="28" t="s">
        <v>4864</v>
      </c>
      <c r="D904" s="30" t="e">
        <f>#REF!+#REF!</f>
        <v>#REF!</v>
      </c>
      <c r="E904" s="94" t="e">
        <f t="shared" ref="E904:E956" si="47">+(D904*1.1/30)</f>
        <v>#REF!</v>
      </c>
      <c r="F904" s="94" t="e">
        <f t="shared" ref="F904:F956" si="48">+(D904*1.2/30)</f>
        <v>#REF!</v>
      </c>
      <c r="G904" s="29"/>
      <c r="H904" s="97" t="e">
        <f t="shared" si="46"/>
        <v>#REF!</v>
      </c>
    </row>
    <row r="905" spans="1:8" ht="20.100000000000001" customHeight="1">
      <c r="A905" s="21" t="s">
        <v>4866</v>
      </c>
      <c r="B905" s="21" t="s">
        <v>4865</v>
      </c>
      <c r="C905" s="28" t="s">
        <v>4867</v>
      </c>
      <c r="D905" s="30" t="e">
        <f>#REF!+#REF!</f>
        <v>#REF!</v>
      </c>
      <c r="E905" s="94" t="e">
        <f t="shared" si="47"/>
        <v>#REF!</v>
      </c>
      <c r="F905" s="94" t="e">
        <f t="shared" si="48"/>
        <v>#REF!</v>
      </c>
      <c r="G905" s="29"/>
      <c r="H905" s="97" t="e">
        <f t="shared" si="46"/>
        <v>#REF!</v>
      </c>
    </row>
    <row r="906" spans="1:8" ht="20.100000000000001" customHeight="1">
      <c r="A906" s="21" t="s">
        <v>5569</v>
      </c>
      <c r="B906" s="21" t="s">
        <v>5568</v>
      </c>
      <c r="C906" s="28" t="s">
        <v>5570</v>
      </c>
      <c r="D906" s="30">
        <v>532.51</v>
      </c>
      <c r="E906" s="94">
        <f t="shared" si="47"/>
        <v>19.52536666666667</v>
      </c>
      <c r="F906" s="94">
        <f t="shared" si="48"/>
        <v>21.3004</v>
      </c>
      <c r="G906" s="29"/>
      <c r="H906" s="97">
        <f t="shared" ref="H906:H956" si="49">+(D906*1.2/33)</f>
        <v>19.363999999999997</v>
      </c>
    </row>
    <row r="907" spans="1:8" ht="20.100000000000001" customHeight="1">
      <c r="A907" s="22" t="s">
        <v>4872</v>
      </c>
      <c r="B907" s="22" t="s">
        <v>4871</v>
      </c>
      <c r="C907" s="23" t="s">
        <v>4873</v>
      </c>
      <c r="D907" s="30">
        <v>608.73</v>
      </c>
      <c r="E907" s="94">
        <f t="shared" si="47"/>
        <v>22.320100000000004</v>
      </c>
      <c r="F907" s="94">
        <f t="shared" si="48"/>
        <v>24.3492</v>
      </c>
      <c r="G907" s="29"/>
      <c r="H907" s="97">
        <f t="shared" si="49"/>
        <v>22.135636363636365</v>
      </c>
    </row>
    <row r="908" spans="1:8" ht="20.100000000000001" customHeight="1">
      <c r="A908" s="21" t="s">
        <v>4875</v>
      </c>
      <c r="B908" s="21" t="s">
        <v>4874</v>
      </c>
      <c r="C908" s="28" t="s">
        <v>4876</v>
      </c>
      <c r="D908" s="30">
        <v>659.2</v>
      </c>
      <c r="E908" s="94">
        <f t="shared" si="47"/>
        <v>24.170666666666669</v>
      </c>
      <c r="F908" s="94">
        <f t="shared" si="48"/>
        <v>26.368000000000002</v>
      </c>
      <c r="G908" s="29"/>
      <c r="H908" s="97">
        <f t="shared" si="49"/>
        <v>23.970909090909092</v>
      </c>
    </row>
    <row r="909" spans="1:8" ht="20.100000000000001" customHeight="1">
      <c r="A909" s="21" t="s">
        <v>4878</v>
      </c>
      <c r="B909" s="21" t="s">
        <v>4877</v>
      </c>
      <c r="C909" s="28" t="s">
        <v>4658</v>
      </c>
      <c r="D909" s="30">
        <v>596.29789999999991</v>
      </c>
      <c r="E909" s="94">
        <f t="shared" si="47"/>
        <v>21.864256333333334</v>
      </c>
      <c r="F909" s="94">
        <f t="shared" si="48"/>
        <v>23.851915999999996</v>
      </c>
      <c r="G909" s="29"/>
      <c r="H909" s="97">
        <f t="shared" si="49"/>
        <v>21.683559999999996</v>
      </c>
    </row>
    <row r="910" spans="1:8" ht="20.100000000000001" customHeight="1">
      <c r="A910" s="22" t="s">
        <v>4880</v>
      </c>
      <c r="B910" s="22" t="s">
        <v>4879</v>
      </c>
      <c r="C910" s="23" t="s">
        <v>4881</v>
      </c>
      <c r="D910" s="30">
        <v>661.26</v>
      </c>
      <c r="E910" s="94">
        <f t="shared" si="47"/>
        <v>24.246200000000002</v>
      </c>
      <c r="F910" s="94">
        <f t="shared" si="48"/>
        <v>26.450399999999998</v>
      </c>
      <c r="G910" s="29"/>
      <c r="H910" s="97">
        <f t="shared" si="49"/>
        <v>24.045818181818181</v>
      </c>
    </row>
    <row r="911" spans="1:8" ht="20.100000000000001" customHeight="1">
      <c r="A911" s="22" t="s">
        <v>4883</v>
      </c>
      <c r="B911" s="22" t="s">
        <v>4882</v>
      </c>
      <c r="C911" s="23" t="s">
        <v>4884</v>
      </c>
      <c r="D911" s="30">
        <v>508.82</v>
      </c>
      <c r="E911" s="94">
        <f t="shared" si="47"/>
        <v>18.656733333333332</v>
      </c>
      <c r="F911" s="94">
        <f t="shared" si="48"/>
        <v>20.352799999999998</v>
      </c>
      <c r="G911" s="29"/>
      <c r="H911" s="97">
        <f t="shared" si="49"/>
        <v>18.502545454545452</v>
      </c>
    </row>
    <row r="912" spans="1:8" ht="20.100000000000001" customHeight="1">
      <c r="A912" s="22" t="s">
        <v>4883</v>
      </c>
      <c r="B912" s="22" t="s">
        <v>4882</v>
      </c>
      <c r="C912" s="23" t="s">
        <v>4884</v>
      </c>
      <c r="D912" s="30">
        <v>508.82</v>
      </c>
      <c r="E912" s="94">
        <f t="shared" si="47"/>
        <v>18.656733333333332</v>
      </c>
      <c r="F912" s="94">
        <f t="shared" si="48"/>
        <v>20.352799999999998</v>
      </c>
      <c r="G912" s="29"/>
      <c r="H912" s="97">
        <f t="shared" si="49"/>
        <v>18.502545454545452</v>
      </c>
    </row>
    <row r="913" spans="1:8" ht="20.100000000000001" customHeight="1">
      <c r="A913" s="22" t="s">
        <v>4886</v>
      </c>
      <c r="B913" s="22" t="s">
        <v>4885</v>
      </c>
      <c r="C913" s="23" t="s">
        <v>4887</v>
      </c>
      <c r="D913" s="30">
        <v>607.70000000000005</v>
      </c>
      <c r="E913" s="94">
        <f t="shared" si="47"/>
        <v>22.282333333333337</v>
      </c>
      <c r="F913" s="94">
        <f t="shared" si="48"/>
        <v>24.308</v>
      </c>
      <c r="G913" s="29"/>
      <c r="H913" s="97">
        <f t="shared" si="49"/>
        <v>22.098181818181818</v>
      </c>
    </row>
    <row r="914" spans="1:8" ht="20.100000000000001" customHeight="1">
      <c r="A914" s="21" t="s">
        <v>4889</v>
      </c>
      <c r="B914" s="21" t="s">
        <v>4888</v>
      </c>
      <c r="C914" s="28" t="s">
        <v>4890</v>
      </c>
      <c r="D914" s="30">
        <v>497.49</v>
      </c>
      <c r="E914" s="94">
        <f t="shared" si="47"/>
        <v>18.241300000000003</v>
      </c>
      <c r="F914" s="94">
        <f t="shared" si="48"/>
        <v>19.8996</v>
      </c>
      <c r="G914" s="29"/>
      <c r="H914" s="97">
        <f t="shared" si="49"/>
        <v>18.090545454545452</v>
      </c>
    </row>
    <row r="915" spans="1:8" ht="20.100000000000001" customHeight="1">
      <c r="A915" s="21" t="s">
        <v>4892</v>
      </c>
      <c r="B915" s="21" t="s">
        <v>4891</v>
      </c>
      <c r="C915" s="28" t="s">
        <v>4893</v>
      </c>
      <c r="D915" s="30">
        <v>568.55999999999995</v>
      </c>
      <c r="E915" s="94">
        <f t="shared" si="47"/>
        <v>20.847199999999997</v>
      </c>
      <c r="F915" s="94">
        <f t="shared" si="48"/>
        <v>22.742399999999996</v>
      </c>
      <c r="G915" s="29"/>
      <c r="H915" s="97">
        <f t="shared" si="49"/>
        <v>20.67490909090909</v>
      </c>
    </row>
    <row r="916" spans="1:8" ht="20.100000000000001" customHeight="1">
      <c r="A916" s="22" t="s">
        <v>4895</v>
      </c>
      <c r="B916" s="22" t="s">
        <v>4894</v>
      </c>
      <c r="C916" s="23" t="s">
        <v>4896</v>
      </c>
      <c r="D916" s="30">
        <v>952.96630000000005</v>
      </c>
      <c r="E916" s="94">
        <f t="shared" si="47"/>
        <v>34.942097666666669</v>
      </c>
      <c r="F916" s="94">
        <f t="shared" si="48"/>
        <v>38.118651999999997</v>
      </c>
      <c r="G916" s="29"/>
      <c r="H916" s="97">
        <f t="shared" si="49"/>
        <v>34.653320000000001</v>
      </c>
    </row>
    <row r="917" spans="1:8" ht="20.100000000000001" customHeight="1">
      <c r="A917" s="21" t="s">
        <v>4898</v>
      </c>
      <c r="B917" s="21" t="s">
        <v>4897</v>
      </c>
      <c r="C917" s="23" t="s">
        <v>4899</v>
      </c>
      <c r="D917" s="30">
        <v>827.72860000000003</v>
      </c>
      <c r="E917" s="94">
        <f t="shared" si="47"/>
        <v>30.35004866666667</v>
      </c>
      <c r="F917" s="94">
        <f t="shared" si="48"/>
        <v>33.109144000000001</v>
      </c>
      <c r="G917" s="29"/>
      <c r="H917" s="97">
        <f t="shared" si="49"/>
        <v>30.099221818181817</v>
      </c>
    </row>
    <row r="918" spans="1:8" ht="20.100000000000001" customHeight="1">
      <c r="A918" s="22" t="s">
        <v>4901</v>
      </c>
      <c r="B918" s="22" t="s">
        <v>4900</v>
      </c>
      <c r="C918" s="23" t="s">
        <v>4902</v>
      </c>
      <c r="D918" s="30">
        <v>763.48750000000007</v>
      </c>
      <c r="E918" s="94">
        <f t="shared" si="47"/>
        <v>27.994541666666674</v>
      </c>
      <c r="F918" s="94">
        <f t="shared" si="48"/>
        <v>30.5395</v>
      </c>
      <c r="G918" s="29"/>
      <c r="H918" s="97">
        <f t="shared" si="49"/>
        <v>27.76318181818182</v>
      </c>
    </row>
    <row r="919" spans="1:8" ht="20.100000000000001" customHeight="1">
      <c r="A919" s="22" t="s">
        <v>4904</v>
      </c>
      <c r="B919" s="22" t="s">
        <v>4903</v>
      </c>
      <c r="C919" s="23" t="s">
        <v>4905</v>
      </c>
      <c r="D919" s="30">
        <v>550.02</v>
      </c>
      <c r="E919" s="94">
        <f t="shared" si="47"/>
        <v>20.167400000000001</v>
      </c>
      <c r="F919" s="94">
        <f t="shared" si="48"/>
        <v>22.000800000000002</v>
      </c>
      <c r="G919" s="29"/>
      <c r="H919" s="97">
        <f t="shared" si="49"/>
        <v>20.000727272727271</v>
      </c>
    </row>
    <row r="920" spans="1:8" ht="20.100000000000001" customHeight="1">
      <c r="A920" s="21" t="s">
        <v>4907</v>
      </c>
      <c r="B920" s="21" t="s">
        <v>4906</v>
      </c>
      <c r="C920" s="28" t="s">
        <v>4908</v>
      </c>
      <c r="D920" s="30">
        <v>1011.0068</v>
      </c>
      <c r="E920" s="94">
        <f t="shared" si="47"/>
        <v>37.070249333333336</v>
      </c>
      <c r="F920" s="94">
        <f t="shared" si="48"/>
        <v>40.440272</v>
      </c>
      <c r="G920" s="29"/>
      <c r="H920" s="97">
        <f t="shared" si="49"/>
        <v>36.76388363636363</v>
      </c>
    </row>
    <row r="921" spans="1:8" ht="20.100000000000001" customHeight="1">
      <c r="A921" s="22" t="s">
        <v>4910</v>
      </c>
      <c r="B921" s="22" t="s">
        <v>4909</v>
      </c>
      <c r="C921" s="23" t="s">
        <v>4911</v>
      </c>
      <c r="D921" s="30">
        <v>562.86410000000001</v>
      </c>
      <c r="E921" s="94">
        <f t="shared" si="47"/>
        <v>20.638350333333335</v>
      </c>
      <c r="F921" s="94">
        <f t="shared" si="48"/>
        <v>22.514564</v>
      </c>
      <c r="G921" s="29"/>
      <c r="H921" s="97">
        <f t="shared" si="49"/>
        <v>20.467785454545453</v>
      </c>
    </row>
    <row r="922" spans="1:8" ht="20.100000000000001" customHeight="1">
      <c r="A922" s="21" t="s">
        <v>4913</v>
      </c>
      <c r="B922" s="21" t="s">
        <v>4912</v>
      </c>
      <c r="C922" s="23" t="s">
        <v>4914</v>
      </c>
      <c r="D922" s="30">
        <v>587.1</v>
      </c>
      <c r="E922" s="94">
        <f t="shared" si="47"/>
        <v>21.527000000000001</v>
      </c>
      <c r="F922" s="94">
        <f t="shared" si="48"/>
        <v>23.483999999999998</v>
      </c>
      <c r="G922" s="29"/>
      <c r="H922" s="97">
        <f t="shared" si="49"/>
        <v>21.349090909090908</v>
      </c>
    </row>
    <row r="923" spans="1:8" ht="20.100000000000001" customHeight="1">
      <c r="A923" s="21" t="s">
        <v>5711</v>
      </c>
      <c r="B923" s="21" t="s">
        <v>5710</v>
      </c>
      <c r="C923" s="23" t="s">
        <v>5712</v>
      </c>
      <c r="D923" s="30">
        <v>1011.0068</v>
      </c>
      <c r="E923" s="94">
        <f t="shared" si="47"/>
        <v>37.070249333333336</v>
      </c>
      <c r="F923" s="94">
        <f t="shared" si="48"/>
        <v>40.440272</v>
      </c>
      <c r="G923" s="29"/>
      <c r="H923" s="97">
        <f t="shared" si="49"/>
        <v>36.76388363636363</v>
      </c>
    </row>
    <row r="924" spans="1:8" ht="20.100000000000001" customHeight="1">
      <c r="A924" s="22" t="s">
        <v>4919</v>
      </c>
      <c r="B924" s="22" t="s">
        <v>4918</v>
      </c>
      <c r="C924" s="23" t="s">
        <v>4920</v>
      </c>
      <c r="D924" s="30">
        <v>543.84</v>
      </c>
      <c r="E924" s="94">
        <f t="shared" si="47"/>
        <v>19.940800000000003</v>
      </c>
      <c r="F924" s="94">
        <f t="shared" si="48"/>
        <v>21.753600000000002</v>
      </c>
      <c r="G924" s="29"/>
      <c r="H924" s="97">
        <f t="shared" si="49"/>
        <v>19.776000000000003</v>
      </c>
    </row>
    <row r="925" spans="1:8" ht="20.100000000000001" customHeight="1">
      <c r="A925" s="22" t="s">
        <v>4922</v>
      </c>
      <c r="B925" s="22" t="s">
        <v>4921</v>
      </c>
      <c r="C925" s="23" t="s">
        <v>4923</v>
      </c>
      <c r="D925" s="30">
        <v>503.67</v>
      </c>
      <c r="E925" s="94">
        <f t="shared" si="47"/>
        <v>18.4679</v>
      </c>
      <c r="F925" s="94">
        <f t="shared" si="48"/>
        <v>20.146799999999999</v>
      </c>
      <c r="G925" s="29"/>
      <c r="H925" s="97">
        <f t="shared" si="49"/>
        <v>18.315272727272728</v>
      </c>
    </row>
    <row r="926" spans="1:8" ht="20.100000000000001" customHeight="1">
      <c r="A926" s="22" t="s">
        <v>4925</v>
      </c>
      <c r="B926" s="22" t="s">
        <v>4924</v>
      </c>
      <c r="C926" s="23" t="s">
        <v>4926</v>
      </c>
      <c r="D926" s="30">
        <v>492.34000000000003</v>
      </c>
      <c r="E926" s="94">
        <f t="shared" si="47"/>
        <v>18.052466666666668</v>
      </c>
      <c r="F926" s="94">
        <f t="shared" si="48"/>
        <v>19.6936</v>
      </c>
      <c r="G926" s="29"/>
      <c r="H926" s="97">
        <f t="shared" si="49"/>
        <v>17.903272727272729</v>
      </c>
    </row>
    <row r="927" spans="1:8" ht="20.100000000000001" customHeight="1">
      <c r="A927" s="22" t="s">
        <v>4928</v>
      </c>
      <c r="B927" s="22" t="s">
        <v>4927</v>
      </c>
      <c r="C927" s="23" t="s">
        <v>4929</v>
      </c>
      <c r="D927" s="30">
        <v>563.41</v>
      </c>
      <c r="E927" s="94">
        <f t="shared" si="47"/>
        <v>20.658366666666666</v>
      </c>
      <c r="F927" s="94">
        <f t="shared" si="48"/>
        <v>22.5364</v>
      </c>
      <c r="G927" s="29"/>
      <c r="H927" s="97">
        <f t="shared" si="49"/>
        <v>20.487636363636362</v>
      </c>
    </row>
    <row r="928" spans="1:8" ht="20.100000000000001" customHeight="1">
      <c r="A928" s="22" t="s">
        <v>4931</v>
      </c>
      <c r="B928" s="22" t="s">
        <v>4930</v>
      </c>
      <c r="C928" s="23" t="s">
        <v>4932</v>
      </c>
      <c r="D928" s="30">
        <v>563.41</v>
      </c>
      <c r="E928" s="94">
        <f t="shared" si="47"/>
        <v>20.658366666666666</v>
      </c>
      <c r="F928" s="94">
        <f t="shared" si="48"/>
        <v>22.5364</v>
      </c>
      <c r="G928" s="29"/>
      <c r="H928" s="97">
        <f t="shared" si="49"/>
        <v>20.487636363636362</v>
      </c>
    </row>
    <row r="929" spans="1:8" ht="20.100000000000001" customHeight="1">
      <c r="A929" s="22" t="s">
        <v>4934</v>
      </c>
      <c r="B929" s="22" t="s">
        <v>4933</v>
      </c>
      <c r="C929" s="23" t="s">
        <v>4935</v>
      </c>
      <c r="D929" s="30">
        <v>622.12</v>
      </c>
      <c r="E929" s="94">
        <f t="shared" si="47"/>
        <v>22.811066666666669</v>
      </c>
      <c r="F929" s="94">
        <f t="shared" si="48"/>
        <v>24.884799999999998</v>
      </c>
      <c r="G929" s="29"/>
      <c r="H929" s="97">
        <f t="shared" si="49"/>
        <v>22.622545454545453</v>
      </c>
    </row>
    <row r="930" spans="1:8" ht="20.100000000000001" customHeight="1">
      <c r="A930" s="21" t="s">
        <v>4937</v>
      </c>
      <c r="B930" s="21" t="s">
        <v>4936</v>
      </c>
      <c r="C930" s="28" t="s">
        <v>4938</v>
      </c>
      <c r="D930" s="30">
        <v>497.49</v>
      </c>
      <c r="E930" s="94">
        <f t="shared" si="47"/>
        <v>18.241300000000003</v>
      </c>
      <c r="F930" s="94">
        <f t="shared" si="48"/>
        <v>19.8996</v>
      </c>
      <c r="G930" s="29"/>
      <c r="H930" s="97">
        <f t="shared" si="49"/>
        <v>18.090545454545452</v>
      </c>
    </row>
    <row r="931" spans="1:8" ht="20.100000000000001" customHeight="1">
      <c r="A931" s="22" t="s">
        <v>4940</v>
      </c>
      <c r="B931" s="22" t="s">
        <v>4939</v>
      </c>
      <c r="C931" s="23" t="s">
        <v>4941</v>
      </c>
      <c r="D931" s="30">
        <v>525.30000000000007</v>
      </c>
      <c r="E931" s="94">
        <f t="shared" si="47"/>
        <v>19.261000000000006</v>
      </c>
      <c r="F931" s="94">
        <f t="shared" si="48"/>
        <v>21.012</v>
      </c>
      <c r="G931" s="29"/>
      <c r="H931" s="97">
        <f t="shared" si="49"/>
        <v>19.101818181818182</v>
      </c>
    </row>
    <row r="932" spans="1:8" ht="20.100000000000001" customHeight="1">
      <c r="A932" s="22" t="s">
        <v>4943</v>
      </c>
      <c r="B932" s="22" t="s">
        <v>4942</v>
      </c>
      <c r="C932" s="23" t="s">
        <v>4944</v>
      </c>
      <c r="D932" s="30">
        <v>596.37</v>
      </c>
      <c r="E932" s="94">
        <f t="shared" si="47"/>
        <v>21.866900000000001</v>
      </c>
      <c r="F932" s="94">
        <f t="shared" si="48"/>
        <v>23.854800000000001</v>
      </c>
      <c r="G932" s="29"/>
      <c r="H932" s="97">
        <f t="shared" si="49"/>
        <v>21.686181818181819</v>
      </c>
    </row>
    <row r="933" spans="1:8" ht="20.100000000000001" customHeight="1">
      <c r="A933" s="22" t="s">
        <v>4946</v>
      </c>
      <c r="B933" s="22" t="s">
        <v>4945</v>
      </c>
      <c r="C933" s="23" t="s">
        <v>4947</v>
      </c>
      <c r="D933" s="30">
        <v>479.26929999999999</v>
      </c>
      <c r="E933" s="94">
        <f t="shared" si="47"/>
        <v>17.573207666666669</v>
      </c>
      <c r="F933" s="94">
        <f t="shared" si="48"/>
        <v>19.170771999999999</v>
      </c>
      <c r="G933" s="29"/>
      <c r="H933" s="97">
        <f t="shared" si="49"/>
        <v>17.427974545454546</v>
      </c>
    </row>
    <row r="934" spans="1:8" ht="20.100000000000001" customHeight="1">
      <c r="A934" s="22" t="s">
        <v>4949</v>
      </c>
      <c r="B934" s="22" t="s">
        <v>4948</v>
      </c>
      <c r="C934" s="23" t="s">
        <v>4950</v>
      </c>
      <c r="D934" s="30">
        <v>637.57000000000005</v>
      </c>
      <c r="E934" s="94">
        <f t="shared" si="47"/>
        <v>23.37756666666667</v>
      </c>
      <c r="F934" s="94">
        <f t="shared" si="48"/>
        <v>25.502800000000001</v>
      </c>
      <c r="G934" s="29"/>
      <c r="H934" s="97">
        <f t="shared" si="49"/>
        <v>23.184363636363639</v>
      </c>
    </row>
    <row r="935" spans="1:8" ht="20.100000000000001" customHeight="1">
      <c r="A935" s="21" t="s">
        <v>4952</v>
      </c>
      <c r="B935" s="21" t="s">
        <v>4951</v>
      </c>
      <c r="C935" s="23" t="s">
        <v>4953</v>
      </c>
      <c r="D935" s="30">
        <v>597.4</v>
      </c>
      <c r="E935" s="94">
        <f t="shared" si="47"/>
        <v>21.904666666666667</v>
      </c>
      <c r="F935" s="94">
        <f t="shared" si="48"/>
        <v>23.896000000000001</v>
      </c>
      <c r="G935" s="29"/>
      <c r="H935" s="97">
        <f t="shared" si="49"/>
        <v>21.723636363636363</v>
      </c>
    </row>
    <row r="936" spans="1:8" ht="20.100000000000001" customHeight="1">
      <c r="A936" s="21" t="s">
        <v>4955</v>
      </c>
      <c r="B936" s="21" t="s">
        <v>4954</v>
      </c>
      <c r="C936" s="23" t="s">
        <v>4956</v>
      </c>
      <c r="D936" s="30">
        <v>591.22</v>
      </c>
      <c r="E936" s="94">
        <f t="shared" si="47"/>
        <v>21.67806666666667</v>
      </c>
      <c r="F936" s="94">
        <f t="shared" si="48"/>
        <v>23.648800000000001</v>
      </c>
      <c r="G936" s="29"/>
      <c r="H936" s="97">
        <f t="shared" si="49"/>
        <v>21.498909090909091</v>
      </c>
    </row>
    <row r="937" spans="1:8" ht="20.100000000000001" customHeight="1">
      <c r="A937" s="22" t="s">
        <v>4958</v>
      </c>
      <c r="B937" s="22" t="s">
        <v>4957</v>
      </c>
      <c r="C937" s="23" t="s">
        <v>4959</v>
      </c>
      <c r="D937" s="30">
        <v>506.76</v>
      </c>
      <c r="E937" s="94">
        <f t="shared" si="47"/>
        <v>18.581200000000003</v>
      </c>
      <c r="F937" s="94">
        <f t="shared" si="48"/>
        <v>20.270399999999999</v>
      </c>
      <c r="G937" s="29"/>
      <c r="H937" s="97">
        <f t="shared" si="49"/>
        <v>18.427636363636363</v>
      </c>
    </row>
    <row r="938" spans="1:8" ht="20.100000000000001" customHeight="1">
      <c r="A938" s="22" t="s">
        <v>4961</v>
      </c>
      <c r="B938" s="22" t="s">
        <v>4960</v>
      </c>
      <c r="C938" s="23" t="s">
        <v>4962</v>
      </c>
      <c r="D938" s="30">
        <v>565.47</v>
      </c>
      <c r="E938" s="94">
        <f t="shared" si="47"/>
        <v>20.733900000000002</v>
      </c>
      <c r="F938" s="94">
        <f t="shared" si="48"/>
        <v>22.6188</v>
      </c>
      <c r="G938" s="29"/>
      <c r="H938" s="97">
        <f t="shared" si="49"/>
        <v>20.562545454545454</v>
      </c>
    </row>
    <row r="939" spans="1:8" ht="20.100000000000001" customHeight="1">
      <c r="A939" s="22" t="s">
        <v>4964</v>
      </c>
      <c r="B939" s="22" t="s">
        <v>4963</v>
      </c>
      <c r="C939" s="23" t="s">
        <v>4962</v>
      </c>
      <c r="D939" s="30">
        <v>421.27</v>
      </c>
      <c r="E939" s="94">
        <f t="shared" si="47"/>
        <v>15.446566666666666</v>
      </c>
      <c r="F939" s="94">
        <f t="shared" si="48"/>
        <v>16.8508</v>
      </c>
      <c r="G939" s="29"/>
      <c r="H939" s="97">
        <f t="shared" si="49"/>
        <v>15.31890909090909</v>
      </c>
    </row>
    <row r="940" spans="1:8" ht="20.100000000000001" customHeight="1">
      <c r="A940" s="21" t="s">
        <v>4966</v>
      </c>
      <c r="B940" s="21" t="s">
        <v>4965</v>
      </c>
      <c r="C940" s="23" t="s">
        <v>4967</v>
      </c>
      <c r="D940" s="30">
        <v>1060.076</v>
      </c>
      <c r="E940" s="94">
        <f t="shared" si="47"/>
        <v>38.86945333333334</v>
      </c>
      <c r="F940" s="94">
        <f t="shared" si="48"/>
        <v>42.403040000000004</v>
      </c>
      <c r="G940" s="29"/>
      <c r="H940" s="97">
        <f t="shared" si="49"/>
        <v>38.548218181818186</v>
      </c>
    </row>
    <row r="941" spans="1:8" ht="20.100000000000001" customHeight="1">
      <c r="A941" s="21" t="s">
        <v>4969</v>
      </c>
      <c r="B941" s="21" t="s">
        <v>4968</v>
      </c>
      <c r="C941" s="28" t="s">
        <v>4970</v>
      </c>
      <c r="D941" s="30">
        <v>1096.1363000000001</v>
      </c>
      <c r="E941" s="94">
        <f t="shared" si="47"/>
        <v>40.191664333333343</v>
      </c>
      <c r="F941" s="94">
        <f t="shared" si="48"/>
        <v>43.845452000000002</v>
      </c>
      <c r="G941" s="29"/>
      <c r="H941" s="97">
        <f t="shared" si="49"/>
        <v>39.859501818181819</v>
      </c>
    </row>
    <row r="942" spans="1:8" ht="20.100000000000001" customHeight="1">
      <c r="A942" s="21" t="s">
        <v>4972</v>
      </c>
      <c r="B942" s="21" t="s">
        <v>4971</v>
      </c>
      <c r="C942" s="28" t="s">
        <v>4973</v>
      </c>
      <c r="D942" s="30">
        <v>925.85670000000005</v>
      </c>
      <c r="E942" s="94">
        <f t="shared" si="47"/>
        <v>33.948079</v>
      </c>
      <c r="F942" s="94">
        <f t="shared" si="48"/>
        <v>37.034267999999997</v>
      </c>
      <c r="G942" s="29"/>
      <c r="H942" s="97">
        <f t="shared" si="49"/>
        <v>33.667516363636359</v>
      </c>
    </row>
    <row r="943" spans="1:8" ht="20.100000000000001" customHeight="1">
      <c r="A943" s="21" t="s">
        <v>4975</v>
      </c>
      <c r="B943" s="21" t="s">
        <v>4974</v>
      </c>
      <c r="C943" s="28" t="s">
        <v>4976</v>
      </c>
      <c r="D943" s="30">
        <v>1138.1191000000001</v>
      </c>
      <c r="E943" s="94">
        <f t="shared" si="47"/>
        <v>41.731033666666676</v>
      </c>
      <c r="F943" s="94">
        <f t="shared" si="48"/>
        <v>45.524764000000005</v>
      </c>
      <c r="G943" s="29"/>
      <c r="H943" s="97">
        <f t="shared" si="49"/>
        <v>41.386149090909093</v>
      </c>
    </row>
    <row r="944" spans="1:8" ht="20.100000000000001" customHeight="1">
      <c r="A944" s="21" t="s">
        <v>4978</v>
      </c>
      <c r="B944" s="21" t="s">
        <v>4977</v>
      </c>
      <c r="C944" s="23" t="s">
        <v>4979</v>
      </c>
      <c r="D944" s="30">
        <v>578.86</v>
      </c>
      <c r="E944" s="94">
        <f t="shared" si="47"/>
        <v>21.224866666666671</v>
      </c>
      <c r="F944" s="94">
        <f t="shared" si="48"/>
        <v>23.154399999999999</v>
      </c>
      <c r="G944" s="29"/>
      <c r="H944" s="97">
        <f t="shared" si="49"/>
        <v>21.049454545454545</v>
      </c>
    </row>
    <row r="945" spans="1:10" ht="20.100000000000001" customHeight="1">
      <c r="A945" s="22" t="s">
        <v>6157</v>
      </c>
      <c r="B945" s="22" t="s">
        <v>6156</v>
      </c>
      <c r="C945" s="23" t="s">
        <v>6158</v>
      </c>
      <c r="D945" s="30">
        <v>543.84</v>
      </c>
      <c r="E945" s="94">
        <f t="shared" si="47"/>
        <v>19.940800000000003</v>
      </c>
      <c r="F945" s="94">
        <f t="shared" si="48"/>
        <v>21.753600000000002</v>
      </c>
      <c r="G945" s="29"/>
      <c r="H945" s="97">
        <f t="shared" si="49"/>
        <v>19.776000000000003</v>
      </c>
    </row>
    <row r="946" spans="1:10" ht="20.100000000000001" customHeight="1">
      <c r="A946" s="21" t="s">
        <v>4984</v>
      </c>
      <c r="B946" s="21" t="s">
        <v>4983</v>
      </c>
      <c r="C946" s="23" t="s">
        <v>4985</v>
      </c>
      <c r="D946" s="30">
        <v>1148.4706000000001</v>
      </c>
      <c r="E946" s="94">
        <f t="shared" si="47"/>
        <v>42.110588666666672</v>
      </c>
      <c r="F946" s="94">
        <f t="shared" si="48"/>
        <v>45.938823999999997</v>
      </c>
      <c r="G946" s="29"/>
      <c r="H946" s="97">
        <f t="shared" si="49"/>
        <v>41.762567272727274</v>
      </c>
    </row>
    <row r="947" spans="1:10" ht="20.100000000000001" customHeight="1">
      <c r="A947" s="21" t="s">
        <v>4987</v>
      </c>
      <c r="B947" s="21" t="s">
        <v>4986</v>
      </c>
      <c r="C947" s="28" t="s">
        <v>4988</v>
      </c>
      <c r="D947" s="30">
        <v>585.04</v>
      </c>
      <c r="E947" s="94">
        <f t="shared" si="47"/>
        <v>21.451466666666665</v>
      </c>
      <c r="F947" s="94">
        <f t="shared" si="48"/>
        <v>23.401599999999995</v>
      </c>
      <c r="G947" s="29"/>
      <c r="H947" s="97">
        <f t="shared" si="49"/>
        <v>21.274181818181816</v>
      </c>
    </row>
    <row r="948" spans="1:10" ht="20.100000000000001" customHeight="1">
      <c r="A948" s="22" t="s">
        <v>4990</v>
      </c>
      <c r="B948" s="22" t="s">
        <v>4989</v>
      </c>
      <c r="C948" s="23" t="s">
        <v>4991</v>
      </c>
      <c r="D948" s="30">
        <v>679.90300000000002</v>
      </c>
      <c r="E948" s="94">
        <f t="shared" si="47"/>
        <v>24.929776666666669</v>
      </c>
      <c r="F948" s="94">
        <f t="shared" si="48"/>
        <v>27.196120000000001</v>
      </c>
      <c r="G948" s="29"/>
      <c r="H948" s="97">
        <f t="shared" si="49"/>
        <v>24.723745454545455</v>
      </c>
    </row>
    <row r="949" spans="1:10" ht="20.100000000000001" customHeight="1">
      <c r="A949" s="21" t="s">
        <v>4993</v>
      </c>
      <c r="B949" s="21" t="s">
        <v>4992</v>
      </c>
      <c r="C949" s="28" t="s">
        <v>4994</v>
      </c>
      <c r="D949" s="30">
        <v>839.553</v>
      </c>
      <c r="E949" s="94">
        <f t="shared" si="47"/>
        <v>30.783610000000003</v>
      </c>
      <c r="F949" s="94">
        <f t="shared" si="48"/>
        <v>33.582119999999996</v>
      </c>
      <c r="G949" s="29"/>
      <c r="H949" s="97">
        <f t="shared" si="49"/>
        <v>30.529199999999999</v>
      </c>
    </row>
    <row r="950" spans="1:10" ht="20.100000000000001" customHeight="1">
      <c r="A950" s="22" t="s">
        <v>4996</v>
      </c>
      <c r="B950" s="22" t="s">
        <v>4995</v>
      </c>
      <c r="C950" s="23" t="s">
        <v>4997</v>
      </c>
      <c r="D950" s="30">
        <v>1346.2203</v>
      </c>
      <c r="E950" s="94">
        <f t="shared" si="47"/>
        <v>49.361411000000004</v>
      </c>
      <c r="F950" s="94">
        <f t="shared" si="48"/>
        <v>53.848811999999995</v>
      </c>
      <c r="G950" s="29"/>
      <c r="H950" s="97">
        <f t="shared" si="49"/>
        <v>48.953465454545452</v>
      </c>
    </row>
    <row r="951" spans="1:10" ht="20.100000000000001" customHeight="1">
      <c r="A951" s="21" t="s">
        <v>4999</v>
      </c>
      <c r="B951" s="21" t="s">
        <v>4998</v>
      </c>
      <c r="C951" s="28" t="s">
        <v>5000</v>
      </c>
      <c r="D951" s="30">
        <v>947.6</v>
      </c>
      <c r="E951" s="94">
        <f t="shared" si="47"/>
        <v>34.745333333333335</v>
      </c>
      <c r="F951" s="94">
        <f t="shared" si="48"/>
        <v>37.903999999999996</v>
      </c>
      <c r="G951" s="29"/>
      <c r="H951" s="97">
        <f t="shared" si="49"/>
        <v>34.458181818181814</v>
      </c>
    </row>
    <row r="952" spans="1:10" ht="20.100000000000001" customHeight="1">
      <c r="A952" s="21" t="s">
        <v>5002</v>
      </c>
      <c r="B952" s="21" t="s">
        <v>5001</v>
      </c>
      <c r="C952" s="28" t="s">
        <v>5003</v>
      </c>
      <c r="D952" s="30">
        <v>1011.0068</v>
      </c>
      <c r="E952" s="94">
        <f t="shared" si="47"/>
        <v>37.070249333333336</v>
      </c>
      <c r="F952" s="94">
        <f t="shared" si="48"/>
        <v>40.440272</v>
      </c>
      <c r="G952" s="29"/>
      <c r="H952" s="97">
        <f t="shared" si="49"/>
        <v>36.76388363636363</v>
      </c>
    </row>
    <row r="953" spans="1:10" ht="20.100000000000001" customHeight="1">
      <c r="A953" s="21" t="s">
        <v>5005</v>
      </c>
      <c r="B953" s="21" t="s">
        <v>5004</v>
      </c>
      <c r="C953" s="28" t="s">
        <v>5006</v>
      </c>
      <c r="D953" s="30">
        <v>863.19150000000002</v>
      </c>
      <c r="E953" s="94">
        <f t="shared" si="47"/>
        <v>31.650355000000001</v>
      </c>
      <c r="F953" s="94">
        <f t="shared" si="48"/>
        <v>34.527659999999997</v>
      </c>
      <c r="G953" s="29"/>
      <c r="H953" s="97">
        <f t="shared" si="49"/>
        <v>31.388781818181819</v>
      </c>
    </row>
    <row r="954" spans="1:10">
      <c r="A954" s="21" t="s">
        <v>8045</v>
      </c>
      <c r="B954" s="21" t="s">
        <v>8046</v>
      </c>
      <c r="C954" s="28" t="s">
        <v>8047</v>
      </c>
      <c r="D954" s="21">
        <v>660</v>
      </c>
      <c r="E954" s="94">
        <f t="shared" si="47"/>
        <v>24.200000000000003</v>
      </c>
      <c r="F954" s="94">
        <f t="shared" si="48"/>
        <v>26.4</v>
      </c>
      <c r="H954" s="97">
        <f t="shared" si="49"/>
        <v>24</v>
      </c>
    </row>
    <row r="955" spans="1:10">
      <c r="A955" s="21" t="s">
        <v>8196</v>
      </c>
      <c r="B955" s="21" t="s">
        <v>8197</v>
      </c>
      <c r="D955" s="21">
        <v>535</v>
      </c>
      <c r="E955" s="94">
        <f t="shared" si="47"/>
        <v>19.616666666666667</v>
      </c>
      <c r="F955" s="94">
        <f t="shared" si="48"/>
        <v>21.4</v>
      </c>
      <c r="H955" s="97">
        <f t="shared" si="49"/>
        <v>19.454545454545453</v>
      </c>
    </row>
    <row r="956" spans="1:10">
      <c r="A956" s="21" t="s">
        <v>8598</v>
      </c>
      <c r="B956" s="21" t="s">
        <v>8597</v>
      </c>
      <c r="C956" s="28" t="s">
        <v>8599</v>
      </c>
      <c r="D956" s="21">
        <v>540</v>
      </c>
      <c r="E956" s="94">
        <f t="shared" si="47"/>
        <v>19.8</v>
      </c>
      <c r="F956" s="94">
        <f t="shared" si="48"/>
        <v>21.6</v>
      </c>
      <c r="H956" s="97">
        <f t="shared" si="49"/>
        <v>19.636363636363637</v>
      </c>
      <c r="J956" s="91">
        <v>45608</v>
      </c>
    </row>
    <row r="957" spans="1:10">
      <c r="A957" s="21" t="s">
        <v>8575</v>
      </c>
      <c r="B957" s="21" t="s">
        <v>8576</v>
      </c>
      <c r="C957" s="28" t="s">
        <v>8577</v>
      </c>
      <c r="D957" s="21">
        <v>550</v>
      </c>
      <c r="E957" s="95">
        <f t="shared" ref="E957:E959" si="50">+(D957*1.1/30)</f>
        <v>20.166666666666668</v>
      </c>
      <c r="F957" s="95">
        <f t="shared" ref="F957:F959" si="51">+(D957*1.2/30)</f>
        <v>22</v>
      </c>
      <c r="H957" s="98">
        <f t="shared" ref="H957:H959" si="52">+(D957*1.2/33)</f>
        <v>20</v>
      </c>
    </row>
    <row r="958" spans="1:10">
      <c r="A958" s="21" t="s">
        <v>8578</v>
      </c>
      <c r="B958" s="21" t="s">
        <v>8579</v>
      </c>
      <c r="C958" s="28" t="s">
        <v>8580</v>
      </c>
      <c r="D958" s="21">
        <v>560</v>
      </c>
      <c r="E958" s="95">
        <f t="shared" si="50"/>
        <v>20.533333333333335</v>
      </c>
      <c r="F958" s="95">
        <f t="shared" si="51"/>
        <v>22.4</v>
      </c>
      <c r="H958" s="98">
        <f t="shared" si="52"/>
        <v>20.363636363636363</v>
      </c>
    </row>
    <row r="959" spans="1:10">
      <c r="A959" s="21" t="s">
        <v>8873</v>
      </c>
      <c r="B959" s="21" t="s">
        <v>8872</v>
      </c>
      <c r="C959" s="28" t="s">
        <v>8871</v>
      </c>
      <c r="D959" s="21">
        <v>420</v>
      </c>
      <c r="E959" s="94">
        <f t="shared" si="50"/>
        <v>15.400000000000002</v>
      </c>
      <c r="F959" s="94">
        <f t="shared" si="51"/>
        <v>16.8</v>
      </c>
      <c r="H959" s="97">
        <f t="shared" si="52"/>
        <v>15.272727272727273</v>
      </c>
      <c r="J959" s="91" t="s">
        <v>8874</v>
      </c>
    </row>
  </sheetData>
  <sortState xmlns:xlrd2="http://schemas.microsoft.com/office/spreadsheetml/2017/richdata2" ref="A1:F951">
    <sortCondition ref="A1:A951"/>
  </sortState>
  <phoneticPr fontId="12" type="noConversion"/>
  <pageMargins left="0.19685039370078741" right="0.15748031496062992" top="0.19685039370078741" bottom="0.31496062992125984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02"/>
  <sheetViews>
    <sheetView topLeftCell="A23" workbookViewId="0">
      <selection activeCell="C51" sqref="C51"/>
    </sheetView>
  </sheetViews>
  <sheetFormatPr defaultColWidth="9" defaultRowHeight="21.75"/>
  <cols>
    <col min="1" max="1" width="15.7109375" style="21" customWidth="1"/>
    <col min="2" max="2" width="20.7109375" style="21" customWidth="1"/>
    <col min="3" max="3" width="55.7109375" style="28" customWidth="1"/>
    <col min="4" max="4" width="12.7109375" style="21" customWidth="1"/>
    <col min="5" max="6" width="15.7109375" style="94" customWidth="1"/>
    <col min="7" max="7" width="24.85546875" style="28" customWidth="1"/>
    <col min="8" max="8" width="15.7109375" style="57" customWidth="1"/>
    <col min="9" max="9" width="10.140625" style="1" bestFit="1" customWidth="1"/>
    <col min="10" max="16384" width="9" style="1"/>
  </cols>
  <sheetData>
    <row r="1" spans="1:8">
      <c r="A1" s="35" t="s">
        <v>1</v>
      </c>
      <c r="B1" s="60" t="s">
        <v>0</v>
      </c>
      <c r="C1" s="60" t="s">
        <v>6168</v>
      </c>
      <c r="D1" s="60" t="s">
        <v>2291</v>
      </c>
      <c r="E1" s="99" t="s">
        <v>8101</v>
      </c>
      <c r="F1" s="99" t="s">
        <v>8102</v>
      </c>
      <c r="G1" s="61"/>
      <c r="H1" s="60" t="s">
        <v>8564</v>
      </c>
    </row>
    <row r="2" spans="1:8" ht="25.5" customHeight="1">
      <c r="A2" s="22" t="s">
        <v>8233</v>
      </c>
      <c r="B2" s="22" t="s">
        <v>6523</v>
      </c>
      <c r="C2" s="23" t="s">
        <v>6524</v>
      </c>
      <c r="D2" s="30">
        <v>447.64830000000001</v>
      </c>
      <c r="E2" s="94">
        <f t="shared" ref="E2:E9" si="0">+(D2*1.1/30)</f>
        <v>16.413771000000001</v>
      </c>
      <c r="F2" s="94">
        <f t="shared" ref="F2:F9" si="1">+(D2*1.2/30)</f>
        <v>17.905932</v>
      </c>
    </row>
    <row r="3" spans="1:8" ht="20.100000000000001" customHeight="1">
      <c r="A3" s="22" t="s">
        <v>8234</v>
      </c>
      <c r="B3" s="22" t="s">
        <v>6187</v>
      </c>
      <c r="C3" s="23" t="s">
        <v>6188</v>
      </c>
      <c r="D3" s="30">
        <v>679.80000000000007</v>
      </c>
      <c r="E3" s="94">
        <f t="shared" si="0"/>
        <v>24.926000000000002</v>
      </c>
      <c r="F3" s="94">
        <f t="shared" si="1"/>
        <v>27.192000000000004</v>
      </c>
    </row>
    <row r="4" spans="1:8" ht="20.100000000000001" customHeight="1">
      <c r="A4" s="22" t="s">
        <v>8235</v>
      </c>
      <c r="B4" s="22" t="s">
        <v>6713</v>
      </c>
      <c r="C4" s="23" t="s">
        <v>6714</v>
      </c>
      <c r="D4" s="30">
        <v>572.88600000000008</v>
      </c>
      <c r="E4" s="94">
        <f t="shared" si="0"/>
        <v>21.005820000000007</v>
      </c>
      <c r="F4" s="94">
        <f t="shared" si="1"/>
        <v>22.91544</v>
      </c>
    </row>
    <row r="5" spans="1:8" ht="20.100000000000001" customHeight="1">
      <c r="A5" s="22" t="s">
        <v>8236</v>
      </c>
      <c r="B5" s="22" t="s">
        <v>6840</v>
      </c>
      <c r="C5" s="23" t="s">
        <v>6841</v>
      </c>
      <c r="D5" s="30">
        <v>512.20870000000002</v>
      </c>
      <c r="E5" s="94">
        <f t="shared" si="0"/>
        <v>18.780985666666666</v>
      </c>
      <c r="F5" s="94">
        <f t="shared" si="1"/>
        <v>20.488347999999998</v>
      </c>
    </row>
    <row r="6" spans="1:8" ht="20.100000000000001" customHeight="1">
      <c r="A6" s="22" t="s">
        <v>8237</v>
      </c>
      <c r="B6" s="22" t="s">
        <v>6296</v>
      </c>
      <c r="C6" s="23" t="s">
        <v>6297</v>
      </c>
      <c r="D6" s="30">
        <v>627.27</v>
      </c>
      <c r="E6" s="94">
        <f t="shared" si="0"/>
        <v>22.999900000000004</v>
      </c>
      <c r="F6" s="94">
        <f t="shared" si="1"/>
        <v>25.090799999999998</v>
      </c>
    </row>
    <row r="7" spans="1:8" ht="20.100000000000001" customHeight="1">
      <c r="A7" s="22" t="s">
        <v>8238</v>
      </c>
      <c r="B7" s="22" t="s">
        <v>6842</v>
      </c>
      <c r="C7" s="23" t="s">
        <v>6843</v>
      </c>
      <c r="D7" s="30">
        <v>671.47759999999994</v>
      </c>
      <c r="E7" s="94">
        <f t="shared" si="0"/>
        <v>24.620845333333332</v>
      </c>
      <c r="F7" s="94">
        <f t="shared" si="1"/>
        <v>26.859103999999999</v>
      </c>
    </row>
    <row r="8" spans="1:8" ht="20.100000000000001" customHeight="1">
      <c r="A8" s="22" t="s">
        <v>8239</v>
      </c>
      <c r="B8" s="22" t="s">
        <v>6253</v>
      </c>
      <c r="C8" s="23" t="s">
        <v>6254</v>
      </c>
      <c r="D8" s="30">
        <v>442.90000000000003</v>
      </c>
      <c r="E8" s="94">
        <f t="shared" si="0"/>
        <v>16.239666666666668</v>
      </c>
      <c r="F8" s="94">
        <f t="shared" si="1"/>
        <v>17.716000000000001</v>
      </c>
    </row>
    <row r="9" spans="1:8" ht="20.100000000000001" customHeight="1">
      <c r="A9" s="22" t="s">
        <v>8240</v>
      </c>
      <c r="B9" s="22" t="s">
        <v>6657</v>
      </c>
      <c r="C9" s="23" t="s">
        <v>6658</v>
      </c>
      <c r="D9" s="30">
        <v>993.16719999999998</v>
      </c>
      <c r="E9" s="94">
        <f t="shared" si="0"/>
        <v>36.416130666666668</v>
      </c>
      <c r="F9" s="94">
        <f t="shared" si="1"/>
        <v>39.726687999999996</v>
      </c>
    </row>
    <row r="10" spans="1:8" ht="20.100000000000001" customHeight="1">
      <c r="A10" s="36" t="s">
        <v>8241</v>
      </c>
      <c r="B10" s="36" t="s">
        <v>6655</v>
      </c>
      <c r="C10" s="37" t="s">
        <v>6656</v>
      </c>
      <c r="D10" s="33">
        <v>586.07000000000005</v>
      </c>
      <c r="E10" s="100">
        <v>24</v>
      </c>
      <c r="F10" s="100">
        <v>26</v>
      </c>
      <c r="G10" s="55" t="s">
        <v>8005</v>
      </c>
    </row>
    <row r="11" spans="1:8" ht="20.100000000000001" customHeight="1">
      <c r="A11" s="22" t="s">
        <v>8242</v>
      </c>
      <c r="B11" s="22" t="s">
        <v>6263</v>
      </c>
      <c r="C11" s="23" t="s">
        <v>6264</v>
      </c>
      <c r="D11" s="30">
        <v>721</v>
      </c>
      <c r="E11" s="94">
        <f>+(D11*1.1/30)</f>
        <v>26.436666666666667</v>
      </c>
      <c r="F11" s="94">
        <f>+(D11*1.2/30)</f>
        <v>28.839999999999996</v>
      </c>
    </row>
    <row r="12" spans="1:8" ht="20.100000000000001" customHeight="1">
      <c r="A12" s="22" t="s">
        <v>8243</v>
      </c>
      <c r="B12" s="22" t="s">
        <v>6261</v>
      </c>
      <c r="C12" s="23" t="s">
        <v>6262</v>
      </c>
      <c r="D12" s="30">
        <v>1096.95</v>
      </c>
      <c r="E12" s="94">
        <f>+(D12*1.1/30)</f>
        <v>40.221500000000006</v>
      </c>
      <c r="F12" s="94">
        <f>+(D12*1.2/30)</f>
        <v>43.878</v>
      </c>
    </row>
    <row r="13" spans="1:8" ht="20.100000000000001" customHeight="1">
      <c r="A13" s="36" t="s">
        <v>8244</v>
      </c>
      <c r="B13" s="36" t="s">
        <v>6471</v>
      </c>
      <c r="C13" s="37" t="s">
        <v>6472</v>
      </c>
      <c r="D13" s="33">
        <v>501.02289999999999</v>
      </c>
      <c r="E13" s="100">
        <v>19.399999999999999</v>
      </c>
      <c r="F13" s="100">
        <v>21.4</v>
      </c>
      <c r="G13" s="56" t="s">
        <v>8012</v>
      </c>
    </row>
    <row r="14" spans="1:8" ht="20.100000000000001" customHeight="1">
      <c r="A14" s="22" t="s">
        <v>8245</v>
      </c>
      <c r="B14" s="22" t="s">
        <v>6251</v>
      </c>
      <c r="C14" s="23" t="s">
        <v>6252</v>
      </c>
      <c r="D14" s="30">
        <v>835.93770000000006</v>
      </c>
      <c r="E14" s="94">
        <f t="shared" ref="E14:E22" si="2">+(D14*1.1/30)</f>
        <v>30.651049000000004</v>
      </c>
      <c r="F14" s="94">
        <f t="shared" ref="F14:F22" si="3">+(D14*1.2/30)</f>
        <v>33.437508000000001</v>
      </c>
    </row>
    <row r="15" spans="1:8" ht="20.100000000000001" customHeight="1">
      <c r="A15" s="22" t="s">
        <v>8246</v>
      </c>
      <c r="B15" s="22" t="s">
        <v>6761</v>
      </c>
      <c r="C15" s="23" t="s">
        <v>6762</v>
      </c>
      <c r="D15" s="30" t="s">
        <v>2</v>
      </c>
      <c r="E15" s="94" t="e">
        <f t="shared" si="2"/>
        <v>#VALUE!</v>
      </c>
      <c r="F15" s="94" t="e">
        <f t="shared" si="3"/>
        <v>#VALUE!</v>
      </c>
    </row>
    <row r="16" spans="1:8" ht="20.100000000000001" customHeight="1">
      <c r="A16" s="22" t="s">
        <v>8247</v>
      </c>
      <c r="B16" s="22" t="s">
        <v>7812</v>
      </c>
      <c r="C16" s="23" t="s">
        <v>7813</v>
      </c>
      <c r="D16" s="30">
        <v>584.01</v>
      </c>
      <c r="E16" s="94">
        <f t="shared" si="2"/>
        <v>21.413700000000002</v>
      </c>
      <c r="F16" s="94">
        <f t="shared" si="3"/>
        <v>23.360400000000002</v>
      </c>
    </row>
    <row r="17" spans="1:9" ht="20.100000000000001" customHeight="1">
      <c r="A17" s="22" t="s">
        <v>8248</v>
      </c>
      <c r="B17" s="22" t="s">
        <v>6850</v>
      </c>
      <c r="C17" s="23" t="s">
        <v>6851</v>
      </c>
      <c r="D17" s="30">
        <v>592.35300000000007</v>
      </c>
      <c r="E17" s="94">
        <f t="shared" si="2"/>
        <v>21.719610000000003</v>
      </c>
      <c r="F17" s="94">
        <f t="shared" si="3"/>
        <v>23.694120000000002</v>
      </c>
    </row>
    <row r="18" spans="1:9" ht="20.100000000000001" customHeight="1">
      <c r="A18" s="22" t="s">
        <v>8250</v>
      </c>
      <c r="B18" s="22" t="s">
        <v>6743</v>
      </c>
      <c r="C18" s="23" t="s">
        <v>6744</v>
      </c>
      <c r="D18" s="30">
        <v>767.94740000000002</v>
      </c>
      <c r="E18" s="94">
        <f t="shared" si="2"/>
        <v>28.158071333333336</v>
      </c>
      <c r="F18" s="94">
        <f t="shared" si="3"/>
        <v>30.717896</v>
      </c>
    </row>
    <row r="19" spans="1:9" ht="20.100000000000001" customHeight="1">
      <c r="A19" s="36" t="s">
        <v>8249</v>
      </c>
      <c r="B19" s="36" t="s">
        <v>6517</v>
      </c>
      <c r="C19" s="37" t="s">
        <v>8848</v>
      </c>
      <c r="D19" s="33">
        <v>580</v>
      </c>
      <c r="E19" s="94">
        <f t="shared" si="2"/>
        <v>21.266666666666666</v>
      </c>
      <c r="F19" s="94">
        <f t="shared" si="3"/>
        <v>23.2</v>
      </c>
      <c r="G19" s="149"/>
      <c r="I19" s="91" t="s">
        <v>8850</v>
      </c>
    </row>
    <row r="20" spans="1:9" ht="20.100000000000001" customHeight="1">
      <c r="A20" s="22" t="s">
        <v>8251</v>
      </c>
      <c r="B20" s="22" t="s">
        <v>6848</v>
      </c>
      <c r="C20" s="23" t="s">
        <v>6849</v>
      </c>
      <c r="D20" s="30">
        <v>611.19169999999997</v>
      </c>
      <c r="E20" s="94">
        <f t="shared" si="2"/>
        <v>22.410362333333335</v>
      </c>
      <c r="F20" s="94">
        <f t="shared" si="3"/>
        <v>24.447668</v>
      </c>
    </row>
    <row r="21" spans="1:9" ht="20.100000000000001" customHeight="1">
      <c r="A21" s="22" t="s">
        <v>8252</v>
      </c>
      <c r="B21" s="22" t="s">
        <v>6763</v>
      </c>
      <c r="C21" s="23" t="s">
        <v>6764</v>
      </c>
      <c r="D21" s="30">
        <v>743.85570000000007</v>
      </c>
      <c r="E21" s="94">
        <f t="shared" si="2"/>
        <v>27.274709000000005</v>
      </c>
      <c r="F21" s="94">
        <f t="shared" si="3"/>
        <v>29.754228000000001</v>
      </c>
    </row>
    <row r="22" spans="1:9" ht="20.100000000000001" customHeight="1">
      <c r="A22" s="22" t="s">
        <v>8253</v>
      </c>
      <c r="B22" s="22" t="s">
        <v>6846</v>
      </c>
      <c r="C22" s="23" t="s">
        <v>6847</v>
      </c>
      <c r="D22" s="30">
        <v>564.98590000000002</v>
      </c>
      <c r="E22" s="94">
        <f t="shared" si="2"/>
        <v>20.71614966666667</v>
      </c>
      <c r="F22" s="94">
        <f t="shared" si="3"/>
        <v>22.599436000000001</v>
      </c>
    </row>
    <row r="23" spans="1:9" ht="20.100000000000001" customHeight="1">
      <c r="A23" s="36" t="s">
        <v>8254</v>
      </c>
      <c r="B23" s="36" t="s">
        <v>6691</v>
      </c>
      <c r="C23" s="37" t="s">
        <v>6692</v>
      </c>
      <c r="D23" s="33">
        <v>494.40000000000003</v>
      </c>
      <c r="E23" s="100">
        <v>17.8</v>
      </c>
      <c r="F23" s="100">
        <v>19.8</v>
      </c>
      <c r="G23" s="56" t="s">
        <v>8010</v>
      </c>
    </row>
    <row r="24" spans="1:9" ht="20.100000000000001" customHeight="1">
      <c r="A24" s="22" t="s">
        <v>8255</v>
      </c>
      <c r="B24" s="22" t="s">
        <v>6518</v>
      </c>
      <c r="C24" s="23" t="s">
        <v>6519</v>
      </c>
      <c r="D24" s="30">
        <v>556.20000000000005</v>
      </c>
      <c r="E24" s="94">
        <f>+(D24*1.1/30)</f>
        <v>20.394000000000002</v>
      </c>
      <c r="F24" s="94">
        <f>+(D24*1.2/30)</f>
        <v>22.248000000000001</v>
      </c>
    </row>
    <row r="25" spans="1:9" ht="20.100000000000001" customHeight="1">
      <c r="A25" s="36" t="s">
        <v>8256</v>
      </c>
      <c r="B25" s="36" t="s">
        <v>7071</v>
      </c>
      <c r="C25" s="37" t="s">
        <v>7072</v>
      </c>
      <c r="D25" s="33">
        <v>556.20000000000005</v>
      </c>
      <c r="E25" s="100">
        <v>20.5</v>
      </c>
      <c r="F25" s="100">
        <v>22.5</v>
      </c>
      <c r="G25" s="56" t="s">
        <v>8011</v>
      </c>
    </row>
    <row r="26" spans="1:9" ht="20.100000000000001" customHeight="1">
      <c r="A26" s="36" t="s">
        <v>8257</v>
      </c>
      <c r="B26" s="36" t="s">
        <v>6662</v>
      </c>
      <c r="C26" s="37" t="s">
        <v>6663</v>
      </c>
      <c r="D26" s="33">
        <v>501.02289999999999</v>
      </c>
      <c r="E26" s="100">
        <v>19.399999999999999</v>
      </c>
      <c r="F26" s="100">
        <v>21.4</v>
      </c>
      <c r="G26" s="56" t="s">
        <v>8009</v>
      </c>
    </row>
    <row r="27" spans="1:9" ht="20.100000000000001" customHeight="1">
      <c r="A27" s="36" t="s">
        <v>7019</v>
      </c>
      <c r="B27" s="36" t="s">
        <v>7018</v>
      </c>
      <c r="C27" s="37" t="s">
        <v>8849</v>
      </c>
      <c r="D27" s="33">
        <v>580</v>
      </c>
      <c r="E27" s="100">
        <f>+(D27*1.1/30)</f>
        <v>21.266666666666666</v>
      </c>
      <c r="F27" s="100">
        <f>+(D27*1.2/30)</f>
        <v>23.2</v>
      </c>
      <c r="G27" s="56"/>
      <c r="I27" s="1" t="s">
        <v>8850</v>
      </c>
    </row>
    <row r="28" spans="1:9" ht="20.100000000000001" customHeight="1">
      <c r="A28" s="36" t="s">
        <v>8258</v>
      </c>
      <c r="B28" s="36" t="s">
        <v>6304</v>
      </c>
      <c r="C28" s="37" t="s">
        <v>6305</v>
      </c>
      <c r="D28" s="33">
        <v>680</v>
      </c>
      <c r="E28" s="100">
        <v>31</v>
      </c>
      <c r="F28" s="100">
        <v>33</v>
      </c>
      <c r="G28" s="56" t="s">
        <v>7998</v>
      </c>
    </row>
    <row r="29" spans="1:9" ht="20.100000000000001" customHeight="1">
      <c r="A29" s="22" t="s">
        <v>8259</v>
      </c>
      <c r="B29" s="22" t="s">
        <v>7258</v>
      </c>
      <c r="C29" s="23" t="s">
        <v>7259</v>
      </c>
      <c r="D29" s="30" t="s">
        <v>2</v>
      </c>
      <c r="E29" s="94" t="e">
        <f t="shared" ref="E29:E54" si="4">+(D29*1.1/30)</f>
        <v>#VALUE!</v>
      </c>
      <c r="F29" s="94" t="e">
        <f t="shared" ref="F29:F54" si="5">+(D29*1.2/30)</f>
        <v>#VALUE!</v>
      </c>
    </row>
    <row r="30" spans="1:9" ht="20.100000000000001" customHeight="1">
      <c r="A30" s="22" t="s">
        <v>8259</v>
      </c>
      <c r="B30" s="22" t="s">
        <v>7340</v>
      </c>
      <c r="C30" s="23" t="s">
        <v>7341</v>
      </c>
      <c r="D30" s="30">
        <v>272.95</v>
      </c>
      <c r="E30" s="94">
        <f>+(D30*1.1/30)</f>
        <v>10.008166666666666</v>
      </c>
      <c r="F30" s="94">
        <f>+(D30*1.2/30)</f>
        <v>10.917999999999999</v>
      </c>
    </row>
    <row r="31" spans="1:9" ht="20.100000000000001" customHeight="1">
      <c r="A31" s="22" t="s">
        <v>8260</v>
      </c>
      <c r="B31" s="22" t="s">
        <v>6863</v>
      </c>
      <c r="C31" s="23" t="s">
        <v>6864</v>
      </c>
      <c r="D31" s="30">
        <v>572.84479999999996</v>
      </c>
      <c r="E31" s="94">
        <f t="shared" si="4"/>
        <v>21.004309333333332</v>
      </c>
      <c r="F31" s="94">
        <f t="shared" si="5"/>
        <v>22.913791999999997</v>
      </c>
    </row>
    <row r="32" spans="1:9" ht="20.100000000000001" customHeight="1">
      <c r="A32" s="22" t="s">
        <v>8261</v>
      </c>
      <c r="B32" s="22" t="s">
        <v>6362</v>
      </c>
      <c r="C32" s="23" t="s">
        <v>6363</v>
      </c>
      <c r="D32" s="30">
        <v>1100</v>
      </c>
      <c r="E32" s="94">
        <f t="shared" si="4"/>
        <v>40.333333333333336</v>
      </c>
      <c r="F32" s="94">
        <f t="shared" si="5"/>
        <v>44</v>
      </c>
      <c r="G32" s="28" t="s">
        <v>8867</v>
      </c>
    </row>
    <row r="33" spans="1:6" ht="20.100000000000001" customHeight="1">
      <c r="A33" s="22" t="s">
        <v>8262</v>
      </c>
      <c r="B33" s="22" t="s">
        <v>6380</v>
      </c>
      <c r="C33" s="23" t="s">
        <v>6381</v>
      </c>
      <c r="D33" s="30">
        <v>597.4</v>
      </c>
      <c r="E33" s="94">
        <f t="shared" si="4"/>
        <v>21.904666666666667</v>
      </c>
      <c r="F33" s="94">
        <f t="shared" si="5"/>
        <v>23.896000000000001</v>
      </c>
    </row>
    <row r="34" spans="1:6" ht="20.100000000000001" customHeight="1">
      <c r="A34" s="22" t="s">
        <v>8263</v>
      </c>
      <c r="B34" s="22" t="s">
        <v>6852</v>
      </c>
      <c r="C34" s="23" t="s">
        <v>6853</v>
      </c>
      <c r="D34" s="30">
        <v>618.25750000000005</v>
      </c>
      <c r="E34" s="94">
        <f t="shared" si="4"/>
        <v>22.669441666666671</v>
      </c>
      <c r="F34" s="94">
        <f t="shared" si="5"/>
        <v>24.7303</v>
      </c>
    </row>
    <row r="35" spans="1:6" ht="20.100000000000001" customHeight="1">
      <c r="A35" s="22" t="s">
        <v>8264</v>
      </c>
      <c r="B35" s="22" t="s">
        <v>6844</v>
      </c>
      <c r="C35" s="23" t="s">
        <v>6845</v>
      </c>
      <c r="D35" s="30">
        <v>641.32949999999994</v>
      </c>
      <c r="E35" s="94">
        <f t="shared" si="4"/>
        <v>23.515415000000001</v>
      </c>
      <c r="F35" s="94">
        <f t="shared" si="5"/>
        <v>25.653179999999999</v>
      </c>
    </row>
    <row r="36" spans="1:6" ht="20.100000000000001" customHeight="1">
      <c r="A36" s="22" t="s">
        <v>8265</v>
      </c>
      <c r="B36" s="22" t="s">
        <v>6753</v>
      </c>
      <c r="C36" s="23" t="s">
        <v>6754</v>
      </c>
      <c r="D36" s="30">
        <v>679.90300000000002</v>
      </c>
      <c r="E36" s="94">
        <f t="shared" si="4"/>
        <v>24.929776666666669</v>
      </c>
      <c r="F36" s="94">
        <f t="shared" si="5"/>
        <v>27.196120000000001</v>
      </c>
    </row>
    <row r="37" spans="1:6" ht="20.100000000000001" customHeight="1">
      <c r="A37" s="22" t="s">
        <v>8266</v>
      </c>
      <c r="B37" s="22" t="s">
        <v>6755</v>
      </c>
      <c r="C37" s="23" t="s">
        <v>6756</v>
      </c>
      <c r="D37" s="30">
        <v>1056</v>
      </c>
      <c r="E37" s="94">
        <f t="shared" si="4"/>
        <v>38.720000000000006</v>
      </c>
      <c r="F37" s="94">
        <f t="shared" si="5"/>
        <v>42.24</v>
      </c>
    </row>
    <row r="38" spans="1:6" ht="20.100000000000001" customHeight="1">
      <c r="A38" s="22" t="s">
        <v>8267</v>
      </c>
      <c r="B38" s="22" t="s">
        <v>6385</v>
      </c>
      <c r="C38" s="23" t="s">
        <v>6386</v>
      </c>
      <c r="D38" s="30">
        <v>875.5</v>
      </c>
      <c r="E38" s="94">
        <f t="shared" si="4"/>
        <v>32.101666666666667</v>
      </c>
      <c r="F38" s="94">
        <f t="shared" si="5"/>
        <v>35.019999999999996</v>
      </c>
    </row>
    <row r="39" spans="1:6" ht="20.100000000000001" customHeight="1">
      <c r="A39" s="22" t="s">
        <v>8268</v>
      </c>
      <c r="B39" s="22" t="s">
        <v>6550</v>
      </c>
      <c r="C39" s="23" t="s">
        <v>6551</v>
      </c>
      <c r="D39" s="30">
        <v>574.00869999999998</v>
      </c>
      <c r="E39" s="94">
        <f t="shared" si="4"/>
        <v>21.046985666666668</v>
      </c>
      <c r="F39" s="94">
        <f t="shared" si="5"/>
        <v>22.960348</v>
      </c>
    </row>
    <row r="40" spans="1:6" ht="20.100000000000001" customHeight="1">
      <c r="A40" s="22" t="s">
        <v>8269</v>
      </c>
      <c r="B40" s="22" t="s">
        <v>6497</v>
      </c>
      <c r="C40" s="23" t="s">
        <v>6498</v>
      </c>
      <c r="D40" s="30">
        <v>654.05000000000007</v>
      </c>
      <c r="E40" s="94">
        <f t="shared" si="4"/>
        <v>23.981833333333338</v>
      </c>
      <c r="F40" s="94">
        <f t="shared" si="5"/>
        <v>26.161999999999999</v>
      </c>
    </row>
    <row r="41" spans="1:6" ht="20.100000000000001" customHeight="1">
      <c r="A41" s="22" t="s">
        <v>8270</v>
      </c>
      <c r="B41" s="22" t="s">
        <v>6306</v>
      </c>
      <c r="C41" s="23" t="s">
        <v>6307</v>
      </c>
      <c r="D41" s="30">
        <v>786.22990000000004</v>
      </c>
      <c r="E41" s="94">
        <f t="shared" si="4"/>
        <v>28.828429666666672</v>
      </c>
      <c r="F41" s="94">
        <f t="shared" si="5"/>
        <v>31.449195999999997</v>
      </c>
    </row>
    <row r="42" spans="1:6" ht="20.100000000000001" customHeight="1">
      <c r="A42" s="22" t="s">
        <v>8271</v>
      </c>
      <c r="B42" s="22" t="s">
        <v>6387</v>
      </c>
      <c r="C42" s="23" t="s">
        <v>6388</v>
      </c>
      <c r="D42" s="30">
        <v>489.25</v>
      </c>
      <c r="E42" s="94">
        <f t="shared" si="4"/>
        <v>17.939166666666669</v>
      </c>
      <c r="F42" s="94">
        <f t="shared" si="5"/>
        <v>19.57</v>
      </c>
    </row>
    <row r="43" spans="1:6" ht="20.100000000000001" customHeight="1">
      <c r="A43" s="36" t="s">
        <v>8272</v>
      </c>
      <c r="B43" s="36" t="s">
        <v>8053</v>
      </c>
      <c r="C43" s="37" t="s">
        <v>8878</v>
      </c>
      <c r="D43" s="33">
        <v>550</v>
      </c>
      <c r="E43" s="94">
        <f t="shared" si="4"/>
        <v>20.166666666666668</v>
      </c>
      <c r="F43" s="94">
        <f t="shared" si="5"/>
        <v>22</v>
      </c>
    </row>
    <row r="44" spans="1:6" ht="20.100000000000001" customHeight="1">
      <c r="A44" s="22" t="s">
        <v>8273</v>
      </c>
      <c r="B44" s="22" t="s">
        <v>6392</v>
      </c>
      <c r="C44" s="23" t="s">
        <v>6393</v>
      </c>
      <c r="D44" s="30">
        <v>849.75</v>
      </c>
      <c r="E44" s="94">
        <f t="shared" si="4"/>
        <v>31.157500000000002</v>
      </c>
      <c r="F44" s="94">
        <f t="shared" si="5"/>
        <v>33.989999999999995</v>
      </c>
    </row>
    <row r="45" spans="1:6" ht="20.100000000000001" customHeight="1">
      <c r="A45" s="22" t="s">
        <v>8274</v>
      </c>
      <c r="B45" s="22" t="s">
        <v>6560</v>
      </c>
      <c r="C45" s="23" t="s">
        <v>6561</v>
      </c>
      <c r="D45" s="30">
        <v>906</v>
      </c>
      <c r="E45" s="94">
        <f t="shared" si="4"/>
        <v>33.220000000000006</v>
      </c>
      <c r="F45" s="94">
        <f t="shared" si="5"/>
        <v>36.24</v>
      </c>
    </row>
    <row r="46" spans="1:6" ht="20.100000000000001" customHeight="1">
      <c r="A46" s="22" t="s">
        <v>8275</v>
      </c>
      <c r="B46" s="22" t="s">
        <v>6246</v>
      </c>
      <c r="C46" s="23" t="s">
        <v>6247</v>
      </c>
      <c r="D46" s="30">
        <v>401.25709999999998</v>
      </c>
      <c r="E46" s="94">
        <f t="shared" si="4"/>
        <v>14.712760333333334</v>
      </c>
      <c r="F46" s="94">
        <f t="shared" si="5"/>
        <v>16.050283999999998</v>
      </c>
    </row>
    <row r="47" spans="1:6" ht="20.100000000000001" customHeight="1">
      <c r="A47" s="22" t="s">
        <v>8276</v>
      </c>
      <c r="B47" s="22" t="s">
        <v>6634</v>
      </c>
      <c r="C47" s="23" t="s">
        <v>6635</v>
      </c>
      <c r="D47" s="30">
        <v>808.07619999999997</v>
      </c>
      <c r="E47" s="94">
        <f t="shared" si="4"/>
        <v>29.629460666666667</v>
      </c>
      <c r="F47" s="94">
        <f t="shared" si="5"/>
        <v>32.323048</v>
      </c>
    </row>
    <row r="48" spans="1:6" ht="20.100000000000001" customHeight="1">
      <c r="A48" s="22" t="s">
        <v>8277</v>
      </c>
      <c r="B48" s="22" t="s">
        <v>7332</v>
      </c>
      <c r="C48" s="23" t="s">
        <v>7333</v>
      </c>
      <c r="D48" s="30">
        <v>596.73050000000001</v>
      </c>
      <c r="E48" s="94">
        <f t="shared" si="4"/>
        <v>21.880118333333336</v>
      </c>
      <c r="F48" s="94">
        <f t="shared" si="5"/>
        <v>23.869219999999999</v>
      </c>
    </row>
    <row r="49" spans="1:7" ht="20.100000000000001" customHeight="1">
      <c r="A49" s="22" t="s">
        <v>8278</v>
      </c>
      <c r="B49" s="22" t="s">
        <v>6311</v>
      </c>
      <c r="C49" s="23" t="s">
        <v>6312</v>
      </c>
      <c r="D49" s="30">
        <v>597.4</v>
      </c>
      <c r="E49" s="94">
        <f t="shared" si="4"/>
        <v>21.904666666666667</v>
      </c>
      <c r="F49" s="94">
        <f t="shared" si="5"/>
        <v>23.896000000000001</v>
      </c>
    </row>
    <row r="50" spans="1:7" ht="20.100000000000001" customHeight="1">
      <c r="A50" s="22" t="s">
        <v>8279</v>
      </c>
      <c r="B50" s="22" t="s">
        <v>7330</v>
      </c>
      <c r="C50" s="23" t="s">
        <v>7331</v>
      </c>
      <c r="D50" s="30" t="s">
        <v>2</v>
      </c>
      <c r="E50" s="94" t="e">
        <f t="shared" si="4"/>
        <v>#VALUE!</v>
      </c>
      <c r="F50" s="94" t="e">
        <f t="shared" si="5"/>
        <v>#VALUE!</v>
      </c>
    </row>
    <row r="51" spans="1:7" ht="20.100000000000001" customHeight="1">
      <c r="A51" s="22" t="s">
        <v>8829</v>
      </c>
      <c r="B51" s="22" t="s">
        <v>6394</v>
      </c>
      <c r="C51" s="23" t="s">
        <v>6395</v>
      </c>
      <c r="D51" s="30">
        <v>736.45</v>
      </c>
      <c r="E51" s="94">
        <f t="shared" si="4"/>
        <v>27.003166666666672</v>
      </c>
      <c r="F51" s="94">
        <f t="shared" si="5"/>
        <v>29.458000000000002</v>
      </c>
    </row>
    <row r="52" spans="1:7" ht="20.100000000000001" customHeight="1">
      <c r="A52" s="22" t="s">
        <v>8280</v>
      </c>
      <c r="B52" s="22" t="s">
        <v>6411</v>
      </c>
      <c r="C52" s="23" t="s">
        <v>6412</v>
      </c>
      <c r="D52" s="30">
        <v>561.35</v>
      </c>
      <c r="E52" s="94">
        <f t="shared" si="4"/>
        <v>20.582833333333337</v>
      </c>
      <c r="F52" s="94">
        <f t="shared" si="5"/>
        <v>22.454000000000001</v>
      </c>
    </row>
    <row r="53" spans="1:7" ht="20.100000000000001" customHeight="1">
      <c r="A53" s="22" t="s">
        <v>8281</v>
      </c>
      <c r="B53" s="22" t="s">
        <v>6313</v>
      </c>
      <c r="C53" s="23" t="s">
        <v>6314</v>
      </c>
      <c r="D53" s="30">
        <v>611.82000000000005</v>
      </c>
      <c r="E53" s="94">
        <f t="shared" si="4"/>
        <v>22.433400000000002</v>
      </c>
      <c r="F53" s="94">
        <f t="shared" si="5"/>
        <v>24.472800000000003</v>
      </c>
    </row>
    <row r="54" spans="1:7" ht="20.100000000000001" customHeight="1">
      <c r="A54" s="22" t="s">
        <v>8282</v>
      </c>
      <c r="B54" s="22" t="s">
        <v>6315</v>
      </c>
      <c r="C54" s="23" t="s">
        <v>6316</v>
      </c>
      <c r="D54" s="30">
        <v>556.20000000000005</v>
      </c>
      <c r="E54" s="94">
        <f t="shared" si="4"/>
        <v>20.394000000000002</v>
      </c>
      <c r="F54" s="94">
        <f t="shared" si="5"/>
        <v>22.248000000000001</v>
      </c>
    </row>
    <row r="55" spans="1:7" ht="20.100000000000001" customHeight="1">
      <c r="A55" s="36" t="s">
        <v>8283</v>
      </c>
      <c r="B55" s="36" t="s">
        <v>7407</v>
      </c>
      <c r="C55" s="37" t="s">
        <v>7408</v>
      </c>
      <c r="D55" s="33">
        <v>556.20000000000005</v>
      </c>
      <c r="E55" s="100">
        <v>20.5</v>
      </c>
      <c r="F55" s="100">
        <v>22.5</v>
      </c>
      <c r="G55" s="56" t="s">
        <v>8011</v>
      </c>
    </row>
    <row r="56" spans="1:7" ht="20.100000000000001" customHeight="1">
      <c r="A56" s="22" t="s">
        <v>8284</v>
      </c>
      <c r="B56" s="22" t="s">
        <v>6495</v>
      </c>
      <c r="C56" s="23" t="s">
        <v>6496</v>
      </c>
      <c r="D56" s="30">
        <v>819.68430000000001</v>
      </c>
      <c r="E56" s="94">
        <f>+(D56*1.1/30)</f>
        <v>30.055091000000004</v>
      </c>
      <c r="F56" s="94">
        <f>+(D56*1.2/30)</f>
        <v>32.787371999999998</v>
      </c>
    </row>
    <row r="57" spans="1:7" ht="20.100000000000001" customHeight="1">
      <c r="A57" s="22" t="s">
        <v>8285</v>
      </c>
      <c r="B57" s="22" t="s">
        <v>6552</v>
      </c>
      <c r="C57" s="23" t="s">
        <v>6553</v>
      </c>
      <c r="D57" s="30">
        <v>574.00869999999998</v>
      </c>
      <c r="E57" s="94">
        <f>+(D57*1.1/30)</f>
        <v>21.046985666666668</v>
      </c>
      <c r="F57" s="94">
        <f>+(D57*1.2/30)</f>
        <v>22.960348</v>
      </c>
    </row>
    <row r="58" spans="1:7" ht="20.100000000000001" customHeight="1">
      <c r="A58" s="22" t="s">
        <v>8830</v>
      </c>
      <c r="B58" s="22" t="s">
        <v>6651</v>
      </c>
      <c r="C58" s="23" t="s">
        <v>6652</v>
      </c>
      <c r="D58" s="30">
        <v>575.41980000000001</v>
      </c>
      <c r="E58" s="94">
        <f>+(D58*1.1/30)</f>
        <v>21.098726000000003</v>
      </c>
      <c r="F58" s="94">
        <f>+(D58*1.2/30)</f>
        <v>23.016791999999999</v>
      </c>
    </row>
    <row r="59" spans="1:7" ht="20.100000000000001" customHeight="1">
      <c r="A59" s="36" t="s">
        <v>8831</v>
      </c>
      <c r="B59" s="36" t="s">
        <v>6317</v>
      </c>
      <c r="C59" s="37" t="s">
        <v>6318</v>
      </c>
      <c r="D59" s="33">
        <v>669.5</v>
      </c>
      <c r="E59" s="100">
        <v>27.55</v>
      </c>
      <c r="F59" s="100">
        <v>29.55</v>
      </c>
      <c r="G59" s="56" t="s">
        <v>7999</v>
      </c>
    </row>
    <row r="60" spans="1:7" ht="20.100000000000001" customHeight="1">
      <c r="A60" s="22" t="s">
        <v>8286</v>
      </c>
      <c r="B60" s="22" t="s">
        <v>6418</v>
      </c>
      <c r="C60" s="23" t="s">
        <v>6419</v>
      </c>
      <c r="D60" s="30">
        <v>757.05000000000007</v>
      </c>
      <c r="E60" s="94">
        <f t="shared" ref="E60:E72" si="6">+(D60*1.1/30)</f>
        <v>27.758500000000005</v>
      </c>
      <c r="F60" s="94">
        <f t="shared" ref="F60:F72" si="7">+(D60*1.2/30)</f>
        <v>30.282</v>
      </c>
    </row>
    <row r="61" spans="1:7" ht="20.100000000000001" customHeight="1">
      <c r="A61" s="22" t="s">
        <v>8287</v>
      </c>
      <c r="B61" s="22" t="s">
        <v>6649</v>
      </c>
      <c r="C61" s="23" t="s">
        <v>6650</v>
      </c>
      <c r="D61" s="30">
        <v>646.84</v>
      </c>
      <c r="E61" s="94">
        <f t="shared" si="6"/>
        <v>23.71746666666667</v>
      </c>
      <c r="F61" s="94">
        <f t="shared" si="7"/>
        <v>25.8736</v>
      </c>
    </row>
    <row r="62" spans="1:7" ht="20.100000000000001" customHeight="1">
      <c r="A62" s="22" t="s">
        <v>8288</v>
      </c>
      <c r="B62" s="22" t="s">
        <v>6647</v>
      </c>
      <c r="C62" s="23" t="s">
        <v>6648</v>
      </c>
      <c r="D62" s="30">
        <v>567.53</v>
      </c>
      <c r="E62" s="94">
        <f t="shared" si="6"/>
        <v>20.809433333333335</v>
      </c>
      <c r="F62" s="94">
        <f t="shared" si="7"/>
        <v>22.701199999999996</v>
      </c>
    </row>
    <row r="63" spans="1:7" ht="20.100000000000001" customHeight="1">
      <c r="A63" s="22" t="s">
        <v>8289</v>
      </c>
      <c r="B63" s="22" t="s">
        <v>6645</v>
      </c>
      <c r="C63" s="23" t="s">
        <v>6646</v>
      </c>
      <c r="D63" s="30">
        <v>562.38</v>
      </c>
      <c r="E63" s="94">
        <f t="shared" si="6"/>
        <v>20.620600000000003</v>
      </c>
      <c r="F63" s="94">
        <f t="shared" si="7"/>
        <v>22.495200000000001</v>
      </c>
    </row>
    <row r="64" spans="1:7" ht="20.100000000000001" customHeight="1">
      <c r="A64" s="22" t="s">
        <v>8290</v>
      </c>
      <c r="B64" s="22" t="s">
        <v>6759</v>
      </c>
      <c r="C64" s="23" t="s">
        <v>6760</v>
      </c>
      <c r="D64" s="30">
        <v>621.09</v>
      </c>
      <c r="E64" s="94">
        <f t="shared" si="6"/>
        <v>22.773300000000003</v>
      </c>
      <c r="F64" s="94">
        <f t="shared" si="7"/>
        <v>24.843599999999999</v>
      </c>
    </row>
    <row r="65" spans="1:7" ht="20.100000000000001" customHeight="1">
      <c r="A65" s="22" t="s">
        <v>8291</v>
      </c>
      <c r="B65" s="22" t="s">
        <v>6319</v>
      </c>
      <c r="C65" s="23" t="s">
        <v>6320</v>
      </c>
      <c r="D65" s="30">
        <v>1074.3517999999999</v>
      </c>
      <c r="E65" s="94">
        <f t="shared" si="6"/>
        <v>39.392899333333339</v>
      </c>
      <c r="F65" s="94">
        <f t="shared" si="7"/>
        <v>42.974071999999992</v>
      </c>
    </row>
    <row r="66" spans="1:7" ht="20.100000000000001" customHeight="1">
      <c r="A66" s="22" t="s">
        <v>8298</v>
      </c>
      <c r="B66" s="22" t="s">
        <v>6422</v>
      </c>
      <c r="C66" s="23" t="s">
        <v>6423</v>
      </c>
      <c r="D66" s="30">
        <v>659</v>
      </c>
      <c r="E66" s="94">
        <f t="shared" si="6"/>
        <v>24.163333333333338</v>
      </c>
      <c r="F66" s="94">
        <f t="shared" si="7"/>
        <v>26.36</v>
      </c>
    </row>
    <row r="67" spans="1:7" ht="20.100000000000001" customHeight="1">
      <c r="A67" s="22" t="s">
        <v>8299</v>
      </c>
      <c r="B67" s="22" t="s">
        <v>6424</v>
      </c>
      <c r="C67" s="23" t="s">
        <v>6425</v>
      </c>
      <c r="D67" s="30">
        <v>957.9</v>
      </c>
      <c r="E67" s="94">
        <f t="shared" si="6"/>
        <v>35.123000000000005</v>
      </c>
      <c r="F67" s="94">
        <f t="shared" si="7"/>
        <v>38.316000000000003</v>
      </c>
    </row>
    <row r="68" spans="1:7" ht="20.100000000000001" customHeight="1">
      <c r="A68" s="22" t="s">
        <v>8292</v>
      </c>
      <c r="B68" s="22" t="s">
        <v>6347</v>
      </c>
      <c r="C68" s="23" t="s">
        <v>6348</v>
      </c>
      <c r="D68" s="30">
        <v>710.7</v>
      </c>
      <c r="E68" s="94">
        <f t="shared" si="6"/>
        <v>26.059000000000005</v>
      </c>
      <c r="F68" s="94">
        <f t="shared" si="7"/>
        <v>28.428000000000001</v>
      </c>
    </row>
    <row r="69" spans="1:7" ht="20.100000000000001" customHeight="1">
      <c r="A69" s="22" t="s">
        <v>8293</v>
      </c>
      <c r="B69" s="22" t="s">
        <v>6349</v>
      </c>
      <c r="C69" s="23" t="s">
        <v>6350</v>
      </c>
      <c r="D69" s="30">
        <v>790.37049999999999</v>
      </c>
      <c r="E69" s="94">
        <f t="shared" si="6"/>
        <v>28.980251666666668</v>
      </c>
      <c r="F69" s="94">
        <f t="shared" si="7"/>
        <v>31.614819999999998</v>
      </c>
    </row>
    <row r="70" spans="1:7" ht="20.100000000000001" customHeight="1">
      <c r="A70" s="22" t="s">
        <v>8832</v>
      </c>
      <c r="B70" s="22" t="s">
        <v>6351</v>
      </c>
      <c r="C70" s="23" t="s">
        <v>6352</v>
      </c>
      <c r="D70" s="30">
        <v>700.4</v>
      </c>
      <c r="E70" s="94">
        <f t="shared" si="6"/>
        <v>25.681333333333335</v>
      </c>
      <c r="F70" s="94">
        <f t="shared" si="7"/>
        <v>28.015999999999998</v>
      </c>
    </row>
    <row r="71" spans="1:7" ht="20.100000000000001" customHeight="1">
      <c r="A71" s="22" t="s">
        <v>8294</v>
      </c>
      <c r="B71" s="22" t="s">
        <v>6490</v>
      </c>
      <c r="C71" s="23" t="s">
        <v>6491</v>
      </c>
      <c r="D71" s="30">
        <v>607.70000000000005</v>
      </c>
      <c r="E71" s="94">
        <f t="shared" si="6"/>
        <v>22.282333333333337</v>
      </c>
      <c r="F71" s="94">
        <f t="shared" si="7"/>
        <v>24.308</v>
      </c>
    </row>
    <row r="72" spans="1:7" ht="20.100000000000001" customHeight="1">
      <c r="A72" s="22" t="s">
        <v>8295</v>
      </c>
      <c r="B72" s="22" t="s">
        <v>6353</v>
      </c>
      <c r="C72" s="23" t="s">
        <v>6354</v>
      </c>
      <c r="D72" s="30">
        <v>671.47759999999994</v>
      </c>
      <c r="E72" s="94">
        <f t="shared" si="6"/>
        <v>24.620845333333332</v>
      </c>
      <c r="F72" s="94">
        <f t="shared" si="7"/>
        <v>26.859103999999999</v>
      </c>
    </row>
    <row r="73" spans="1:7" ht="20.100000000000001" customHeight="1">
      <c r="A73" s="36" t="s">
        <v>8296</v>
      </c>
      <c r="B73" s="36" t="s">
        <v>6355</v>
      </c>
      <c r="C73" s="37" t="s">
        <v>6356</v>
      </c>
      <c r="D73" s="33">
        <v>598.42999999999995</v>
      </c>
      <c r="E73" s="100">
        <v>17.8</v>
      </c>
      <c r="F73" s="100">
        <v>19.8</v>
      </c>
      <c r="G73" s="56" t="s">
        <v>8010</v>
      </c>
    </row>
    <row r="74" spans="1:7" ht="20.100000000000001" customHeight="1">
      <c r="A74" s="36" t="s">
        <v>8297</v>
      </c>
      <c r="B74" s="36" t="s">
        <v>6357</v>
      </c>
      <c r="C74" s="37" t="s">
        <v>6358</v>
      </c>
      <c r="D74" s="33">
        <v>598.42999999999995</v>
      </c>
      <c r="E74" s="100">
        <v>17.8</v>
      </c>
      <c r="F74" s="100">
        <v>19.8</v>
      </c>
      <c r="G74" s="56" t="s">
        <v>8010</v>
      </c>
    </row>
    <row r="75" spans="1:7" ht="20.100000000000001" customHeight="1">
      <c r="A75" s="22" t="s">
        <v>8300</v>
      </c>
      <c r="B75" s="22" t="s">
        <v>6511</v>
      </c>
      <c r="C75" s="23" t="s">
        <v>6512</v>
      </c>
      <c r="D75" s="30">
        <v>618</v>
      </c>
      <c r="E75" s="94">
        <f>+(D75*1.1/30)</f>
        <v>22.660000000000004</v>
      </c>
      <c r="F75" s="94">
        <f>+(D75*1.2/30)</f>
        <v>24.720000000000002</v>
      </c>
    </row>
    <row r="76" spans="1:7" ht="20.100000000000001" customHeight="1">
      <c r="A76" s="36" t="s">
        <v>8833</v>
      </c>
      <c r="B76" s="36" t="s">
        <v>6396</v>
      </c>
      <c r="C76" s="37" t="s">
        <v>6397</v>
      </c>
      <c r="D76" s="33">
        <v>669.5</v>
      </c>
      <c r="E76" s="100">
        <v>27.55</v>
      </c>
      <c r="F76" s="100">
        <v>29.55</v>
      </c>
      <c r="G76" s="56" t="s">
        <v>7999</v>
      </c>
    </row>
    <row r="77" spans="1:7" ht="20.100000000000001" customHeight="1">
      <c r="A77" s="36" t="s">
        <v>8301</v>
      </c>
      <c r="B77" s="36" t="s">
        <v>6661</v>
      </c>
      <c r="C77" s="37" t="s">
        <v>8003</v>
      </c>
      <c r="D77" s="33">
        <v>992</v>
      </c>
      <c r="E77" s="100">
        <v>38</v>
      </c>
      <c r="F77" s="100">
        <v>40</v>
      </c>
      <c r="G77" s="56" t="s">
        <v>8000</v>
      </c>
    </row>
    <row r="78" spans="1:7" ht="20.100000000000001" customHeight="1">
      <c r="A78" s="36" t="s">
        <v>8302</v>
      </c>
      <c r="B78" s="36" t="s">
        <v>6321</v>
      </c>
      <c r="C78" s="37" t="s">
        <v>6322</v>
      </c>
      <c r="D78" s="33">
        <v>999</v>
      </c>
      <c r="E78" s="100">
        <v>38.5</v>
      </c>
      <c r="F78" s="100">
        <v>40.5</v>
      </c>
      <c r="G78" s="56" t="s">
        <v>8000</v>
      </c>
    </row>
    <row r="79" spans="1:7" ht="20.100000000000001" customHeight="1">
      <c r="A79" s="22" t="s">
        <v>8303</v>
      </c>
      <c r="B79" s="22" t="s">
        <v>6531</v>
      </c>
      <c r="C79" s="23" t="s">
        <v>6532</v>
      </c>
      <c r="D79" s="30">
        <v>1004.25</v>
      </c>
      <c r="E79" s="94">
        <f>+(D79*1.1/30)</f>
        <v>36.822500000000005</v>
      </c>
      <c r="F79" s="94">
        <f>+(D79*1.2/30)</f>
        <v>40.169999999999995</v>
      </c>
    </row>
    <row r="80" spans="1:7" ht="20.100000000000001" customHeight="1">
      <c r="A80" s="22" t="s">
        <v>8304</v>
      </c>
      <c r="B80" s="22" t="s">
        <v>6565</v>
      </c>
      <c r="C80" s="23" t="s">
        <v>6566</v>
      </c>
      <c r="D80" s="30">
        <v>849.75</v>
      </c>
      <c r="E80" s="94">
        <f>+(D80*1.1/30)</f>
        <v>31.157500000000002</v>
      </c>
      <c r="F80" s="94">
        <f>+(D80*1.2/30)</f>
        <v>33.989999999999995</v>
      </c>
    </row>
    <row r="81" spans="1:9" ht="20.100000000000001" customHeight="1">
      <c r="A81" s="22" t="s">
        <v>8305</v>
      </c>
      <c r="B81" s="22" t="s">
        <v>7761</v>
      </c>
      <c r="C81" s="23" t="s">
        <v>7762</v>
      </c>
      <c r="D81" s="30">
        <v>803.4</v>
      </c>
      <c r="E81" s="94">
        <f>+(D81*1.1/30)</f>
        <v>29.458000000000002</v>
      </c>
      <c r="F81" s="94">
        <f>+(D81*1.2/30)</f>
        <v>32.135999999999996</v>
      </c>
    </row>
    <row r="82" spans="1:9" ht="20.100000000000001" customHeight="1">
      <c r="A82" s="36" t="s">
        <v>8306</v>
      </c>
      <c r="B82" s="36" t="s">
        <v>6708</v>
      </c>
      <c r="C82" s="37" t="s">
        <v>6709</v>
      </c>
      <c r="D82" s="33">
        <v>494.40000000000003</v>
      </c>
      <c r="E82" s="100">
        <v>17.8</v>
      </c>
      <c r="F82" s="100">
        <v>19.8</v>
      </c>
      <c r="G82" s="56" t="s">
        <v>8010</v>
      </c>
    </row>
    <row r="83" spans="1:9" ht="20.100000000000001" customHeight="1">
      <c r="A83" s="36" t="s">
        <v>8307</v>
      </c>
      <c r="B83" s="36" t="s">
        <v>6359</v>
      </c>
      <c r="C83" s="37" t="s">
        <v>8852</v>
      </c>
      <c r="D83" s="33">
        <v>580</v>
      </c>
      <c r="E83" s="100">
        <v>17.8</v>
      </c>
      <c r="F83" s="100">
        <v>19.8</v>
      </c>
      <c r="G83" s="56"/>
      <c r="I83" s="1" t="s">
        <v>8851</v>
      </c>
    </row>
    <row r="84" spans="1:9" ht="20.100000000000001" customHeight="1">
      <c r="A84" s="22" t="s">
        <v>8308</v>
      </c>
      <c r="B84" s="22" t="s">
        <v>6360</v>
      </c>
      <c r="C84" s="23" t="s">
        <v>6361</v>
      </c>
      <c r="D84" s="30">
        <v>625.93100000000004</v>
      </c>
      <c r="E84" s="94">
        <f t="shared" ref="E84:E108" si="8">+(D84*1.1/30)</f>
        <v>22.950803333333337</v>
      </c>
      <c r="F84" s="94">
        <f t="shared" ref="F84:F108" si="9">+(D84*1.2/30)</f>
        <v>25.037240000000001</v>
      </c>
    </row>
    <row r="85" spans="1:9" ht="20.100000000000001" customHeight="1">
      <c r="A85" s="22" t="s">
        <v>8309</v>
      </c>
      <c r="B85" s="22" t="s">
        <v>6624</v>
      </c>
      <c r="C85" s="23" t="s">
        <v>6625</v>
      </c>
      <c r="D85" s="30">
        <v>365.65000000000003</v>
      </c>
      <c r="E85" s="94">
        <f t="shared" si="8"/>
        <v>13.40716666666667</v>
      </c>
      <c r="F85" s="94">
        <f t="shared" si="9"/>
        <v>14.626000000000001</v>
      </c>
    </row>
    <row r="86" spans="1:9" ht="20.100000000000001" customHeight="1">
      <c r="A86" s="22" t="s">
        <v>8310</v>
      </c>
      <c r="B86" s="22" t="s">
        <v>7336</v>
      </c>
      <c r="C86" s="23" t="s">
        <v>7331</v>
      </c>
      <c r="D86" s="30" t="s">
        <v>2</v>
      </c>
      <c r="E86" s="94" t="e">
        <f t="shared" si="8"/>
        <v>#VALUE!</v>
      </c>
      <c r="F86" s="94" t="e">
        <f t="shared" si="9"/>
        <v>#VALUE!</v>
      </c>
    </row>
    <row r="87" spans="1:9" ht="20.100000000000001" customHeight="1">
      <c r="A87" s="36" t="s">
        <v>8311</v>
      </c>
      <c r="B87" s="36" t="s">
        <v>7934</v>
      </c>
      <c r="C87" s="37" t="s">
        <v>7935</v>
      </c>
      <c r="D87" s="33">
        <v>1125</v>
      </c>
      <c r="E87" s="100">
        <f t="shared" si="8"/>
        <v>41.25</v>
      </c>
      <c r="F87" s="100">
        <f t="shared" si="9"/>
        <v>45</v>
      </c>
      <c r="G87" s="32"/>
    </row>
    <row r="88" spans="1:9" ht="20.100000000000001" customHeight="1">
      <c r="A88" s="22" t="s">
        <v>8312</v>
      </c>
      <c r="B88" s="22" t="s">
        <v>6653</v>
      </c>
      <c r="C88" s="23" t="s">
        <v>6654</v>
      </c>
      <c r="D88" s="30">
        <v>561.35</v>
      </c>
      <c r="E88" s="94">
        <f t="shared" si="8"/>
        <v>20.582833333333337</v>
      </c>
      <c r="F88" s="94">
        <f t="shared" si="9"/>
        <v>22.454000000000001</v>
      </c>
    </row>
    <row r="89" spans="1:9" ht="20.100000000000001" customHeight="1">
      <c r="A89" s="22" t="s">
        <v>8313</v>
      </c>
      <c r="B89" s="22" t="s">
        <v>6659</v>
      </c>
      <c r="C89" s="23" t="s">
        <v>6660</v>
      </c>
      <c r="D89" s="30">
        <v>545.9</v>
      </c>
      <c r="E89" s="94">
        <f t="shared" si="8"/>
        <v>20.016333333333332</v>
      </c>
      <c r="F89" s="94">
        <f t="shared" si="9"/>
        <v>21.835999999999999</v>
      </c>
    </row>
    <row r="90" spans="1:9" ht="20.100000000000001" customHeight="1">
      <c r="A90" s="22" t="s">
        <v>8314</v>
      </c>
      <c r="B90" s="22" t="s">
        <v>6671</v>
      </c>
      <c r="C90" s="23" t="s">
        <v>6672</v>
      </c>
      <c r="D90" s="30">
        <v>515</v>
      </c>
      <c r="E90" s="94">
        <f t="shared" si="8"/>
        <v>18.883333333333333</v>
      </c>
      <c r="F90" s="94">
        <f t="shared" si="9"/>
        <v>20.6</v>
      </c>
    </row>
    <row r="91" spans="1:9" ht="20.100000000000001" customHeight="1">
      <c r="A91" s="22" t="s">
        <v>8315</v>
      </c>
      <c r="B91" s="22" t="s">
        <v>6533</v>
      </c>
      <c r="C91" s="23" t="s">
        <v>8002</v>
      </c>
      <c r="D91" s="30">
        <v>459.36970000000002</v>
      </c>
      <c r="E91" s="94">
        <f t="shared" si="8"/>
        <v>16.843555666666667</v>
      </c>
      <c r="F91" s="94">
        <f t="shared" si="9"/>
        <v>18.374788000000002</v>
      </c>
    </row>
    <row r="92" spans="1:9" ht="20.100000000000001" customHeight="1">
      <c r="A92" s="22" t="s">
        <v>8316</v>
      </c>
      <c r="B92" s="22" t="s">
        <v>7183</v>
      </c>
      <c r="C92" s="23" t="s">
        <v>7184</v>
      </c>
      <c r="D92" s="30" t="s">
        <v>2</v>
      </c>
      <c r="E92" s="94" t="e">
        <f t="shared" si="8"/>
        <v>#VALUE!</v>
      </c>
      <c r="F92" s="94" t="e">
        <f t="shared" si="9"/>
        <v>#VALUE!</v>
      </c>
    </row>
    <row r="93" spans="1:9" ht="20.100000000000001" customHeight="1">
      <c r="A93" s="22" t="s">
        <v>8317</v>
      </c>
      <c r="B93" s="22" t="s">
        <v>6534</v>
      </c>
      <c r="C93" s="23" t="s">
        <v>6535</v>
      </c>
      <c r="D93" s="30" t="s">
        <v>2</v>
      </c>
      <c r="E93" s="94" t="e">
        <f t="shared" si="8"/>
        <v>#VALUE!</v>
      </c>
      <c r="F93" s="94" t="e">
        <f t="shared" si="9"/>
        <v>#VALUE!</v>
      </c>
    </row>
    <row r="94" spans="1:9" ht="20.100000000000001" customHeight="1">
      <c r="A94" s="22" t="s">
        <v>8318</v>
      </c>
      <c r="B94" s="22" t="s">
        <v>7334</v>
      </c>
      <c r="C94" s="23" t="s">
        <v>7335</v>
      </c>
      <c r="D94" s="30" t="s">
        <v>2</v>
      </c>
      <c r="E94" s="94" t="e">
        <f t="shared" si="8"/>
        <v>#VALUE!</v>
      </c>
      <c r="F94" s="94" t="e">
        <f t="shared" si="9"/>
        <v>#VALUE!</v>
      </c>
    </row>
    <row r="95" spans="1:9" ht="20.100000000000001" customHeight="1">
      <c r="A95" s="22" t="s">
        <v>8319</v>
      </c>
      <c r="B95" s="22" t="s">
        <v>6460</v>
      </c>
      <c r="C95" s="23" t="s">
        <v>6461</v>
      </c>
      <c r="D95" s="30">
        <v>796.9316</v>
      </c>
      <c r="E95" s="94">
        <f t="shared" si="8"/>
        <v>29.220825333333334</v>
      </c>
      <c r="F95" s="94">
        <f t="shared" si="9"/>
        <v>31.877264</v>
      </c>
    </row>
    <row r="96" spans="1:9" ht="20.100000000000001" customHeight="1">
      <c r="A96" s="22" t="s">
        <v>8320</v>
      </c>
      <c r="B96" s="22" t="s">
        <v>6715</v>
      </c>
      <c r="C96" s="23" t="s">
        <v>6716</v>
      </c>
      <c r="D96" s="30">
        <v>489.25</v>
      </c>
      <c r="E96" s="94">
        <f t="shared" si="8"/>
        <v>17.939166666666669</v>
      </c>
      <c r="F96" s="94">
        <f t="shared" si="9"/>
        <v>19.57</v>
      </c>
    </row>
    <row r="97" spans="1:7" ht="20.100000000000001" customHeight="1">
      <c r="A97" s="22" t="s">
        <v>8321</v>
      </c>
      <c r="B97" s="22" t="s">
        <v>6770</v>
      </c>
      <c r="C97" s="23" t="s">
        <v>6771</v>
      </c>
      <c r="D97" s="30">
        <v>1265.9214999999999</v>
      </c>
      <c r="E97" s="94">
        <f t="shared" si="8"/>
        <v>46.417121666666667</v>
      </c>
      <c r="F97" s="94">
        <f t="shared" si="9"/>
        <v>50.636859999999992</v>
      </c>
    </row>
    <row r="98" spans="1:7" ht="20.100000000000001" customHeight="1">
      <c r="A98" s="22" t="s">
        <v>8322</v>
      </c>
      <c r="B98" s="22" t="s">
        <v>6772</v>
      </c>
      <c r="C98" s="23" t="s">
        <v>6773</v>
      </c>
      <c r="D98" s="30">
        <v>1366.3877</v>
      </c>
      <c r="E98" s="94">
        <f t="shared" si="8"/>
        <v>50.100882333333331</v>
      </c>
      <c r="F98" s="94">
        <f t="shared" si="9"/>
        <v>54.655508000000005</v>
      </c>
    </row>
    <row r="99" spans="1:7" ht="20.100000000000001" customHeight="1">
      <c r="A99" s="22" t="s">
        <v>8323</v>
      </c>
      <c r="B99" s="22" t="s">
        <v>6757</v>
      </c>
      <c r="C99" s="23" t="s">
        <v>6758</v>
      </c>
      <c r="D99" s="30">
        <v>695.25</v>
      </c>
      <c r="E99" s="94">
        <f t="shared" si="8"/>
        <v>25.492500000000003</v>
      </c>
      <c r="F99" s="94">
        <f t="shared" si="9"/>
        <v>27.81</v>
      </c>
    </row>
    <row r="100" spans="1:7" ht="20.100000000000001" customHeight="1">
      <c r="A100" s="22" t="s">
        <v>8324</v>
      </c>
      <c r="B100" s="22" t="s">
        <v>6774</v>
      </c>
      <c r="C100" s="23" t="s">
        <v>6775</v>
      </c>
      <c r="D100" s="30">
        <v>860.67830000000004</v>
      </c>
      <c r="E100" s="94">
        <f t="shared" si="8"/>
        <v>31.558204333333336</v>
      </c>
      <c r="F100" s="94">
        <f t="shared" si="9"/>
        <v>34.427132</v>
      </c>
    </row>
    <row r="101" spans="1:7" ht="20.100000000000001" customHeight="1">
      <c r="A101" s="22" t="s">
        <v>8325</v>
      </c>
      <c r="B101" s="22" t="s">
        <v>6799</v>
      </c>
      <c r="C101" s="23" t="s">
        <v>6800</v>
      </c>
      <c r="D101" s="30">
        <v>1112.4309000000001</v>
      </c>
      <c r="E101" s="94">
        <f t="shared" si="8"/>
        <v>40.789133000000007</v>
      </c>
      <c r="F101" s="94">
        <f t="shared" si="9"/>
        <v>44.497236000000001</v>
      </c>
    </row>
    <row r="102" spans="1:7" ht="20.100000000000001" customHeight="1">
      <c r="A102" s="22" t="s">
        <v>8326</v>
      </c>
      <c r="B102" s="22" t="s">
        <v>6801</v>
      </c>
      <c r="C102" s="23" t="s">
        <v>6802</v>
      </c>
      <c r="D102" s="30">
        <v>937.72230000000002</v>
      </c>
      <c r="E102" s="94">
        <f t="shared" si="8"/>
        <v>34.383151000000005</v>
      </c>
      <c r="F102" s="94">
        <f t="shared" si="9"/>
        <v>37.508891999999996</v>
      </c>
    </row>
    <row r="103" spans="1:7" ht="20.100000000000001" customHeight="1">
      <c r="A103" s="22" t="s">
        <v>8327</v>
      </c>
      <c r="B103" s="22" t="s">
        <v>6803</v>
      </c>
      <c r="C103" s="23" t="s">
        <v>6804</v>
      </c>
      <c r="D103" s="30">
        <v>907.19309999999996</v>
      </c>
      <c r="E103" s="94">
        <f t="shared" si="8"/>
        <v>33.263747000000002</v>
      </c>
      <c r="F103" s="94">
        <f t="shared" si="9"/>
        <v>36.287723999999997</v>
      </c>
    </row>
    <row r="104" spans="1:7" ht="20.100000000000001" customHeight="1">
      <c r="A104" s="22" t="s">
        <v>8328</v>
      </c>
      <c r="B104" s="22" t="s">
        <v>6805</v>
      </c>
      <c r="C104" s="23" t="s">
        <v>6806</v>
      </c>
      <c r="D104" s="30">
        <v>901.76499999999999</v>
      </c>
      <c r="E104" s="94">
        <f t="shared" si="8"/>
        <v>33.064716666666669</v>
      </c>
      <c r="F104" s="94">
        <f t="shared" si="9"/>
        <v>36.070599999999999</v>
      </c>
    </row>
    <row r="105" spans="1:7" ht="20.100000000000001" customHeight="1">
      <c r="A105" s="22" t="s">
        <v>8329</v>
      </c>
      <c r="B105" s="22" t="s">
        <v>6364</v>
      </c>
      <c r="C105" s="23" t="s">
        <v>6365</v>
      </c>
      <c r="D105" s="30">
        <v>1059.4579999999999</v>
      </c>
      <c r="E105" s="94">
        <f t="shared" si="8"/>
        <v>38.846793333333338</v>
      </c>
      <c r="F105" s="94">
        <f t="shared" si="9"/>
        <v>42.378319999999995</v>
      </c>
    </row>
    <row r="106" spans="1:7" ht="20.100000000000001" customHeight="1">
      <c r="A106" s="22" t="s">
        <v>8330</v>
      </c>
      <c r="B106" s="22" t="s">
        <v>7345</v>
      </c>
      <c r="C106" s="23" t="s">
        <v>7335</v>
      </c>
      <c r="D106" s="30" t="s">
        <v>2</v>
      </c>
      <c r="E106" s="94" t="e">
        <f t="shared" si="8"/>
        <v>#VALUE!</v>
      </c>
      <c r="F106" s="94" t="e">
        <f t="shared" si="9"/>
        <v>#VALUE!</v>
      </c>
    </row>
    <row r="107" spans="1:7" ht="20.100000000000001" customHeight="1">
      <c r="A107" s="22" t="s">
        <v>8331</v>
      </c>
      <c r="B107" s="22" t="s">
        <v>6636</v>
      </c>
      <c r="C107" s="23" t="s">
        <v>6637</v>
      </c>
      <c r="D107" s="30">
        <v>1046.2739999999999</v>
      </c>
      <c r="E107" s="94">
        <f t="shared" si="8"/>
        <v>38.363379999999999</v>
      </c>
      <c r="F107" s="94">
        <f t="shared" si="9"/>
        <v>41.850959999999993</v>
      </c>
    </row>
    <row r="108" spans="1:7" ht="20.100000000000001" customHeight="1">
      <c r="A108" s="22" t="s">
        <v>8332</v>
      </c>
      <c r="B108" s="22" t="s">
        <v>6807</v>
      </c>
      <c r="C108" s="23" t="s">
        <v>6808</v>
      </c>
      <c r="D108" s="30">
        <v>1002.0664</v>
      </c>
      <c r="E108" s="94">
        <f t="shared" si="8"/>
        <v>36.742434666666668</v>
      </c>
      <c r="F108" s="94">
        <f t="shared" si="9"/>
        <v>40.082656</v>
      </c>
    </row>
    <row r="109" spans="1:7" ht="20.100000000000001" customHeight="1">
      <c r="A109" s="36" t="s">
        <v>8333</v>
      </c>
      <c r="B109" s="36" t="s">
        <v>6378</v>
      </c>
      <c r="C109" s="37" t="s">
        <v>6379</v>
      </c>
      <c r="D109" s="33">
        <v>556.20000000000005</v>
      </c>
      <c r="E109" s="100">
        <v>20.5</v>
      </c>
      <c r="F109" s="100">
        <v>22.5</v>
      </c>
      <c r="G109" s="56" t="s">
        <v>8011</v>
      </c>
    </row>
    <row r="110" spans="1:7" ht="20.100000000000001" customHeight="1">
      <c r="A110" s="36" t="s">
        <v>8334</v>
      </c>
      <c r="B110" s="36" t="s">
        <v>7409</v>
      </c>
      <c r="C110" s="37" t="s">
        <v>7410</v>
      </c>
      <c r="D110" s="33">
        <v>556.20000000000005</v>
      </c>
      <c r="E110" s="100">
        <v>20.5</v>
      </c>
      <c r="F110" s="100">
        <v>22.5</v>
      </c>
      <c r="G110" s="56" t="s">
        <v>8011</v>
      </c>
    </row>
    <row r="111" spans="1:7" ht="20.100000000000001" customHeight="1">
      <c r="A111" s="36" t="s">
        <v>8335</v>
      </c>
      <c r="B111" s="36" t="s">
        <v>7040</v>
      </c>
      <c r="C111" s="37" t="s">
        <v>7041</v>
      </c>
      <c r="D111" s="33">
        <v>515</v>
      </c>
      <c r="E111" s="100">
        <v>23</v>
      </c>
      <c r="F111" s="100">
        <v>25</v>
      </c>
      <c r="G111" s="56" t="s">
        <v>8004</v>
      </c>
    </row>
    <row r="112" spans="1:7" ht="20.100000000000001" customHeight="1">
      <c r="A112" s="36" t="s">
        <v>8336</v>
      </c>
      <c r="B112" s="36" t="s">
        <v>6630</v>
      </c>
      <c r="C112" s="37" t="s">
        <v>6631</v>
      </c>
      <c r="D112" s="33">
        <v>515</v>
      </c>
      <c r="E112" s="100">
        <v>23</v>
      </c>
      <c r="F112" s="100">
        <v>25</v>
      </c>
      <c r="G112" s="56" t="s">
        <v>8004</v>
      </c>
    </row>
    <row r="113" spans="1:7" ht="20.100000000000001" customHeight="1">
      <c r="A113" s="36" t="s">
        <v>8337</v>
      </c>
      <c r="B113" s="36" t="s">
        <v>6880</v>
      </c>
      <c r="C113" s="37" t="s">
        <v>6881</v>
      </c>
      <c r="D113" s="33">
        <v>515</v>
      </c>
      <c r="E113" s="100">
        <v>23</v>
      </c>
      <c r="F113" s="100">
        <v>25</v>
      </c>
      <c r="G113" s="56" t="s">
        <v>8004</v>
      </c>
    </row>
    <row r="114" spans="1:7" ht="20.100000000000001" customHeight="1">
      <c r="A114" s="36" t="s">
        <v>8338</v>
      </c>
      <c r="B114" s="36" t="s">
        <v>6632</v>
      </c>
      <c r="C114" s="37" t="s">
        <v>6633</v>
      </c>
      <c r="D114" s="33">
        <v>515</v>
      </c>
      <c r="E114" s="100">
        <v>23</v>
      </c>
      <c r="F114" s="100">
        <v>25</v>
      </c>
      <c r="G114" s="56" t="s">
        <v>8004</v>
      </c>
    </row>
    <row r="115" spans="1:7" ht="20.100000000000001" customHeight="1">
      <c r="A115" s="36" t="s">
        <v>8339</v>
      </c>
      <c r="B115" s="36" t="s">
        <v>6886</v>
      </c>
      <c r="C115" s="37" t="s">
        <v>6887</v>
      </c>
      <c r="D115" s="33">
        <v>669.5</v>
      </c>
      <c r="E115" s="100">
        <v>27.55</v>
      </c>
      <c r="F115" s="100">
        <v>29.55</v>
      </c>
      <c r="G115" s="56" t="s">
        <v>7999</v>
      </c>
    </row>
    <row r="116" spans="1:7" ht="20.100000000000001" customHeight="1">
      <c r="A116" s="36" t="s">
        <v>8340</v>
      </c>
      <c r="B116" s="36" t="s">
        <v>6398</v>
      </c>
      <c r="C116" s="37" t="s">
        <v>6399</v>
      </c>
      <c r="D116" s="33">
        <v>669.5</v>
      </c>
      <c r="E116" s="100">
        <v>27.55</v>
      </c>
      <c r="F116" s="100">
        <v>29.55</v>
      </c>
      <c r="G116" s="56" t="s">
        <v>7999</v>
      </c>
    </row>
    <row r="117" spans="1:7" ht="20.100000000000001" customHeight="1">
      <c r="A117" s="36" t="s">
        <v>8341</v>
      </c>
      <c r="B117" s="36" t="s">
        <v>6400</v>
      </c>
      <c r="C117" s="37" t="s">
        <v>6401</v>
      </c>
      <c r="D117" s="33">
        <v>999.1</v>
      </c>
      <c r="E117" s="100">
        <v>38</v>
      </c>
      <c r="F117" s="100">
        <v>40</v>
      </c>
      <c r="G117" s="56" t="s">
        <v>8000</v>
      </c>
    </row>
    <row r="118" spans="1:7" ht="20.100000000000001" customHeight="1">
      <c r="A118" s="22" t="s">
        <v>8341</v>
      </c>
      <c r="B118" s="22" t="s">
        <v>6402</v>
      </c>
      <c r="C118" s="23" t="s">
        <v>6403</v>
      </c>
      <c r="D118" s="30" t="s">
        <v>2</v>
      </c>
      <c r="E118" s="94" t="e">
        <f>+(D118*1.1/30)</f>
        <v>#VALUE!</v>
      </c>
      <c r="F118" s="94" t="e">
        <f t="shared" ref="F118:F153" si="10">+(D118*1.2/30)</f>
        <v>#VALUE!</v>
      </c>
    </row>
    <row r="119" spans="1:7" ht="20.100000000000001" customHeight="1">
      <c r="A119" s="36" t="s">
        <v>8342</v>
      </c>
      <c r="B119" s="36" t="s">
        <v>6476</v>
      </c>
      <c r="C119" s="37" t="s">
        <v>6477</v>
      </c>
      <c r="D119" s="33">
        <v>927</v>
      </c>
      <c r="E119" s="100">
        <v>38</v>
      </c>
      <c r="F119" s="100">
        <f t="shared" si="10"/>
        <v>37.08</v>
      </c>
      <c r="G119" s="56" t="s">
        <v>8000</v>
      </c>
    </row>
    <row r="120" spans="1:7" ht="20.100000000000001" customHeight="1">
      <c r="A120" s="22" t="s">
        <v>8343</v>
      </c>
      <c r="B120" s="22" t="s">
        <v>7016</v>
      </c>
      <c r="C120" s="23" t="s">
        <v>7017</v>
      </c>
      <c r="D120" s="30">
        <v>695.25</v>
      </c>
      <c r="E120" s="94">
        <f t="shared" ref="E120:E153" si="11">+(D120*1.1/30)</f>
        <v>25.492500000000003</v>
      </c>
      <c r="F120" s="94">
        <f t="shared" si="10"/>
        <v>27.81</v>
      </c>
    </row>
    <row r="121" spans="1:7" ht="20.100000000000001" customHeight="1">
      <c r="A121" s="22" t="s">
        <v>8344</v>
      </c>
      <c r="B121" s="22" t="s">
        <v>7038</v>
      </c>
      <c r="C121" s="23" t="s">
        <v>7039</v>
      </c>
      <c r="D121" s="30">
        <v>607.70000000000005</v>
      </c>
      <c r="E121" s="94">
        <f t="shared" si="11"/>
        <v>22.282333333333337</v>
      </c>
      <c r="F121" s="94">
        <f t="shared" si="10"/>
        <v>24.308</v>
      </c>
    </row>
    <row r="122" spans="1:7" ht="20.100000000000001" customHeight="1">
      <c r="A122" s="22" t="s">
        <v>8359</v>
      </c>
      <c r="B122" s="22" t="s">
        <v>6643</v>
      </c>
      <c r="C122" s="23" t="s">
        <v>6644</v>
      </c>
      <c r="D122" s="30">
        <v>1558.5754000000002</v>
      </c>
      <c r="E122" s="94">
        <f t="shared" si="11"/>
        <v>57.147764666666681</v>
      </c>
      <c r="F122" s="94">
        <f t="shared" si="10"/>
        <v>62.343016000000006</v>
      </c>
    </row>
    <row r="123" spans="1:7" ht="20.100000000000001" customHeight="1">
      <c r="A123" s="22" t="s">
        <v>8360</v>
      </c>
      <c r="B123" s="22" t="s">
        <v>6499</v>
      </c>
      <c r="C123" s="23" t="s">
        <v>6500</v>
      </c>
      <c r="D123" s="30">
        <v>1226.9154000000001</v>
      </c>
      <c r="E123" s="94">
        <f t="shared" si="11"/>
        <v>44.986898000000004</v>
      </c>
      <c r="F123" s="94">
        <f t="shared" si="10"/>
        <v>49.076616000000008</v>
      </c>
    </row>
    <row r="124" spans="1:7" ht="20.100000000000001" customHeight="1">
      <c r="A124" s="22" t="s">
        <v>8358</v>
      </c>
      <c r="B124" s="22" t="s">
        <v>6407</v>
      </c>
      <c r="C124" s="23" t="s">
        <v>6408</v>
      </c>
      <c r="D124" s="30">
        <v>774.45699999999999</v>
      </c>
      <c r="E124" s="94">
        <f t="shared" si="11"/>
        <v>28.396756666666668</v>
      </c>
      <c r="F124" s="94">
        <f t="shared" si="10"/>
        <v>30.978279999999998</v>
      </c>
    </row>
    <row r="125" spans="1:7" ht="20.100000000000001" customHeight="1">
      <c r="A125" s="22" t="s">
        <v>8361</v>
      </c>
      <c r="B125" s="22" t="s">
        <v>6536</v>
      </c>
      <c r="C125" s="23" t="s">
        <v>6537</v>
      </c>
      <c r="D125" s="30" t="s">
        <v>2</v>
      </c>
      <c r="E125" s="94" t="e">
        <f t="shared" si="11"/>
        <v>#VALUE!</v>
      </c>
      <c r="F125" s="94" t="e">
        <f t="shared" si="10"/>
        <v>#VALUE!</v>
      </c>
    </row>
    <row r="126" spans="1:7" ht="20.100000000000001" customHeight="1">
      <c r="A126" s="22" t="s">
        <v>8357</v>
      </c>
      <c r="B126" s="22" t="s">
        <v>7011</v>
      </c>
      <c r="C126" s="23" t="s">
        <v>7012</v>
      </c>
      <c r="D126" s="30" t="s">
        <v>2</v>
      </c>
      <c r="E126" s="94" t="e">
        <f t="shared" si="11"/>
        <v>#VALUE!</v>
      </c>
      <c r="F126" s="94" t="e">
        <f t="shared" si="10"/>
        <v>#VALUE!</v>
      </c>
    </row>
    <row r="127" spans="1:7" ht="20.100000000000001" customHeight="1">
      <c r="A127" s="22" t="s">
        <v>8362</v>
      </c>
      <c r="B127" s="22" t="s">
        <v>6513</v>
      </c>
      <c r="C127" s="23" t="s">
        <v>6483</v>
      </c>
      <c r="D127" s="30">
        <v>987.37860000000001</v>
      </c>
      <c r="E127" s="94">
        <f t="shared" si="11"/>
        <v>36.203882000000007</v>
      </c>
      <c r="F127" s="94">
        <f t="shared" si="10"/>
        <v>39.495143999999996</v>
      </c>
    </row>
    <row r="128" spans="1:7" ht="20.100000000000001" customHeight="1">
      <c r="A128" s="22" t="s">
        <v>8356</v>
      </c>
      <c r="B128" s="22" t="s">
        <v>6458</v>
      </c>
      <c r="C128" s="23" t="s">
        <v>6459</v>
      </c>
      <c r="D128" s="30">
        <v>688.04</v>
      </c>
      <c r="E128" s="94">
        <f t="shared" si="11"/>
        <v>25.228133333333336</v>
      </c>
      <c r="F128" s="94">
        <f t="shared" si="10"/>
        <v>27.521599999999996</v>
      </c>
    </row>
    <row r="129" spans="1:6" ht="20.100000000000001" customHeight="1">
      <c r="A129" s="22" t="s">
        <v>8363</v>
      </c>
      <c r="B129" s="22" t="s">
        <v>6509</v>
      </c>
      <c r="C129" s="23" t="s">
        <v>6510</v>
      </c>
      <c r="D129" s="30">
        <v>640.96899999999994</v>
      </c>
      <c r="E129" s="94">
        <f t="shared" si="11"/>
        <v>23.502196666666666</v>
      </c>
      <c r="F129" s="94">
        <f t="shared" si="10"/>
        <v>25.638759999999998</v>
      </c>
    </row>
    <row r="130" spans="1:6" ht="20.100000000000001" customHeight="1">
      <c r="A130" s="22" t="s">
        <v>8355</v>
      </c>
      <c r="B130" s="22" t="s">
        <v>6815</v>
      </c>
      <c r="C130" s="23" t="s">
        <v>6816</v>
      </c>
      <c r="D130" s="30">
        <v>1226.2458999999999</v>
      </c>
      <c r="E130" s="94">
        <f t="shared" si="11"/>
        <v>44.962349666666668</v>
      </c>
      <c r="F130" s="94">
        <f t="shared" si="10"/>
        <v>49.049835999999999</v>
      </c>
    </row>
    <row r="131" spans="1:6" ht="20.100000000000001" customHeight="1">
      <c r="A131" s="22" t="s">
        <v>8364</v>
      </c>
      <c r="B131" s="22" t="s">
        <v>6817</v>
      </c>
      <c r="C131" s="23" t="s">
        <v>6818</v>
      </c>
      <c r="D131" s="30">
        <v>631.39</v>
      </c>
      <c r="E131" s="94">
        <f t="shared" si="11"/>
        <v>23.150966666666665</v>
      </c>
      <c r="F131" s="94">
        <f t="shared" si="10"/>
        <v>25.255600000000001</v>
      </c>
    </row>
    <row r="132" spans="1:6" ht="20.100000000000001" customHeight="1">
      <c r="A132" s="22" t="s">
        <v>8354</v>
      </c>
      <c r="B132" s="22" t="s">
        <v>6294</v>
      </c>
      <c r="C132" s="23" t="s">
        <v>6295</v>
      </c>
      <c r="D132" s="30">
        <v>681.66429999999991</v>
      </c>
      <c r="E132" s="94">
        <f t="shared" si="11"/>
        <v>24.994357666666666</v>
      </c>
      <c r="F132" s="94">
        <f t="shared" si="10"/>
        <v>27.266571999999996</v>
      </c>
    </row>
    <row r="133" spans="1:6" ht="20.100000000000001" customHeight="1">
      <c r="A133" s="22" t="s">
        <v>8365</v>
      </c>
      <c r="B133" s="22" t="s">
        <v>6819</v>
      </c>
      <c r="C133" s="23" t="s">
        <v>6820</v>
      </c>
      <c r="D133" s="30">
        <v>1093.8600000000001</v>
      </c>
      <c r="E133" s="94">
        <f t="shared" si="11"/>
        <v>40.108200000000011</v>
      </c>
      <c r="F133" s="94">
        <f t="shared" si="10"/>
        <v>43.754400000000004</v>
      </c>
    </row>
    <row r="134" spans="1:6" ht="20.100000000000001" customHeight="1">
      <c r="A134" s="22" t="s">
        <v>8353</v>
      </c>
      <c r="B134" s="22" t="s">
        <v>6628</v>
      </c>
      <c r="C134" s="23" t="s">
        <v>6629</v>
      </c>
      <c r="D134" s="30">
        <v>646.45889999999997</v>
      </c>
      <c r="E134" s="94">
        <f t="shared" si="11"/>
        <v>23.703492999999998</v>
      </c>
      <c r="F134" s="94">
        <f t="shared" si="10"/>
        <v>25.858356000000001</v>
      </c>
    </row>
    <row r="135" spans="1:6" ht="20.100000000000001" customHeight="1">
      <c r="A135" s="22" t="s">
        <v>8366</v>
      </c>
      <c r="B135" s="22" t="s">
        <v>6626</v>
      </c>
      <c r="C135" s="23" t="s">
        <v>6627</v>
      </c>
      <c r="D135" s="30">
        <v>796.9316</v>
      </c>
      <c r="E135" s="94">
        <f t="shared" si="11"/>
        <v>29.220825333333334</v>
      </c>
      <c r="F135" s="94">
        <f t="shared" si="10"/>
        <v>31.877264</v>
      </c>
    </row>
    <row r="136" spans="1:6" ht="20.100000000000001" customHeight="1">
      <c r="A136" s="22" t="s">
        <v>8352</v>
      </c>
      <c r="B136" s="22" t="s">
        <v>6409</v>
      </c>
      <c r="C136" s="23" t="s">
        <v>6410</v>
      </c>
      <c r="D136" s="30">
        <v>970.72350000000006</v>
      </c>
      <c r="E136" s="94">
        <f t="shared" si="11"/>
        <v>35.593195000000009</v>
      </c>
      <c r="F136" s="94">
        <f t="shared" si="10"/>
        <v>38.828940000000003</v>
      </c>
    </row>
    <row r="137" spans="1:6" ht="20.100000000000001" customHeight="1">
      <c r="A137" s="22" t="s">
        <v>8367</v>
      </c>
      <c r="B137" s="22" t="s">
        <v>6413</v>
      </c>
      <c r="C137" s="23" t="s">
        <v>6414</v>
      </c>
      <c r="D137" s="30">
        <v>608.61670000000004</v>
      </c>
      <c r="E137" s="94">
        <f t="shared" si="11"/>
        <v>22.315945666666668</v>
      </c>
      <c r="F137" s="94">
        <f t="shared" si="10"/>
        <v>24.344668000000002</v>
      </c>
    </row>
    <row r="138" spans="1:6" ht="20.100000000000001" customHeight="1">
      <c r="A138" s="22" t="s">
        <v>8351</v>
      </c>
      <c r="B138" s="22" t="s">
        <v>6670</v>
      </c>
      <c r="C138" s="23"/>
      <c r="D138" s="30" t="s">
        <v>2</v>
      </c>
      <c r="E138" s="94" t="e">
        <f t="shared" si="11"/>
        <v>#VALUE!</v>
      </c>
      <c r="F138" s="94" t="e">
        <f t="shared" si="10"/>
        <v>#VALUE!</v>
      </c>
    </row>
    <row r="139" spans="1:6" ht="20.100000000000001" customHeight="1">
      <c r="A139" s="22" t="s">
        <v>8368</v>
      </c>
      <c r="B139" s="22" t="s">
        <v>6504</v>
      </c>
      <c r="C139" s="23" t="s">
        <v>6505</v>
      </c>
      <c r="D139" s="30" t="s">
        <v>2</v>
      </c>
      <c r="E139" s="94" t="e">
        <f t="shared" si="11"/>
        <v>#VALUE!</v>
      </c>
      <c r="F139" s="94" t="e">
        <f t="shared" si="10"/>
        <v>#VALUE!</v>
      </c>
    </row>
    <row r="140" spans="1:6" ht="20.100000000000001" customHeight="1">
      <c r="A140" s="22" t="s">
        <v>8350</v>
      </c>
      <c r="B140" s="22" t="s">
        <v>7889</v>
      </c>
      <c r="C140" s="23" t="s">
        <v>7890</v>
      </c>
      <c r="D140" s="30">
        <v>638.6</v>
      </c>
      <c r="E140" s="94">
        <f t="shared" si="11"/>
        <v>23.415333333333333</v>
      </c>
      <c r="F140" s="94">
        <f t="shared" si="10"/>
        <v>25.544</v>
      </c>
    </row>
    <row r="141" spans="1:6" ht="20.100000000000001" customHeight="1">
      <c r="A141" s="22" t="s">
        <v>8369</v>
      </c>
      <c r="B141" s="22" t="s">
        <v>6821</v>
      </c>
      <c r="C141" s="23" t="s">
        <v>6822</v>
      </c>
      <c r="D141" s="30" t="s">
        <v>2</v>
      </c>
      <c r="E141" s="94" t="e">
        <f t="shared" si="11"/>
        <v>#VALUE!</v>
      </c>
      <c r="F141" s="94" t="e">
        <f t="shared" si="10"/>
        <v>#VALUE!</v>
      </c>
    </row>
    <row r="142" spans="1:6" ht="20.100000000000001" customHeight="1">
      <c r="A142" s="22" t="s">
        <v>8349</v>
      </c>
      <c r="B142" s="22" t="s">
        <v>6823</v>
      </c>
      <c r="C142" s="23" t="s">
        <v>6824</v>
      </c>
      <c r="D142" s="30">
        <v>772.5</v>
      </c>
      <c r="E142" s="94">
        <f t="shared" si="11"/>
        <v>28.325000000000003</v>
      </c>
      <c r="F142" s="94">
        <f t="shared" si="10"/>
        <v>30.9</v>
      </c>
    </row>
    <row r="143" spans="1:6" ht="20.100000000000001" customHeight="1">
      <c r="A143" s="22" t="s">
        <v>8370</v>
      </c>
      <c r="B143" s="22" t="s">
        <v>6825</v>
      </c>
      <c r="C143" s="23" t="s">
        <v>6826</v>
      </c>
      <c r="D143" s="30">
        <v>688.94640000000004</v>
      </c>
      <c r="E143" s="94">
        <f t="shared" si="11"/>
        <v>25.261368000000004</v>
      </c>
      <c r="F143" s="94">
        <f t="shared" si="10"/>
        <v>27.557856000000001</v>
      </c>
    </row>
    <row r="144" spans="1:6" ht="20.100000000000001" customHeight="1">
      <c r="A144" s="22" t="s">
        <v>8348</v>
      </c>
      <c r="B144" s="22" t="s">
        <v>6827</v>
      </c>
      <c r="C144" s="23" t="s">
        <v>6828</v>
      </c>
      <c r="D144" s="30" t="s">
        <v>2</v>
      </c>
      <c r="E144" s="94" t="e">
        <f t="shared" si="11"/>
        <v>#VALUE!</v>
      </c>
      <c r="F144" s="94" t="e">
        <f t="shared" si="10"/>
        <v>#VALUE!</v>
      </c>
    </row>
    <row r="145" spans="1:7" ht="20.100000000000001" customHeight="1">
      <c r="A145" s="22" t="s">
        <v>8371</v>
      </c>
      <c r="B145" s="22" t="s">
        <v>6829</v>
      </c>
      <c r="C145" s="23" t="s">
        <v>6830</v>
      </c>
      <c r="D145" s="30">
        <v>830</v>
      </c>
      <c r="E145" s="94">
        <f t="shared" si="11"/>
        <v>30.433333333333337</v>
      </c>
      <c r="F145" s="94">
        <f t="shared" si="10"/>
        <v>33.200000000000003</v>
      </c>
    </row>
    <row r="146" spans="1:7" ht="20.100000000000001" customHeight="1">
      <c r="A146" s="22" t="s">
        <v>8347</v>
      </c>
      <c r="B146" s="22" t="s">
        <v>7914</v>
      </c>
      <c r="C146" s="23" t="s">
        <v>7915</v>
      </c>
      <c r="D146" s="30">
        <v>782.80000000000007</v>
      </c>
      <c r="E146" s="94">
        <f t="shared" si="11"/>
        <v>28.702666666666673</v>
      </c>
      <c r="F146" s="94">
        <f t="shared" si="10"/>
        <v>31.312000000000001</v>
      </c>
    </row>
    <row r="147" spans="1:7" ht="20.100000000000001" customHeight="1">
      <c r="A147" s="36" t="s">
        <v>8372</v>
      </c>
      <c r="B147" s="36" t="s">
        <v>7891</v>
      </c>
      <c r="C147" s="37" t="s">
        <v>7997</v>
      </c>
      <c r="D147" s="33">
        <v>1689</v>
      </c>
      <c r="E147" s="100">
        <f t="shared" si="11"/>
        <v>61.93</v>
      </c>
      <c r="F147" s="100">
        <f t="shared" si="10"/>
        <v>67.56</v>
      </c>
    </row>
    <row r="148" spans="1:7" ht="20.100000000000001" customHeight="1">
      <c r="A148" s="36" t="s">
        <v>8346</v>
      </c>
      <c r="B148" s="36" t="s">
        <v>7894</v>
      </c>
      <c r="C148" s="37" t="s">
        <v>7996</v>
      </c>
      <c r="D148" s="33">
        <v>1344</v>
      </c>
      <c r="E148" s="100">
        <f t="shared" si="11"/>
        <v>49.28</v>
      </c>
      <c r="F148" s="100">
        <f t="shared" si="10"/>
        <v>53.76</v>
      </c>
    </row>
    <row r="149" spans="1:7" ht="20.100000000000001" customHeight="1">
      <c r="A149" s="22" t="s">
        <v>8373</v>
      </c>
      <c r="B149" s="22" t="s">
        <v>6420</v>
      </c>
      <c r="C149" s="23" t="s">
        <v>6421</v>
      </c>
      <c r="D149" s="30">
        <v>567.53</v>
      </c>
      <c r="E149" s="94">
        <f t="shared" si="11"/>
        <v>20.809433333333335</v>
      </c>
      <c r="F149" s="94">
        <f t="shared" si="10"/>
        <v>22.701199999999996</v>
      </c>
    </row>
    <row r="150" spans="1:7" ht="20.100000000000001" customHeight="1">
      <c r="A150" s="22" t="s">
        <v>8345</v>
      </c>
      <c r="B150" s="22" t="s">
        <v>7897</v>
      </c>
      <c r="C150" s="23" t="s">
        <v>7898</v>
      </c>
      <c r="D150" s="30">
        <v>643.75</v>
      </c>
      <c r="E150" s="94">
        <f t="shared" si="11"/>
        <v>23.604166666666671</v>
      </c>
      <c r="F150" s="94">
        <f t="shared" si="10"/>
        <v>25.75</v>
      </c>
    </row>
    <row r="151" spans="1:7" ht="20.100000000000001" customHeight="1">
      <c r="A151" s="22" t="s">
        <v>6469</v>
      </c>
      <c r="B151" s="22" t="s">
        <v>6468</v>
      </c>
      <c r="C151" s="23" t="s">
        <v>6470</v>
      </c>
      <c r="D151" s="30">
        <v>755.74189999999999</v>
      </c>
      <c r="E151" s="94">
        <f t="shared" si="11"/>
        <v>27.710536333333334</v>
      </c>
      <c r="F151" s="94">
        <f t="shared" si="10"/>
        <v>30.229675999999998</v>
      </c>
    </row>
    <row r="152" spans="1:7" ht="20.100000000000001" customHeight="1">
      <c r="A152" s="22" t="s">
        <v>6474</v>
      </c>
      <c r="B152" s="22" t="s">
        <v>6473</v>
      </c>
      <c r="C152" s="23" t="s">
        <v>6475</v>
      </c>
      <c r="D152" s="30">
        <v>1123.5548999999999</v>
      </c>
      <c r="E152" s="94">
        <f t="shared" si="11"/>
        <v>41.197012999999998</v>
      </c>
      <c r="F152" s="94">
        <f t="shared" si="10"/>
        <v>44.942195999999988</v>
      </c>
    </row>
    <row r="153" spans="1:7" ht="20.100000000000001" customHeight="1">
      <c r="A153" s="22" t="s">
        <v>6430</v>
      </c>
      <c r="B153" s="22" t="s">
        <v>6429</v>
      </c>
      <c r="C153" s="23" t="s">
        <v>6431</v>
      </c>
      <c r="D153" s="30">
        <v>572.68000000000006</v>
      </c>
      <c r="E153" s="94">
        <f t="shared" si="11"/>
        <v>20.99826666666667</v>
      </c>
      <c r="F153" s="94">
        <f t="shared" si="10"/>
        <v>22.9072</v>
      </c>
    </row>
    <row r="154" spans="1:7" ht="20.100000000000001" customHeight="1">
      <c r="A154" s="36" t="s">
        <v>6433</v>
      </c>
      <c r="B154" s="36" t="s">
        <v>6432</v>
      </c>
      <c r="C154" s="37" t="s">
        <v>6434</v>
      </c>
      <c r="D154" s="33">
        <v>501.02289999999999</v>
      </c>
      <c r="E154" s="100">
        <v>19.399999999999999</v>
      </c>
      <c r="F154" s="100">
        <v>20.399999999999999</v>
      </c>
      <c r="G154" s="32"/>
    </row>
    <row r="155" spans="1:7" ht="20.100000000000001" customHeight="1">
      <c r="A155" s="36" t="s">
        <v>6718</v>
      </c>
      <c r="B155" s="36" t="s">
        <v>6717</v>
      </c>
      <c r="C155" s="37" t="s">
        <v>6719</v>
      </c>
      <c r="D155" s="33">
        <v>500.58000000000004</v>
      </c>
      <c r="E155" s="100">
        <v>19.399999999999999</v>
      </c>
      <c r="F155" s="100">
        <v>20.399999999999999</v>
      </c>
      <c r="G155" s="56" t="s">
        <v>8009</v>
      </c>
    </row>
    <row r="156" spans="1:7" ht="20.100000000000001" customHeight="1">
      <c r="A156" s="36" t="s">
        <v>6711</v>
      </c>
      <c r="B156" s="36" t="s">
        <v>6710</v>
      </c>
      <c r="C156" s="37" t="s">
        <v>6712</v>
      </c>
      <c r="D156" s="33">
        <v>556.20000000000005</v>
      </c>
      <c r="E156" s="100">
        <v>20.399999999999999</v>
      </c>
      <c r="F156" s="100">
        <v>22.4</v>
      </c>
      <c r="G156" s="32"/>
    </row>
    <row r="157" spans="1:7" ht="20.100000000000001" customHeight="1">
      <c r="A157" s="36" t="s">
        <v>7043</v>
      </c>
      <c r="B157" s="36" t="s">
        <v>7042</v>
      </c>
      <c r="C157" s="37" t="s">
        <v>7044</v>
      </c>
      <c r="D157" s="33">
        <v>556.20000000000005</v>
      </c>
      <c r="E157" s="100">
        <v>20.5</v>
      </c>
      <c r="F157" s="100">
        <v>22.5</v>
      </c>
      <c r="G157" s="56" t="s">
        <v>8011</v>
      </c>
    </row>
    <row r="158" spans="1:7" ht="20.100000000000001" customHeight="1">
      <c r="A158" s="36" t="s">
        <v>6170</v>
      </c>
      <c r="B158" s="36" t="s">
        <v>6169</v>
      </c>
      <c r="C158" s="37" t="s">
        <v>6171</v>
      </c>
      <c r="D158" s="33">
        <v>669.5</v>
      </c>
      <c r="E158" s="100">
        <v>31</v>
      </c>
      <c r="F158" s="100">
        <v>33</v>
      </c>
      <c r="G158" s="56" t="s">
        <v>7998</v>
      </c>
    </row>
    <row r="159" spans="1:7" ht="20.100000000000001" customHeight="1">
      <c r="A159" s="22" t="s">
        <v>7338</v>
      </c>
      <c r="B159" s="22" t="s">
        <v>7337</v>
      </c>
      <c r="C159" s="23" t="s">
        <v>7339</v>
      </c>
      <c r="D159" s="30" t="s">
        <v>2</v>
      </c>
      <c r="E159" s="94" t="e">
        <f t="shared" ref="E159:E169" si="12">+(D159*1.1/30)</f>
        <v>#VALUE!</v>
      </c>
      <c r="F159" s="94" t="e">
        <f t="shared" ref="F159:F169" si="13">+(D159*1.2/30)</f>
        <v>#VALUE!</v>
      </c>
    </row>
    <row r="160" spans="1:7" ht="20.100000000000001" customHeight="1">
      <c r="A160" s="22" t="s">
        <v>6179</v>
      </c>
      <c r="B160" s="22" t="s">
        <v>6178</v>
      </c>
      <c r="C160" s="23" t="s">
        <v>6180</v>
      </c>
      <c r="D160" s="30">
        <v>596.73050000000001</v>
      </c>
      <c r="E160" s="94">
        <f t="shared" si="12"/>
        <v>21.880118333333336</v>
      </c>
      <c r="F160" s="94">
        <f t="shared" si="13"/>
        <v>23.869219999999999</v>
      </c>
    </row>
    <row r="161" spans="1:7" ht="20.100000000000001" customHeight="1">
      <c r="A161" s="22" t="s">
        <v>6529</v>
      </c>
      <c r="B161" s="22" t="s">
        <v>6528</v>
      </c>
      <c r="C161" s="23" t="s">
        <v>6530</v>
      </c>
      <c r="D161" s="30">
        <v>621.09</v>
      </c>
      <c r="E161" s="94">
        <f t="shared" si="12"/>
        <v>22.773300000000003</v>
      </c>
      <c r="F161" s="94">
        <f t="shared" si="13"/>
        <v>24.843599999999999</v>
      </c>
    </row>
    <row r="162" spans="1:7" ht="20.100000000000001" customHeight="1">
      <c r="A162" s="22" t="s">
        <v>7021</v>
      </c>
      <c r="B162" s="22" t="s">
        <v>7020</v>
      </c>
      <c r="C162" s="23" t="s">
        <v>7022</v>
      </c>
      <c r="D162" s="30">
        <v>650.96</v>
      </c>
      <c r="E162" s="94">
        <f t="shared" si="12"/>
        <v>23.868533333333339</v>
      </c>
      <c r="F162" s="94">
        <f t="shared" si="13"/>
        <v>26.038400000000003</v>
      </c>
    </row>
    <row r="163" spans="1:7" ht="20.100000000000001" customHeight="1">
      <c r="A163" s="22" t="s">
        <v>6436</v>
      </c>
      <c r="B163" s="22" t="s">
        <v>6435</v>
      </c>
      <c r="C163" s="23" t="s">
        <v>6437</v>
      </c>
      <c r="D163" s="30">
        <v>575.41980000000001</v>
      </c>
      <c r="E163" s="94">
        <f t="shared" si="12"/>
        <v>21.098726000000003</v>
      </c>
      <c r="F163" s="94">
        <f t="shared" si="13"/>
        <v>23.016791999999999</v>
      </c>
    </row>
    <row r="164" spans="1:7" ht="20.100000000000001" customHeight="1">
      <c r="A164" s="22" t="s">
        <v>6249</v>
      </c>
      <c r="B164" s="22" t="s">
        <v>6248</v>
      </c>
      <c r="C164" s="23" t="s">
        <v>6250</v>
      </c>
      <c r="D164" s="30">
        <v>499.55</v>
      </c>
      <c r="E164" s="94">
        <f t="shared" si="12"/>
        <v>18.316833333333339</v>
      </c>
      <c r="F164" s="94">
        <f t="shared" si="13"/>
        <v>19.982000000000003</v>
      </c>
    </row>
    <row r="165" spans="1:7" ht="20.100000000000001" customHeight="1">
      <c r="A165" s="22" t="s">
        <v>6439</v>
      </c>
      <c r="B165" s="22" t="s">
        <v>6438</v>
      </c>
      <c r="C165" s="23" t="s">
        <v>6440</v>
      </c>
      <c r="D165" s="30">
        <v>690.1</v>
      </c>
      <c r="E165" s="94">
        <f t="shared" si="12"/>
        <v>25.303666666666672</v>
      </c>
      <c r="F165" s="94">
        <f t="shared" si="13"/>
        <v>27.603999999999999</v>
      </c>
    </row>
    <row r="166" spans="1:7" ht="20.100000000000001" customHeight="1">
      <c r="A166" s="137" t="s">
        <v>6721</v>
      </c>
      <c r="B166" s="137" t="s">
        <v>6720</v>
      </c>
      <c r="C166" s="138" t="s">
        <v>8624</v>
      </c>
      <c r="D166" s="139">
        <v>810</v>
      </c>
      <c r="E166" s="94">
        <f t="shared" si="12"/>
        <v>29.700000000000003</v>
      </c>
      <c r="F166" s="94">
        <f t="shared" si="13"/>
        <v>32.4</v>
      </c>
    </row>
    <row r="167" spans="1:7" ht="20.100000000000001" customHeight="1">
      <c r="A167" s="137" t="s">
        <v>6442</v>
      </c>
      <c r="B167" s="137" t="s">
        <v>6441</v>
      </c>
      <c r="C167" s="138" t="s">
        <v>8625</v>
      </c>
      <c r="D167" s="139">
        <v>800</v>
      </c>
      <c r="E167" s="94">
        <f t="shared" si="12"/>
        <v>29.333333333333336</v>
      </c>
      <c r="F167" s="94">
        <f t="shared" si="13"/>
        <v>32</v>
      </c>
    </row>
    <row r="168" spans="1:7" ht="20.100000000000001" customHeight="1">
      <c r="A168" s="36" t="s">
        <v>7552</v>
      </c>
      <c r="B168" s="36" t="s">
        <v>7551</v>
      </c>
      <c r="C168" s="37" t="s">
        <v>7553</v>
      </c>
      <c r="D168" s="33" t="s">
        <v>2</v>
      </c>
      <c r="E168" s="94" t="e">
        <f t="shared" si="12"/>
        <v>#VALUE!</v>
      </c>
      <c r="F168" s="94" t="e">
        <f t="shared" si="13"/>
        <v>#VALUE!</v>
      </c>
      <c r="G168" s="32"/>
    </row>
    <row r="169" spans="1:7" ht="20.100000000000001" customHeight="1">
      <c r="A169" s="22" t="s">
        <v>6444</v>
      </c>
      <c r="B169" s="22" t="s">
        <v>6443</v>
      </c>
      <c r="C169" s="23" t="s">
        <v>6445</v>
      </c>
      <c r="D169" s="30">
        <v>669.5</v>
      </c>
      <c r="E169" s="94">
        <f t="shared" si="12"/>
        <v>24.548333333333336</v>
      </c>
      <c r="F169" s="94">
        <f t="shared" si="13"/>
        <v>26.779999999999998</v>
      </c>
    </row>
    <row r="170" spans="1:7" ht="20.100000000000001" customHeight="1">
      <c r="A170" s="36" t="s">
        <v>6447</v>
      </c>
      <c r="B170" s="36" t="s">
        <v>6446</v>
      </c>
      <c r="C170" s="37" t="s">
        <v>6448</v>
      </c>
      <c r="D170" s="33">
        <v>612.85</v>
      </c>
      <c r="E170" s="100">
        <v>27.5</v>
      </c>
      <c r="F170" s="100">
        <v>29.5</v>
      </c>
      <c r="G170" s="56" t="s">
        <v>8008</v>
      </c>
    </row>
    <row r="171" spans="1:7" ht="20.100000000000001" customHeight="1">
      <c r="A171" s="36" t="s">
        <v>6450</v>
      </c>
      <c r="B171" s="36" t="s">
        <v>6449</v>
      </c>
      <c r="C171" s="37" t="s">
        <v>6451</v>
      </c>
      <c r="D171" s="33">
        <v>612.85</v>
      </c>
      <c r="E171" s="100">
        <v>27.5</v>
      </c>
      <c r="F171" s="100">
        <v>29.5</v>
      </c>
      <c r="G171" s="56" t="s">
        <v>8008</v>
      </c>
    </row>
    <row r="172" spans="1:7" ht="20.100000000000001" customHeight="1">
      <c r="A172" s="36" t="s">
        <v>6786</v>
      </c>
      <c r="B172" s="36" t="s">
        <v>6785</v>
      </c>
      <c r="C172" s="37" t="s">
        <v>6787</v>
      </c>
      <c r="D172" s="33">
        <v>669.5</v>
      </c>
      <c r="E172" s="100">
        <v>31</v>
      </c>
      <c r="F172" s="100">
        <v>33</v>
      </c>
      <c r="G172" s="56" t="s">
        <v>7998</v>
      </c>
    </row>
    <row r="173" spans="1:7" ht="20.100000000000001" customHeight="1">
      <c r="A173" s="36" t="s">
        <v>6706</v>
      </c>
      <c r="B173" s="36" t="s">
        <v>6705</v>
      </c>
      <c r="C173" s="37" t="s">
        <v>6707</v>
      </c>
      <c r="D173" s="33">
        <v>669.5</v>
      </c>
      <c r="E173" s="100">
        <v>31</v>
      </c>
      <c r="F173" s="100">
        <v>33</v>
      </c>
      <c r="G173" s="56" t="s">
        <v>7998</v>
      </c>
    </row>
    <row r="174" spans="1:7" ht="20.100000000000001" customHeight="1">
      <c r="A174" s="36" t="s">
        <v>7046</v>
      </c>
      <c r="B174" s="36" t="s">
        <v>7045</v>
      </c>
      <c r="C174" s="37" t="s">
        <v>6358</v>
      </c>
      <c r="D174" s="33">
        <v>746.77059999999994</v>
      </c>
      <c r="E174" s="100">
        <f t="shared" ref="E174:E205" si="14">+(D174*1.1/30)</f>
        <v>27.381588666666669</v>
      </c>
      <c r="F174" s="100">
        <f t="shared" ref="F174:F205" si="15">+(D174*1.2/30)</f>
        <v>29.870823999999995</v>
      </c>
      <c r="G174" s="32"/>
    </row>
    <row r="175" spans="1:7" ht="20.100000000000001" customHeight="1">
      <c r="A175" s="36" t="s">
        <v>7632</v>
      </c>
      <c r="B175" s="36" t="s">
        <v>7631</v>
      </c>
      <c r="C175" s="37" t="s">
        <v>7633</v>
      </c>
      <c r="D175" s="33">
        <v>781.88330000000008</v>
      </c>
      <c r="E175" s="100">
        <f t="shared" si="14"/>
        <v>28.669054333333339</v>
      </c>
      <c r="F175" s="100">
        <f t="shared" si="15"/>
        <v>31.275332000000002</v>
      </c>
      <c r="G175" s="32"/>
    </row>
    <row r="176" spans="1:7" ht="20.100000000000001" customHeight="1">
      <c r="A176" s="36" t="s">
        <v>6453</v>
      </c>
      <c r="B176" s="36" t="s">
        <v>6452</v>
      </c>
      <c r="C176" s="37" t="s">
        <v>6454</v>
      </c>
      <c r="D176" s="33">
        <v>992</v>
      </c>
      <c r="E176" s="100">
        <f t="shared" si="14"/>
        <v>36.373333333333335</v>
      </c>
      <c r="F176" s="100">
        <f t="shared" si="15"/>
        <v>39.679999999999993</v>
      </c>
      <c r="G176" s="32"/>
    </row>
    <row r="177" spans="1:6" ht="20.100000000000001" customHeight="1">
      <c r="A177" s="22" t="s">
        <v>7629</v>
      </c>
      <c r="B177" s="22" t="s">
        <v>7628</v>
      </c>
      <c r="C177" s="23" t="s">
        <v>7630</v>
      </c>
      <c r="D177" s="30" t="s">
        <v>2</v>
      </c>
      <c r="E177" s="94" t="e">
        <f t="shared" si="14"/>
        <v>#VALUE!</v>
      </c>
      <c r="F177" s="94" t="e">
        <f t="shared" si="15"/>
        <v>#VALUE!</v>
      </c>
    </row>
    <row r="178" spans="1:6" ht="20.100000000000001" customHeight="1">
      <c r="A178" s="22" t="s">
        <v>7615</v>
      </c>
      <c r="B178" s="22" t="s">
        <v>7614</v>
      </c>
      <c r="C178" s="23" t="s">
        <v>7616</v>
      </c>
      <c r="D178" s="30" t="s">
        <v>2</v>
      </c>
      <c r="E178" s="94" t="e">
        <f t="shared" si="14"/>
        <v>#VALUE!</v>
      </c>
      <c r="F178" s="94" t="e">
        <f t="shared" si="15"/>
        <v>#VALUE!</v>
      </c>
    </row>
    <row r="179" spans="1:6" ht="20.100000000000001" customHeight="1">
      <c r="A179" s="22" t="s">
        <v>6539</v>
      </c>
      <c r="B179" s="22" t="s">
        <v>6538</v>
      </c>
      <c r="C179" s="23" t="s">
        <v>6540</v>
      </c>
      <c r="D179" s="30">
        <v>906.11160000000007</v>
      </c>
      <c r="E179" s="94">
        <f t="shared" si="14"/>
        <v>33.224092000000006</v>
      </c>
      <c r="F179" s="94">
        <f t="shared" si="15"/>
        <v>36.244464000000001</v>
      </c>
    </row>
    <row r="180" spans="1:6" ht="20.100000000000001" customHeight="1">
      <c r="A180" s="22" t="s">
        <v>6586</v>
      </c>
      <c r="B180" s="22" t="s">
        <v>6585</v>
      </c>
      <c r="C180" s="23" t="s">
        <v>6587</v>
      </c>
      <c r="D180" s="30">
        <v>701</v>
      </c>
      <c r="E180" s="94">
        <f t="shared" si="14"/>
        <v>25.703333333333333</v>
      </c>
      <c r="F180" s="94">
        <f t="shared" si="15"/>
        <v>28.04</v>
      </c>
    </row>
    <row r="181" spans="1:6" ht="20.100000000000001" customHeight="1">
      <c r="A181" s="22" t="s">
        <v>6583</v>
      </c>
      <c r="B181" s="22" t="s">
        <v>6582</v>
      </c>
      <c r="C181" s="23" t="s">
        <v>6584</v>
      </c>
      <c r="D181" s="30">
        <v>785.06600000000003</v>
      </c>
      <c r="E181" s="94">
        <f t="shared" si="14"/>
        <v>28.785753333333336</v>
      </c>
      <c r="F181" s="94">
        <f t="shared" si="15"/>
        <v>31.402640000000002</v>
      </c>
    </row>
    <row r="182" spans="1:6" ht="20.100000000000001" customHeight="1">
      <c r="A182" s="22" t="s">
        <v>7952</v>
      </c>
      <c r="B182" s="22" t="s">
        <v>7951</v>
      </c>
      <c r="C182" s="23" t="s">
        <v>7953</v>
      </c>
      <c r="D182" s="30">
        <v>797.22</v>
      </c>
      <c r="E182" s="94">
        <f t="shared" si="14"/>
        <v>29.231400000000004</v>
      </c>
      <c r="F182" s="94">
        <f t="shared" si="15"/>
        <v>31.8888</v>
      </c>
    </row>
    <row r="183" spans="1:6" ht="20.100000000000001" customHeight="1">
      <c r="A183" s="22" t="s">
        <v>6493</v>
      </c>
      <c r="B183" s="22" t="s">
        <v>6492</v>
      </c>
      <c r="C183" s="23" t="s">
        <v>6494</v>
      </c>
      <c r="D183" s="30">
        <v>803.4</v>
      </c>
      <c r="E183" s="94">
        <f t="shared" si="14"/>
        <v>29.458000000000002</v>
      </c>
      <c r="F183" s="94">
        <f t="shared" si="15"/>
        <v>32.135999999999996</v>
      </c>
    </row>
    <row r="184" spans="1:6" ht="20.100000000000001" customHeight="1">
      <c r="A184" s="22" t="s">
        <v>6592</v>
      </c>
      <c r="B184" s="22" t="s">
        <v>6591</v>
      </c>
      <c r="C184" s="23" t="s">
        <v>6593</v>
      </c>
      <c r="D184" s="30">
        <v>618</v>
      </c>
      <c r="E184" s="94">
        <f t="shared" si="14"/>
        <v>22.660000000000004</v>
      </c>
      <c r="F184" s="94">
        <f t="shared" si="15"/>
        <v>24.720000000000002</v>
      </c>
    </row>
    <row r="185" spans="1:6" ht="20.100000000000001" customHeight="1">
      <c r="A185" s="22" t="s">
        <v>6723</v>
      </c>
      <c r="B185" s="22" t="s">
        <v>6722</v>
      </c>
      <c r="C185" s="23" t="s">
        <v>6724</v>
      </c>
      <c r="D185" s="30">
        <v>756.9058</v>
      </c>
      <c r="E185" s="94">
        <f t="shared" si="14"/>
        <v>27.75321266666667</v>
      </c>
      <c r="F185" s="94">
        <f t="shared" si="15"/>
        <v>30.276232</v>
      </c>
    </row>
    <row r="186" spans="1:6" ht="20.100000000000001" customHeight="1">
      <c r="A186" s="22" t="s">
        <v>6589</v>
      </c>
      <c r="B186" s="22" t="s">
        <v>6588</v>
      </c>
      <c r="C186" s="23" t="s">
        <v>6590</v>
      </c>
      <c r="D186" s="30">
        <v>898.61320000000012</v>
      </c>
      <c r="E186" s="94">
        <f t="shared" si="14"/>
        <v>32.949150666666675</v>
      </c>
      <c r="F186" s="94">
        <f t="shared" si="15"/>
        <v>35.944528000000005</v>
      </c>
    </row>
    <row r="187" spans="1:6" ht="20.100000000000001" customHeight="1">
      <c r="A187" s="22" t="s">
        <v>6488</v>
      </c>
      <c r="B187" s="22" t="s">
        <v>6487</v>
      </c>
      <c r="C187" s="23" t="s">
        <v>6489</v>
      </c>
      <c r="D187" s="30">
        <v>611.49039999999991</v>
      </c>
      <c r="E187" s="94">
        <f t="shared" si="14"/>
        <v>22.421314666666664</v>
      </c>
      <c r="F187" s="94">
        <f t="shared" si="15"/>
        <v>24.459615999999993</v>
      </c>
    </row>
    <row r="188" spans="1:6" ht="20.100000000000001" customHeight="1">
      <c r="A188" s="22" t="s">
        <v>6571</v>
      </c>
      <c r="B188" s="22" t="s">
        <v>6570</v>
      </c>
      <c r="C188" s="23" t="s">
        <v>6572</v>
      </c>
      <c r="D188" s="30">
        <v>643.75</v>
      </c>
      <c r="E188" s="94">
        <f t="shared" si="14"/>
        <v>23.604166666666671</v>
      </c>
      <c r="F188" s="94">
        <f t="shared" si="15"/>
        <v>25.75</v>
      </c>
    </row>
    <row r="189" spans="1:6" ht="20.100000000000001" customHeight="1">
      <c r="A189" s="22" t="s">
        <v>7635</v>
      </c>
      <c r="B189" s="22" t="s">
        <v>7634</v>
      </c>
      <c r="C189" s="23" t="s">
        <v>7636</v>
      </c>
      <c r="D189" s="30" t="s">
        <v>2</v>
      </c>
      <c r="E189" s="94" t="e">
        <f t="shared" si="14"/>
        <v>#VALUE!</v>
      </c>
      <c r="F189" s="94" t="e">
        <f t="shared" si="15"/>
        <v>#VALUE!</v>
      </c>
    </row>
    <row r="190" spans="1:6" ht="20.100000000000001" customHeight="1">
      <c r="A190" s="36" t="s">
        <v>7103</v>
      </c>
      <c r="B190" s="36" t="s">
        <v>7102</v>
      </c>
      <c r="C190" s="37" t="s">
        <v>7104</v>
      </c>
      <c r="D190" s="33">
        <v>780.22500000000002</v>
      </c>
      <c r="E190" s="94">
        <f t="shared" si="14"/>
        <v>28.608250000000002</v>
      </c>
      <c r="F190" s="94">
        <f t="shared" si="15"/>
        <v>31.209</v>
      </c>
    </row>
    <row r="191" spans="1:6" ht="20.100000000000001" customHeight="1">
      <c r="A191" s="36" t="s">
        <v>7106</v>
      </c>
      <c r="B191" s="36" t="s">
        <v>7105</v>
      </c>
      <c r="C191" s="37" t="s">
        <v>6929</v>
      </c>
      <c r="D191" s="33">
        <v>916.7</v>
      </c>
      <c r="E191" s="94">
        <f t="shared" si="14"/>
        <v>33.612333333333339</v>
      </c>
      <c r="F191" s="94">
        <f t="shared" si="15"/>
        <v>36.667999999999999</v>
      </c>
    </row>
    <row r="192" spans="1:6" ht="20.100000000000001" customHeight="1">
      <c r="A192" s="22" t="s">
        <v>6507</v>
      </c>
      <c r="B192" s="22" t="s">
        <v>6506</v>
      </c>
      <c r="C192" s="23" t="s">
        <v>6508</v>
      </c>
      <c r="D192" s="30">
        <v>984.44309999999996</v>
      </c>
      <c r="E192" s="94">
        <f t="shared" si="14"/>
        <v>36.096246999999998</v>
      </c>
      <c r="F192" s="94">
        <f t="shared" si="15"/>
        <v>39.377723999999994</v>
      </c>
    </row>
    <row r="193" spans="1:6" ht="20.100000000000001" customHeight="1">
      <c r="A193" s="36" t="s">
        <v>6568</v>
      </c>
      <c r="B193" s="36" t="s">
        <v>6567</v>
      </c>
      <c r="C193" s="37" t="s">
        <v>6569</v>
      </c>
      <c r="D193" s="33">
        <v>849.75</v>
      </c>
      <c r="E193" s="94">
        <f t="shared" si="14"/>
        <v>31.157500000000002</v>
      </c>
      <c r="F193" s="94">
        <f t="shared" si="15"/>
        <v>33.989999999999995</v>
      </c>
    </row>
    <row r="194" spans="1:6" ht="20.100000000000001" customHeight="1">
      <c r="A194" s="22" t="s">
        <v>6211</v>
      </c>
      <c r="B194" s="22" t="s">
        <v>6210</v>
      </c>
      <c r="C194" s="23" t="s">
        <v>6212</v>
      </c>
      <c r="D194" s="30" t="s">
        <v>2</v>
      </c>
      <c r="E194" s="94" t="e">
        <f t="shared" si="14"/>
        <v>#VALUE!</v>
      </c>
      <c r="F194" s="94" t="e">
        <f t="shared" si="15"/>
        <v>#VALUE!</v>
      </c>
    </row>
    <row r="195" spans="1:6" ht="20.100000000000001" customHeight="1">
      <c r="A195" s="22" t="s">
        <v>6214</v>
      </c>
      <c r="B195" s="22" t="s">
        <v>6213</v>
      </c>
      <c r="C195" s="23" t="s">
        <v>6215</v>
      </c>
      <c r="D195" s="30">
        <v>1112.4000000000001</v>
      </c>
      <c r="E195" s="94">
        <f t="shared" si="14"/>
        <v>40.788000000000004</v>
      </c>
      <c r="F195" s="94">
        <f t="shared" si="15"/>
        <v>44.496000000000002</v>
      </c>
    </row>
    <row r="196" spans="1:6" ht="20.100000000000001" customHeight="1">
      <c r="A196" s="22" t="s">
        <v>6256</v>
      </c>
      <c r="B196" s="22" t="s">
        <v>6255</v>
      </c>
      <c r="C196" s="23" t="s">
        <v>6257</v>
      </c>
      <c r="D196" s="30">
        <v>835</v>
      </c>
      <c r="E196" s="94">
        <f t="shared" si="14"/>
        <v>30.616666666666671</v>
      </c>
      <c r="F196" s="94">
        <f t="shared" si="15"/>
        <v>33.4</v>
      </c>
    </row>
    <row r="197" spans="1:6" ht="20.100000000000001" customHeight="1">
      <c r="A197" s="22" t="s">
        <v>7328</v>
      </c>
      <c r="B197" s="22" t="s">
        <v>7327</v>
      </c>
      <c r="C197" s="23" t="s">
        <v>7329</v>
      </c>
      <c r="D197" s="30">
        <v>1220.2925</v>
      </c>
      <c r="E197" s="94">
        <f t="shared" si="14"/>
        <v>44.744058333333335</v>
      </c>
      <c r="F197" s="94">
        <f t="shared" si="15"/>
        <v>48.811699999999995</v>
      </c>
    </row>
    <row r="198" spans="1:6" ht="20.100000000000001" customHeight="1">
      <c r="A198" s="22" t="s">
        <v>7150</v>
      </c>
      <c r="B198" s="22" t="s">
        <v>7149</v>
      </c>
      <c r="C198" s="23" t="s">
        <v>7151</v>
      </c>
      <c r="D198" s="30" t="s">
        <v>2</v>
      </c>
      <c r="E198" s="94" t="e">
        <f t="shared" si="14"/>
        <v>#VALUE!</v>
      </c>
      <c r="F198" s="94" t="e">
        <f t="shared" si="15"/>
        <v>#VALUE!</v>
      </c>
    </row>
    <row r="199" spans="1:6" ht="20.100000000000001" customHeight="1">
      <c r="A199" s="22" t="s">
        <v>7048</v>
      </c>
      <c r="B199" s="22" t="s">
        <v>7047</v>
      </c>
      <c r="C199" s="23" t="s">
        <v>7049</v>
      </c>
      <c r="D199" s="30">
        <v>774.45699999999999</v>
      </c>
      <c r="E199" s="94">
        <f t="shared" si="14"/>
        <v>28.396756666666668</v>
      </c>
      <c r="F199" s="94">
        <f t="shared" si="15"/>
        <v>30.978279999999998</v>
      </c>
    </row>
    <row r="200" spans="1:6" ht="20.100000000000001" customHeight="1">
      <c r="A200" s="22" t="s">
        <v>6726</v>
      </c>
      <c r="B200" s="22" t="s">
        <v>6725</v>
      </c>
      <c r="C200" s="23" t="s">
        <v>6727</v>
      </c>
      <c r="D200" s="30" t="s">
        <v>2</v>
      </c>
      <c r="E200" s="94" t="e">
        <f t="shared" si="14"/>
        <v>#VALUE!</v>
      </c>
      <c r="F200" s="94" t="e">
        <f t="shared" si="15"/>
        <v>#VALUE!</v>
      </c>
    </row>
    <row r="201" spans="1:6" ht="20.100000000000001" customHeight="1">
      <c r="A201" s="22" t="s">
        <v>6729</v>
      </c>
      <c r="B201" s="22" t="s">
        <v>6728</v>
      </c>
      <c r="C201" s="23" t="s">
        <v>6730</v>
      </c>
      <c r="D201" s="30">
        <v>690.1</v>
      </c>
      <c r="E201" s="94">
        <f t="shared" si="14"/>
        <v>25.303666666666672</v>
      </c>
      <c r="F201" s="94">
        <f t="shared" si="15"/>
        <v>27.603999999999999</v>
      </c>
    </row>
    <row r="202" spans="1:6" ht="20.100000000000001" customHeight="1">
      <c r="A202" s="22" t="s">
        <v>6577</v>
      </c>
      <c r="B202" s="22" t="s">
        <v>6576</v>
      </c>
      <c r="C202" s="23" t="s">
        <v>6578</v>
      </c>
      <c r="D202" s="30">
        <v>979.36520000000007</v>
      </c>
      <c r="E202" s="94">
        <f t="shared" si="14"/>
        <v>35.910057333333341</v>
      </c>
      <c r="F202" s="94">
        <f t="shared" si="15"/>
        <v>39.174608000000006</v>
      </c>
    </row>
    <row r="203" spans="1:6" ht="20.100000000000001" customHeight="1">
      <c r="A203" s="22" t="s">
        <v>6563</v>
      </c>
      <c r="B203" s="22" t="s">
        <v>6562</v>
      </c>
      <c r="C203" s="23" t="s">
        <v>6564</v>
      </c>
      <c r="D203" s="30">
        <v>919.51190000000008</v>
      </c>
      <c r="E203" s="94">
        <f t="shared" si="14"/>
        <v>33.715436333333336</v>
      </c>
      <c r="F203" s="94">
        <f t="shared" si="15"/>
        <v>36.780476</v>
      </c>
    </row>
    <row r="204" spans="1:6" ht="20.100000000000001" customHeight="1">
      <c r="A204" s="22" t="s">
        <v>7540</v>
      </c>
      <c r="B204" s="22" t="s">
        <v>7539</v>
      </c>
      <c r="C204" s="23" t="s">
        <v>7541</v>
      </c>
      <c r="D204" s="30" t="s">
        <v>2</v>
      </c>
      <c r="E204" s="94" t="e">
        <f t="shared" si="14"/>
        <v>#VALUE!</v>
      </c>
      <c r="F204" s="94" t="e">
        <f t="shared" si="15"/>
        <v>#VALUE!</v>
      </c>
    </row>
    <row r="205" spans="1:6" ht="20.100000000000001" customHeight="1">
      <c r="A205" s="22" t="s">
        <v>6463</v>
      </c>
      <c r="B205" s="22" t="s">
        <v>6462</v>
      </c>
      <c r="C205" s="23" t="s">
        <v>6464</v>
      </c>
      <c r="D205" s="30">
        <v>805</v>
      </c>
      <c r="E205" s="94">
        <f t="shared" si="14"/>
        <v>29.516666666666669</v>
      </c>
      <c r="F205" s="94">
        <f t="shared" si="15"/>
        <v>32.200000000000003</v>
      </c>
    </row>
    <row r="206" spans="1:6" ht="20.100000000000001" customHeight="1">
      <c r="A206" s="22" t="s">
        <v>6199</v>
      </c>
      <c r="B206" s="22" t="s">
        <v>6198</v>
      </c>
      <c r="C206" s="23" t="s">
        <v>6200</v>
      </c>
      <c r="D206" s="30">
        <v>529.41999999999996</v>
      </c>
      <c r="E206" s="94">
        <f t="shared" ref="E206:E237" si="16">+(D206*1.1/30)</f>
        <v>19.412066666666664</v>
      </c>
      <c r="F206" s="94">
        <f t="shared" ref="F206:F237" si="17">+(D206*1.2/30)</f>
        <v>21.1768</v>
      </c>
    </row>
    <row r="207" spans="1:6" ht="20.100000000000001" customHeight="1">
      <c r="A207" s="22" t="s">
        <v>6259</v>
      </c>
      <c r="B207" s="22" t="s">
        <v>6258</v>
      </c>
      <c r="C207" s="23" t="s">
        <v>6260</v>
      </c>
      <c r="D207" s="30">
        <v>612.85</v>
      </c>
      <c r="E207" s="94">
        <f t="shared" si="16"/>
        <v>22.471166666666669</v>
      </c>
      <c r="F207" s="94">
        <f t="shared" si="17"/>
        <v>24.513999999999999</v>
      </c>
    </row>
    <row r="208" spans="1:6" ht="20.100000000000001" customHeight="1">
      <c r="A208" s="22" t="s">
        <v>6732</v>
      </c>
      <c r="B208" s="22" t="s">
        <v>6731</v>
      </c>
      <c r="C208" s="23" t="s">
        <v>6733</v>
      </c>
      <c r="D208" s="30">
        <v>434.66</v>
      </c>
      <c r="E208" s="94">
        <f t="shared" si="16"/>
        <v>15.937533333333336</v>
      </c>
      <c r="F208" s="94">
        <f t="shared" si="17"/>
        <v>17.386399999999998</v>
      </c>
    </row>
    <row r="209" spans="1:6" ht="20.100000000000001" customHeight="1">
      <c r="A209" s="22" t="s">
        <v>6838</v>
      </c>
      <c r="B209" s="22" t="s">
        <v>6837</v>
      </c>
      <c r="C209" s="23" t="s">
        <v>6839</v>
      </c>
      <c r="D209" s="30">
        <v>329.6</v>
      </c>
      <c r="E209" s="94">
        <f t="shared" si="16"/>
        <v>12.085333333333335</v>
      </c>
      <c r="F209" s="94">
        <f t="shared" si="17"/>
        <v>13.184000000000001</v>
      </c>
    </row>
    <row r="210" spans="1:6" ht="20.100000000000001" customHeight="1">
      <c r="A210" s="22" t="s">
        <v>6542</v>
      </c>
      <c r="B210" s="22" t="s">
        <v>6541</v>
      </c>
      <c r="C210" s="23" t="s">
        <v>6543</v>
      </c>
      <c r="D210" s="30">
        <v>414.06</v>
      </c>
      <c r="E210" s="94">
        <f t="shared" si="16"/>
        <v>15.182200000000002</v>
      </c>
      <c r="F210" s="94">
        <f t="shared" si="17"/>
        <v>16.5624</v>
      </c>
    </row>
    <row r="211" spans="1:6" ht="20.100000000000001" customHeight="1">
      <c r="A211" s="22" t="s">
        <v>7322</v>
      </c>
      <c r="B211" s="22" t="s">
        <v>7321</v>
      </c>
      <c r="C211" s="23" t="s">
        <v>7323</v>
      </c>
      <c r="D211" s="30" t="s">
        <v>2</v>
      </c>
      <c r="E211" s="94" t="e">
        <f t="shared" si="16"/>
        <v>#VALUE!</v>
      </c>
      <c r="F211" s="94" t="e">
        <f t="shared" si="17"/>
        <v>#VALUE!</v>
      </c>
    </row>
    <row r="212" spans="1:6" ht="20.100000000000001" customHeight="1">
      <c r="A212" s="22" t="s">
        <v>7051</v>
      </c>
      <c r="B212" s="22" t="s">
        <v>7050</v>
      </c>
      <c r="C212" s="23" t="s">
        <v>7052</v>
      </c>
      <c r="D212" s="30">
        <v>1267.7755</v>
      </c>
      <c r="E212" s="94">
        <f t="shared" si="16"/>
        <v>46.485101666666665</v>
      </c>
      <c r="F212" s="94">
        <f t="shared" si="17"/>
        <v>50.711019999999998</v>
      </c>
    </row>
    <row r="213" spans="1:6" ht="20.100000000000001" customHeight="1">
      <c r="A213" s="22" t="s">
        <v>6613</v>
      </c>
      <c r="B213" s="22" t="s">
        <v>6612</v>
      </c>
      <c r="C213" s="23" t="s">
        <v>6614</v>
      </c>
      <c r="D213" s="30">
        <v>585.16359999999997</v>
      </c>
      <c r="E213" s="94">
        <f t="shared" si="16"/>
        <v>21.45599866666667</v>
      </c>
      <c r="F213" s="94">
        <f t="shared" si="17"/>
        <v>23.406543999999997</v>
      </c>
    </row>
    <row r="214" spans="1:6" ht="20.100000000000001" customHeight="1">
      <c r="A214" s="22" t="s">
        <v>6190</v>
      </c>
      <c r="B214" s="22" t="s">
        <v>6189</v>
      </c>
      <c r="C214" s="23" t="s">
        <v>6191</v>
      </c>
      <c r="D214" s="30">
        <v>720.33050000000003</v>
      </c>
      <c r="E214" s="94">
        <f t="shared" si="16"/>
        <v>26.412118333333339</v>
      </c>
      <c r="F214" s="94">
        <f t="shared" si="17"/>
        <v>28.813220000000001</v>
      </c>
    </row>
    <row r="215" spans="1:6" ht="20.100000000000001" customHeight="1">
      <c r="A215" s="22" t="s">
        <v>6580</v>
      </c>
      <c r="B215" s="22" t="s">
        <v>6579</v>
      </c>
      <c r="C215" s="23" t="s">
        <v>6581</v>
      </c>
      <c r="D215" s="30">
        <v>1314.4345000000001</v>
      </c>
      <c r="E215" s="94">
        <f t="shared" si="16"/>
        <v>48.195931666666674</v>
      </c>
      <c r="F215" s="94">
        <f t="shared" si="17"/>
        <v>52.577379999999998</v>
      </c>
    </row>
    <row r="216" spans="1:6" ht="20.100000000000001" customHeight="1">
      <c r="A216" s="22" t="s">
        <v>6780</v>
      </c>
      <c r="B216" s="22" t="s">
        <v>6779</v>
      </c>
      <c r="C216" s="23" t="s">
        <v>6781</v>
      </c>
      <c r="D216" s="30" t="s">
        <v>2</v>
      </c>
      <c r="E216" s="94" t="e">
        <f t="shared" si="16"/>
        <v>#VALUE!</v>
      </c>
      <c r="F216" s="94" t="e">
        <f t="shared" si="17"/>
        <v>#VALUE!</v>
      </c>
    </row>
    <row r="217" spans="1:6" ht="20.100000000000001" customHeight="1">
      <c r="A217" s="22" t="s">
        <v>6783</v>
      </c>
      <c r="B217" s="22" t="s">
        <v>6782</v>
      </c>
      <c r="C217" s="23" t="s">
        <v>6784</v>
      </c>
      <c r="D217" s="30" t="s">
        <v>2</v>
      </c>
      <c r="E217" s="94" t="e">
        <f t="shared" si="16"/>
        <v>#VALUE!</v>
      </c>
      <c r="F217" s="94" t="e">
        <f t="shared" si="17"/>
        <v>#VALUE!</v>
      </c>
    </row>
    <row r="218" spans="1:6" ht="20.100000000000001" customHeight="1">
      <c r="A218" s="22" t="s">
        <v>6985</v>
      </c>
      <c r="B218" s="22" t="s">
        <v>6984</v>
      </c>
      <c r="C218" s="23" t="s">
        <v>6986</v>
      </c>
      <c r="D218" s="30" t="s">
        <v>2</v>
      </c>
      <c r="E218" s="94" t="e">
        <f t="shared" si="16"/>
        <v>#VALUE!</v>
      </c>
      <c r="F218" s="94" t="e">
        <f t="shared" si="17"/>
        <v>#VALUE!</v>
      </c>
    </row>
    <row r="219" spans="1:6" ht="20.100000000000001" customHeight="1">
      <c r="A219" s="22" t="s">
        <v>7961</v>
      </c>
      <c r="B219" s="22" t="s">
        <v>7960</v>
      </c>
      <c r="C219" s="23" t="s">
        <v>7962</v>
      </c>
      <c r="D219" s="30">
        <v>664.35</v>
      </c>
      <c r="E219" s="94">
        <f t="shared" si="16"/>
        <v>24.359500000000004</v>
      </c>
      <c r="F219" s="94">
        <f t="shared" si="17"/>
        <v>26.574000000000002</v>
      </c>
    </row>
    <row r="220" spans="1:6" ht="20.100000000000001" customHeight="1">
      <c r="A220" s="22" t="s">
        <v>7217</v>
      </c>
      <c r="B220" s="22" t="s">
        <v>7216</v>
      </c>
      <c r="C220" s="23" t="s">
        <v>7218</v>
      </c>
      <c r="D220" s="30">
        <v>652.21660000000008</v>
      </c>
      <c r="E220" s="94">
        <f t="shared" si="16"/>
        <v>23.91460866666667</v>
      </c>
      <c r="F220" s="94">
        <f t="shared" si="17"/>
        <v>26.088664000000001</v>
      </c>
    </row>
    <row r="221" spans="1:6" ht="20.100000000000001" customHeight="1">
      <c r="A221" s="22" t="s">
        <v>7114</v>
      </c>
      <c r="B221" s="22" t="s">
        <v>7113</v>
      </c>
      <c r="C221" s="23" t="s">
        <v>7115</v>
      </c>
      <c r="D221" s="30" t="s">
        <v>2</v>
      </c>
      <c r="E221" s="94" t="e">
        <f t="shared" si="16"/>
        <v>#VALUE!</v>
      </c>
      <c r="F221" s="94" t="e">
        <f t="shared" si="17"/>
        <v>#VALUE!</v>
      </c>
    </row>
    <row r="222" spans="1:6" ht="20.100000000000001" customHeight="1">
      <c r="A222" s="22" t="s">
        <v>7054</v>
      </c>
      <c r="B222" s="22" t="s">
        <v>7053</v>
      </c>
      <c r="C222" s="23" t="s">
        <v>7055</v>
      </c>
      <c r="D222" s="30">
        <v>706.58</v>
      </c>
      <c r="E222" s="94">
        <f t="shared" si="16"/>
        <v>25.907933333333336</v>
      </c>
      <c r="F222" s="94">
        <f t="shared" si="17"/>
        <v>28.263200000000001</v>
      </c>
    </row>
    <row r="223" spans="1:6" ht="20.100000000000001" customHeight="1">
      <c r="A223" s="22" t="s">
        <v>6668</v>
      </c>
      <c r="B223" s="22" t="s">
        <v>6667</v>
      </c>
      <c r="C223" s="23" t="s">
        <v>6669</v>
      </c>
      <c r="D223" s="30" t="s">
        <v>2</v>
      </c>
      <c r="E223" s="94" t="e">
        <f t="shared" si="16"/>
        <v>#VALUE!</v>
      </c>
      <c r="F223" s="94" t="e">
        <f t="shared" si="17"/>
        <v>#VALUE!</v>
      </c>
    </row>
    <row r="224" spans="1:6" ht="20.100000000000001" customHeight="1">
      <c r="A224" s="22" t="s">
        <v>6266</v>
      </c>
      <c r="B224" s="22" t="s">
        <v>6265</v>
      </c>
      <c r="C224" s="23" t="s">
        <v>6267</v>
      </c>
      <c r="D224" s="30">
        <v>545.9</v>
      </c>
      <c r="E224" s="94">
        <f t="shared" si="16"/>
        <v>20.016333333333332</v>
      </c>
      <c r="F224" s="94">
        <f t="shared" si="17"/>
        <v>21.835999999999999</v>
      </c>
    </row>
    <row r="225" spans="1:6" ht="20.100000000000001" customHeight="1">
      <c r="A225" s="22" t="s">
        <v>6911</v>
      </c>
      <c r="B225" s="22" t="s">
        <v>6910</v>
      </c>
      <c r="C225" s="23" t="s">
        <v>6912</v>
      </c>
      <c r="D225" s="30" t="s">
        <v>2</v>
      </c>
      <c r="E225" s="94" t="e">
        <f t="shared" si="16"/>
        <v>#VALUE!</v>
      </c>
      <c r="F225" s="94" t="e">
        <f t="shared" si="17"/>
        <v>#VALUE!</v>
      </c>
    </row>
    <row r="226" spans="1:6" ht="20.100000000000001" customHeight="1">
      <c r="A226" s="22" t="s">
        <v>6735</v>
      </c>
      <c r="B226" s="22" t="s">
        <v>6734</v>
      </c>
      <c r="C226" s="23" t="s">
        <v>6736</v>
      </c>
      <c r="D226" s="30">
        <v>648.9</v>
      </c>
      <c r="E226" s="94">
        <f t="shared" si="16"/>
        <v>23.793000000000003</v>
      </c>
      <c r="F226" s="94">
        <f t="shared" si="17"/>
        <v>25.956</v>
      </c>
    </row>
    <row r="227" spans="1:6" ht="20.100000000000001" customHeight="1">
      <c r="A227" s="22" t="s">
        <v>6616</v>
      </c>
      <c r="B227" s="22" t="s">
        <v>6615</v>
      </c>
      <c r="C227" s="23" t="s">
        <v>6617</v>
      </c>
      <c r="D227" s="30">
        <v>967.14940000000001</v>
      </c>
      <c r="E227" s="94">
        <f t="shared" si="16"/>
        <v>35.462144666666667</v>
      </c>
      <c r="F227" s="94">
        <f t="shared" si="17"/>
        <v>38.685975999999997</v>
      </c>
    </row>
    <row r="228" spans="1:6" ht="20.100000000000001" customHeight="1">
      <c r="A228" s="22" t="s">
        <v>6738</v>
      </c>
      <c r="B228" s="22" t="s">
        <v>6737</v>
      </c>
      <c r="C228" s="23" t="s">
        <v>6739</v>
      </c>
      <c r="D228" s="30">
        <v>775.59</v>
      </c>
      <c r="E228" s="94">
        <f t="shared" si="16"/>
        <v>28.438300000000005</v>
      </c>
      <c r="F228" s="94">
        <f t="shared" si="17"/>
        <v>31.023599999999998</v>
      </c>
    </row>
    <row r="229" spans="1:6" ht="20.100000000000001" customHeight="1">
      <c r="A229" s="22" t="s">
        <v>6545</v>
      </c>
      <c r="B229" s="22" t="s">
        <v>6544</v>
      </c>
      <c r="C229" s="23" t="s">
        <v>6546</v>
      </c>
      <c r="D229" s="30" t="s">
        <v>2</v>
      </c>
      <c r="E229" s="94" t="e">
        <f t="shared" si="16"/>
        <v>#VALUE!</v>
      </c>
      <c r="F229" s="94" t="e">
        <f t="shared" si="17"/>
        <v>#VALUE!</v>
      </c>
    </row>
    <row r="230" spans="1:6" ht="20.100000000000001" customHeight="1">
      <c r="A230" s="22" t="s">
        <v>6548</v>
      </c>
      <c r="B230" s="22" t="s">
        <v>6547</v>
      </c>
      <c r="C230" s="23" t="s">
        <v>6549</v>
      </c>
      <c r="D230" s="30" t="s">
        <v>2</v>
      </c>
      <c r="E230" s="94" t="e">
        <f t="shared" si="16"/>
        <v>#VALUE!</v>
      </c>
      <c r="F230" s="94" t="e">
        <f t="shared" si="17"/>
        <v>#VALUE!</v>
      </c>
    </row>
    <row r="231" spans="1:6" ht="20.100000000000001" customHeight="1">
      <c r="A231" s="22" t="s">
        <v>6185</v>
      </c>
      <c r="B231" s="22" t="s">
        <v>6184</v>
      </c>
      <c r="C231" s="23" t="s">
        <v>6186</v>
      </c>
      <c r="D231" s="30">
        <v>937.30000000000007</v>
      </c>
      <c r="E231" s="94">
        <f t="shared" si="16"/>
        <v>34.367666666666672</v>
      </c>
      <c r="F231" s="94">
        <f t="shared" si="17"/>
        <v>37.491999999999997</v>
      </c>
    </row>
    <row r="232" spans="1:6" ht="20.100000000000001" customHeight="1">
      <c r="A232" s="22" t="s">
        <v>6741</v>
      </c>
      <c r="B232" s="22" t="s">
        <v>6740</v>
      </c>
      <c r="C232" s="23" t="s">
        <v>6742</v>
      </c>
      <c r="D232" s="30">
        <v>636.54</v>
      </c>
      <c r="E232" s="94">
        <f t="shared" si="16"/>
        <v>23.3398</v>
      </c>
      <c r="F232" s="94">
        <f t="shared" si="17"/>
        <v>25.461599999999997</v>
      </c>
    </row>
    <row r="233" spans="1:6" ht="20.100000000000001" customHeight="1">
      <c r="A233" s="22" t="s">
        <v>7206</v>
      </c>
      <c r="B233" s="22" t="s">
        <v>7205</v>
      </c>
      <c r="C233" s="23" t="s">
        <v>7207</v>
      </c>
      <c r="D233" s="30">
        <v>772.5</v>
      </c>
      <c r="E233" s="94">
        <f t="shared" si="16"/>
        <v>28.325000000000003</v>
      </c>
      <c r="F233" s="94">
        <f t="shared" si="17"/>
        <v>30.9</v>
      </c>
    </row>
    <row r="234" spans="1:6" ht="20.100000000000001" customHeight="1">
      <c r="A234" s="36" t="s">
        <v>6746</v>
      </c>
      <c r="B234" s="36" t="s">
        <v>6745</v>
      </c>
      <c r="C234" s="37" t="s">
        <v>6747</v>
      </c>
      <c r="D234" s="33">
        <v>730</v>
      </c>
      <c r="E234" s="94">
        <f t="shared" si="16"/>
        <v>26.766666666666669</v>
      </c>
      <c r="F234" s="94">
        <f t="shared" si="17"/>
        <v>29.2</v>
      </c>
    </row>
    <row r="235" spans="1:6" ht="20.100000000000001" customHeight="1">
      <c r="A235" s="22" t="s">
        <v>6339</v>
      </c>
      <c r="B235" s="22" t="s">
        <v>6338</v>
      </c>
      <c r="C235" s="23" t="s">
        <v>6340</v>
      </c>
      <c r="D235" s="30">
        <v>1016.4967</v>
      </c>
      <c r="E235" s="94">
        <f t="shared" si="16"/>
        <v>37.271545666666675</v>
      </c>
      <c r="F235" s="94">
        <f t="shared" si="17"/>
        <v>40.659867999999996</v>
      </c>
    </row>
    <row r="236" spans="1:6" ht="20.100000000000001" customHeight="1">
      <c r="A236" s="22" t="s">
        <v>6342</v>
      </c>
      <c r="B236" s="22" t="s">
        <v>6341</v>
      </c>
      <c r="C236" s="23" t="s">
        <v>6343</v>
      </c>
      <c r="D236" s="30">
        <v>820.23020000000008</v>
      </c>
      <c r="E236" s="94">
        <f t="shared" si="16"/>
        <v>30.075107333333339</v>
      </c>
      <c r="F236" s="94">
        <f t="shared" si="17"/>
        <v>32.809207999999998</v>
      </c>
    </row>
    <row r="237" spans="1:6" ht="20.100000000000001" customHeight="1">
      <c r="A237" s="22" t="s">
        <v>6277</v>
      </c>
      <c r="B237" s="22" t="s">
        <v>6276</v>
      </c>
      <c r="C237" s="23" t="s">
        <v>6278</v>
      </c>
      <c r="D237" s="30" t="s">
        <v>2</v>
      </c>
      <c r="E237" s="94" t="e">
        <f t="shared" si="16"/>
        <v>#VALUE!</v>
      </c>
      <c r="F237" s="94" t="e">
        <f t="shared" si="17"/>
        <v>#VALUE!</v>
      </c>
    </row>
    <row r="238" spans="1:6" ht="20.100000000000001" customHeight="1">
      <c r="A238" s="22" t="s">
        <v>6345</v>
      </c>
      <c r="B238" s="22" t="s">
        <v>6344</v>
      </c>
      <c r="C238" s="23" t="s">
        <v>6346</v>
      </c>
      <c r="D238" s="30">
        <v>796.19</v>
      </c>
      <c r="E238" s="94">
        <f t="shared" ref="E238:E251" si="18">+(D238*1.1/30)</f>
        <v>29.193633333333334</v>
      </c>
      <c r="F238" s="94">
        <f t="shared" ref="F238:F251" si="19">+(D238*1.2/30)</f>
        <v>31.8476</v>
      </c>
    </row>
    <row r="239" spans="1:6" ht="20.100000000000001" customHeight="1">
      <c r="A239" s="22" t="s">
        <v>6914</v>
      </c>
      <c r="B239" s="22" t="s">
        <v>6913</v>
      </c>
      <c r="C239" s="23" t="s">
        <v>6915</v>
      </c>
      <c r="D239" s="30">
        <v>801.49450000000002</v>
      </c>
      <c r="E239" s="94">
        <f t="shared" si="18"/>
        <v>29.38813166666667</v>
      </c>
      <c r="F239" s="94">
        <f t="shared" si="19"/>
        <v>32.059780000000003</v>
      </c>
    </row>
    <row r="240" spans="1:6" ht="20.100000000000001" customHeight="1">
      <c r="A240" s="22" t="s">
        <v>6292</v>
      </c>
      <c r="B240" s="22" t="s">
        <v>6291</v>
      </c>
      <c r="C240" s="23" t="s">
        <v>6293</v>
      </c>
      <c r="D240" s="30" t="s">
        <v>2</v>
      </c>
      <c r="E240" s="94" t="e">
        <f t="shared" si="18"/>
        <v>#VALUE!</v>
      </c>
      <c r="F240" s="94" t="e">
        <f t="shared" si="19"/>
        <v>#VALUE!</v>
      </c>
    </row>
    <row r="241" spans="1:8" ht="20.100000000000001" customHeight="1">
      <c r="A241" s="22" t="s">
        <v>6574</v>
      </c>
      <c r="B241" s="22" t="s">
        <v>6573</v>
      </c>
      <c r="C241" s="23" t="s">
        <v>6575</v>
      </c>
      <c r="D241" s="30">
        <v>1145.3600000000001</v>
      </c>
      <c r="E241" s="94">
        <f t="shared" si="18"/>
        <v>41.996533333333339</v>
      </c>
      <c r="F241" s="94">
        <f t="shared" si="19"/>
        <v>45.814399999999999</v>
      </c>
    </row>
    <row r="242" spans="1:8" ht="20.100000000000001" customHeight="1">
      <c r="A242" s="22" t="s">
        <v>7186</v>
      </c>
      <c r="B242" s="22" t="s">
        <v>7185</v>
      </c>
      <c r="C242" s="23" t="s">
        <v>7187</v>
      </c>
      <c r="D242" s="30">
        <v>1725.25</v>
      </c>
      <c r="E242" s="94">
        <f t="shared" si="18"/>
        <v>63.259166666666673</v>
      </c>
      <c r="F242" s="94">
        <f t="shared" si="19"/>
        <v>69.009999999999991</v>
      </c>
    </row>
    <row r="243" spans="1:8" ht="20.100000000000001" customHeight="1">
      <c r="A243" s="22" t="s">
        <v>7271</v>
      </c>
      <c r="B243" s="22" t="s">
        <v>7270</v>
      </c>
      <c r="C243" s="23" t="s">
        <v>7272</v>
      </c>
      <c r="D243" s="30">
        <v>1725.25</v>
      </c>
      <c r="E243" s="94">
        <f t="shared" si="18"/>
        <v>63.259166666666673</v>
      </c>
      <c r="F243" s="94">
        <f t="shared" si="19"/>
        <v>69.009999999999991</v>
      </c>
    </row>
    <row r="244" spans="1:8" ht="20.100000000000001" customHeight="1">
      <c r="A244" s="22" t="s">
        <v>6749</v>
      </c>
      <c r="B244" s="22" t="s">
        <v>6748</v>
      </c>
      <c r="C244" s="23" t="s">
        <v>6750</v>
      </c>
      <c r="D244" s="30">
        <v>562.27700000000004</v>
      </c>
      <c r="E244" s="94">
        <f t="shared" si="18"/>
        <v>20.616823333333336</v>
      </c>
      <c r="F244" s="94">
        <f t="shared" si="19"/>
        <v>22.49108</v>
      </c>
    </row>
    <row r="245" spans="1:8" ht="20.100000000000001" customHeight="1">
      <c r="A245" s="22" t="s">
        <v>6208</v>
      </c>
      <c r="B245" s="22" t="s">
        <v>6207</v>
      </c>
      <c r="C245" s="23" t="s">
        <v>6209</v>
      </c>
      <c r="D245" s="30">
        <v>785.8488000000001</v>
      </c>
      <c r="E245" s="94">
        <f t="shared" si="18"/>
        <v>28.814456000000007</v>
      </c>
      <c r="F245" s="94">
        <f t="shared" si="19"/>
        <v>31.433952000000001</v>
      </c>
    </row>
    <row r="246" spans="1:8" ht="20.100000000000001" customHeight="1">
      <c r="A246" s="36" t="s">
        <v>6205</v>
      </c>
      <c r="B246" s="36" t="s">
        <v>6204</v>
      </c>
      <c r="C246" s="37" t="s">
        <v>6206</v>
      </c>
      <c r="D246" s="33">
        <v>810</v>
      </c>
      <c r="E246" s="100">
        <f t="shared" si="18"/>
        <v>29.700000000000003</v>
      </c>
      <c r="F246" s="100">
        <f t="shared" si="19"/>
        <v>32.4</v>
      </c>
      <c r="G246" s="56" t="s">
        <v>8001</v>
      </c>
    </row>
    <row r="247" spans="1:8" ht="20.100000000000001" customHeight="1">
      <c r="A247" s="22" t="s">
        <v>6229</v>
      </c>
      <c r="B247" s="22" t="s">
        <v>6228</v>
      </c>
      <c r="C247" s="23" t="s">
        <v>6230</v>
      </c>
      <c r="D247" s="30" t="s">
        <v>2</v>
      </c>
      <c r="E247" s="94" t="e">
        <f t="shared" si="18"/>
        <v>#VALUE!</v>
      </c>
      <c r="F247" s="94" t="e">
        <f t="shared" si="19"/>
        <v>#VALUE!</v>
      </c>
    </row>
    <row r="248" spans="1:8" ht="20.100000000000001" customHeight="1">
      <c r="A248" s="22" t="s">
        <v>6232</v>
      </c>
      <c r="B248" s="22" t="s">
        <v>6231</v>
      </c>
      <c r="C248" s="23" t="s">
        <v>6233</v>
      </c>
      <c r="D248" s="30" t="s">
        <v>2</v>
      </c>
      <c r="E248" s="94" t="e">
        <f t="shared" si="18"/>
        <v>#VALUE!</v>
      </c>
      <c r="F248" s="94" t="e">
        <f t="shared" si="19"/>
        <v>#VALUE!</v>
      </c>
    </row>
    <row r="249" spans="1:8" ht="20.100000000000001" customHeight="1">
      <c r="A249" s="22" t="s">
        <v>6390</v>
      </c>
      <c r="B249" s="22" t="s">
        <v>6389</v>
      </c>
      <c r="C249" s="23" t="s">
        <v>6391</v>
      </c>
      <c r="D249" s="30" t="s">
        <v>2</v>
      </c>
      <c r="E249" s="94" t="e">
        <f t="shared" si="18"/>
        <v>#VALUE!</v>
      </c>
      <c r="F249" s="94" t="e">
        <f t="shared" si="19"/>
        <v>#VALUE!</v>
      </c>
      <c r="H249" s="58">
        <v>45113</v>
      </c>
    </row>
    <row r="250" spans="1:8" ht="20.100000000000001" customHeight="1">
      <c r="A250" s="22" t="s">
        <v>6274</v>
      </c>
      <c r="B250" s="22" t="s">
        <v>6273</v>
      </c>
      <c r="C250" s="23" t="s">
        <v>6275</v>
      </c>
      <c r="D250" s="30" t="s">
        <v>2</v>
      </c>
      <c r="E250" s="94" t="e">
        <f t="shared" si="18"/>
        <v>#VALUE!</v>
      </c>
      <c r="F250" s="94" t="e">
        <f t="shared" si="19"/>
        <v>#VALUE!</v>
      </c>
    </row>
    <row r="251" spans="1:8" ht="20.100000000000001" customHeight="1">
      <c r="A251" s="22" t="s">
        <v>6283</v>
      </c>
      <c r="B251" s="22" t="s">
        <v>6282</v>
      </c>
      <c r="C251" s="23" t="s">
        <v>6284</v>
      </c>
      <c r="D251" s="30" t="s">
        <v>2</v>
      </c>
      <c r="E251" s="94" t="e">
        <f t="shared" si="18"/>
        <v>#VALUE!</v>
      </c>
      <c r="F251" s="94" t="e">
        <f t="shared" si="19"/>
        <v>#VALUE!</v>
      </c>
    </row>
    <row r="252" spans="1:8" ht="20.100000000000001" customHeight="1">
      <c r="A252" s="22" t="s">
        <v>7818</v>
      </c>
      <c r="B252" s="22" t="s">
        <v>7817</v>
      </c>
      <c r="C252" s="23" t="s">
        <v>7819</v>
      </c>
      <c r="D252" s="30">
        <v>2050</v>
      </c>
      <c r="E252" s="94">
        <v>91</v>
      </c>
      <c r="F252" s="94">
        <v>93</v>
      </c>
    </row>
    <row r="253" spans="1:8" ht="20.100000000000001" customHeight="1">
      <c r="A253" s="22" t="s">
        <v>7815</v>
      </c>
      <c r="B253" s="22" t="s">
        <v>7814</v>
      </c>
      <c r="C253" s="23" t="s">
        <v>7816</v>
      </c>
      <c r="D253" s="30" t="s">
        <v>2</v>
      </c>
      <c r="E253" s="94" t="e">
        <f t="shared" ref="E253:E284" si="20">+(D253*1.1/30)</f>
        <v>#VALUE!</v>
      </c>
      <c r="F253" s="94" t="e">
        <f t="shared" ref="F253:F284" si="21">+(D253*1.2/30)</f>
        <v>#VALUE!</v>
      </c>
    </row>
    <row r="254" spans="1:8" ht="20.100000000000001" customHeight="1">
      <c r="A254" s="22" t="s">
        <v>6988</v>
      </c>
      <c r="B254" s="22" t="s">
        <v>6987</v>
      </c>
      <c r="C254" s="23" t="s">
        <v>6989</v>
      </c>
      <c r="D254" s="30">
        <v>2513.2000000000003</v>
      </c>
      <c r="E254" s="94">
        <f t="shared" si="20"/>
        <v>92.15066666666668</v>
      </c>
      <c r="F254" s="94">
        <f t="shared" si="21"/>
        <v>100.52800000000001</v>
      </c>
    </row>
    <row r="255" spans="1:8" ht="20.100000000000001" customHeight="1">
      <c r="A255" s="22" t="s">
        <v>7024</v>
      </c>
      <c r="B255" s="22" t="s">
        <v>7023</v>
      </c>
      <c r="C255" s="23" t="s">
        <v>7025</v>
      </c>
      <c r="D255" s="30" t="s">
        <v>2</v>
      </c>
      <c r="E255" s="94" t="e">
        <f t="shared" si="20"/>
        <v>#VALUE!</v>
      </c>
      <c r="F255" s="94" t="e">
        <f t="shared" si="21"/>
        <v>#VALUE!</v>
      </c>
    </row>
    <row r="256" spans="1:8" ht="20.100000000000001" customHeight="1">
      <c r="A256" s="22" t="s">
        <v>7325</v>
      </c>
      <c r="B256" s="22" t="s">
        <v>7324</v>
      </c>
      <c r="C256" s="23" t="s">
        <v>7326</v>
      </c>
      <c r="D256" s="30" t="s">
        <v>2</v>
      </c>
      <c r="E256" s="94" t="e">
        <f t="shared" si="20"/>
        <v>#VALUE!</v>
      </c>
      <c r="F256" s="94" t="e">
        <f t="shared" si="21"/>
        <v>#VALUE!</v>
      </c>
    </row>
    <row r="257" spans="1:6" ht="20.100000000000001" customHeight="1">
      <c r="A257" s="22" t="s">
        <v>6766</v>
      </c>
      <c r="B257" s="22" t="s">
        <v>6765</v>
      </c>
      <c r="C257" s="23" t="s">
        <v>6767</v>
      </c>
      <c r="D257" s="30">
        <v>825.32870000000003</v>
      </c>
      <c r="E257" s="94">
        <f t="shared" si="20"/>
        <v>30.262052333333337</v>
      </c>
      <c r="F257" s="94">
        <f t="shared" si="21"/>
        <v>33.013148000000001</v>
      </c>
    </row>
    <row r="258" spans="1:6" ht="20.100000000000001" customHeight="1">
      <c r="A258" s="36" t="s">
        <v>8032</v>
      </c>
      <c r="B258" s="36" t="s">
        <v>8033</v>
      </c>
      <c r="C258" s="37" t="s">
        <v>8034</v>
      </c>
      <c r="D258" s="33">
        <v>1200</v>
      </c>
      <c r="E258" s="100">
        <f t="shared" si="20"/>
        <v>44</v>
      </c>
      <c r="F258" s="100">
        <f t="shared" si="21"/>
        <v>48</v>
      </c>
    </row>
    <row r="259" spans="1:6" ht="20.100000000000001" customHeight="1">
      <c r="A259" s="137" t="s">
        <v>6752</v>
      </c>
      <c r="B259" s="137" t="s">
        <v>6751</v>
      </c>
      <c r="C259" s="138" t="s">
        <v>8626</v>
      </c>
      <c r="D259" s="139">
        <v>870</v>
      </c>
      <c r="E259" s="94">
        <f t="shared" si="20"/>
        <v>31.900000000000002</v>
      </c>
      <c r="F259" s="94">
        <f t="shared" si="21"/>
        <v>34.799999999999997</v>
      </c>
    </row>
    <row r="260" spans="1:6" ht="20.100000000000001" customHeight="1">
      <c r="A260" s="22" t="s">
        <v>6949</v>
      </c>
      <c r="B260" s="22" t="s">
        <v>6948</v>
      </c>
      <c r="C260" s="23" t="s">
        <v>6950</v>
      </c>
      <c r="D260" s="30">
        <v>661.35270000000003</v>
      </c>
      <c r="E260" s="94">
        <f t="shared" si="20"/>
        <v>24.249599000000003</v>
      </c>
      <c r="F260" s="94">
        <f t="shared" si="21"/>
        <v>26.454108000000002</v>
      </c>
    </row>
    <row r="261" spans="1:6" ht="20.100000000000001" customHeight="1">
      <c r="A261" s="22" t="s">
        <v>6330</v>
      </c>
      <c r="B261" s="22" t="s">
        <v>6329</v>
      </c>
      <c r="C261" s="23" t="s">
        <v>6331</v>
      </c>
      <c r="D261" s="30">
        <v>839.45</v>
      </c>
      <c r="E261" s="94">
        <f t="shared" si="20"/>
        <v>30.779833333333336</v>
      </c>
      <c r="F261" s="94">
        <f t="shared" si="21"/>
        <v>33.578000000000003</v>
      </c>
    </row>
    <row r="262" spans="1:6" ht="20.100000000000001" customHeight="1">
      <c r="A262" s="22" t="s">
        <v>6327</v>
      </c>
      <c r="B262" s="22" t="s">
        <v>6326</v>
      </c>
      <c r="C262" s="23" t="s">
        <v>6328</v>
      </c>
      <c r="D262" s="30" t="s">
        <v>2</v>
      </c>
      <c r="E262" s="94" t="e">
        <f t="shared" si="20"/>
        <v>#VALUE!</v>
      </c>
      <c r="F262" s="94" t="e">
        <f t="shared" si="21"/>
        <v>#VALUE!</v>
      </c>
    </row>
    <row r="263" spans="1:6" ht="20.100000000000001" customHeight="1">
      <c r="A263" s="22" t="s">
        <v>6991</v>
      </c>
      <c r="B263" s="22" t="s">
        <v>6990</v>
      </c>
      <c r="C263" s="23" t="s">
        <v>6992</v>
      </c>
      <c r="D263" s="30" t="s">
        <v>2</v>
      </c>
      <c r="E263" s="94" t="e">
        <f t="shared" si="20"/>
        <v>#VALUE!</v>
      </c>
      <c r="F263" s="94" t="e">
        <f t="shared" si="21"/>
        <v>#VALUE!</v>
      </c>
    </row>
    <row r="264" spans="1:6" ht="20.100000000000001" customHeight="1">
      <c r="A264" s="22" t="s">
        <v>7057</v>
      </c>
      <c r="B264" s="22" t="s">
        <v>7056</v>
      </c>
      <c r="C264" s="23" t="s">
        <v>7058</v>
      </c>
      <c r="D264" s="30">
        <v>4923.4000000000005</v>
      </c>
      <c r="E264" s="94">
        <f t="shared" si="20"/>
        <v>180.52466666666669</v>
      </c>
      <c r="F264" s="94">
        <f t="shared" si="21"/>
        <v>196.93600000000004</v>
      </c>
    </row>
    <row r="265" spans="1:6" ht="20.100000000000001" customHeight="1">
      <c r="A265" s="22" t="s">
        <v>6595</v>
      </c>
      <c r="B265" s="22" t="s">
        <v>6594</v>
      </c>
      <c r="C265" s="23" t="s">
        <v>6596</v>
      </c>
      <c r="D265" s="30" t="s">
        <v>2</v>
      </c>
      <c r="E265" s="94" t="e">
        <f t="shared" si="20"/>
        <v>#VALUE!</v>
      </c>
      <c r="F265" s="94" t="e">
        <f t="shared" si="21"/>
        <v>#VALUE!</v>
      </c>
    </row>
    <row r="266" spans="1:6" ht="20.100000000000001" customHeight="1">
      <c r="A266" s="22" t="s">
        <v>6601</v>
      </c>
      <c r="B266" s="22" t="s">
        <v>6600</v>
      </c>
      <c r="C266" s="23" t="s">
        <v>6602</v>
      </c>
      <c r="D266" s="30" t="s">
        <v>2</v>
      </c>
      <c r="E266" s="94" t="e">
        <f t="shared" si="20"/>
        <v>#VALUE!</v>
      </c>
      <c r="F266" s="94" t="e">
        <f t="shared" si="21"/>
        <v>#VALUE!</v>
      </c>
    </row>
    <row r="267" spans="1:6" ht="20.100000000000001" customHeight="1">
      <c r="A267" s="22" t="s">
        <v>6515</v>
      </c>
      <c r="B267" s="22" t="s">
        <v>6514</v>
      </c>
      <c r="C267" s="23" t="s">
        <v>6516</v>
      </c>
      <c r="D267" s="30" t="s">
        <v>2</v>
      </c>
      <c r="E267" s="94" t="e">
        <f t="shared" si="20"/>
        <v>#VALUE!</v>
      </c>
      <c r="F267" s="94" t="e">
        <f t="shared" si="21"/>
        <v>#VALUE!</v>
      </c>
    </row>
    <row r="268" spans="1:6" ht="20.100000000000001" customHeight="1">
      <c r="A268" s="22" t="s">
        <v>6994</v>
      </c>
      <c r="B268" s="22" t="s">
        <v>6993</v>
      </c>
      <c r="C268" s="23" t="s">
        <v>6995</v>
      </c>
      <c r="D268" s="30" t="s">
        <v>2</v>
      </c>
      <c r="E268" s="94" t="e">
        <f t="shared" si="20"/>
        <v>#VALUE!</v>
      </c>
      <c r="F268" s="94" t="e">
        <f t="shared" si="21"/>
        <v>#VALUE!</v>
      </c>
    </row>
    <row r="269" spans="1:6" ht="20.100000000000001" customHeight="1">
      <c r="A269" s="22" t="s">
        <v>6502</v>
      </c>
      <c r="B269" s="22" t="s">
        <v>6501</v>
      </c>
      <c r="C269" s="23" t="s">
        <v>6503</v>
      </c>
      <c r="D269" s="30" t="s">
        <v>2</v>
      </c>
      <c r="E269" s="94" t="e">
        <f t="shared" si="20"/>
        <v>#VALUE!</v>
      </c>
      <c r="F269" s="94" t="e">
        <f t="shared" si="21"/>
        <v>#VALUE!</v>
      </c>
    </row>
    <row r="270" spans="1:6" ht="20.100000000000001" customHeight="1">
      <c r="A270" s="22" t="s">
        <v>6456</v>
      </c>
      <c r="B270" s="22" t="s">
        <v>6455</v>
      </c>
      <c r="C270" s="23" t="s">
        <v>6457</v>
      </c>
      <c r="D270" s="30" t="s">
        <v>2</v>
      </c>
      <c r="E270" s="94" t="e">
        <f t="shared" si="20"/>
        <v>#VALUE!</v>
      </c>
      <c r="F270" s="94" t="e">
        <f t="shared" si="21"/>
        <v>#VALUE!</v>
      </c>
    </row>
    <row r="271" spans="1:6" ht="20.100000000000001" customHeight="1">
      <c r="A271" s="22" t="s">
        <v>6607</v>
      </c>
      <c r="B271" s="22" t="s">
        <v>6606</v>
      </c>
      <c r="C271" s="23" t="s">
        <v>6608</v>
      </c>
      <c r="D271" s="30" t="s">
        <v>2</v>
      </c>
      <c r="E271" s="94" t="e">
        <f t="shared" si="20"/>
        <v>#VALUE!</v>
      </c>
      <c r="F271" s="94" t="e">
        <f t="shared" si="21"/>
        <v>#VALUE!</v>
      </c>
    </row>
    <row r="272" spans="1:6" ht="20.100000000000001" customHeight="1">
      <c r="A272" s="22" t="s">
        <v>6610</v>
      </c>
      <c r="B272" s="22" t="s">
        <v>6609</v>
      </c>
      <c r="C272" s="23" t="s">
        <v>6611</v>
      </c>
      <c r="D272" s="30">
        <v>395.67449999999997</v>
      </c>
      <c r="E272" s="94">
        <f t="shared" si="20"/>
        <v>14.508064999999998</v>
      </c>
      <c r="F272" s="94">
        <f t="shared" si="21"/>
        <v>15.826979999999997</v>
      </c>
    </row>
    <row r="273" spans="1:11" ht="20.100000000000001" customHeight="1">
      <c r="A273" s="22" t="s">
        <v>6689</v>
      </c>
      <c r="B273" s="22" t="s">
        <v>6688</v>
      </c>
      <c r="C273" s="23" t="s">
        <v>6690</v>
      </c>
      <c r="D273" s="30">
        <v>567</v>
      </c>
      <c r="E273" s="94">
        <f t="shared" si="20"/>
        <v>20.790000000000003</v>
      </c>
      <c r="F273" s="94">
        <f t="shared" si="21"/>
        <v>22.68</v>
      </c>
      <c r="I273" s="148" t="s">
        <v>8847</v>
      </c>
      <c r="J273" s="148"/>
      <c r="K273" s="148"/>
    </row>
    <row r="274" spans="1:11" ht="20.100000000000001" customHeight="1">
      <c r="A274" s="22" t="s">
        <v>6686</v>
      </c>
      <c r="B274" s="22" t="s">
        <v>6685</v>
      </c>
      <c r="C274" s="23" t="s">
        <v>6687</v>
      </c>
      <c r="D274" s="30">
        <v>566.5</v>
      </c>
      <c r="E274" s="94">
        <f t="shared" si="20"/>
        <v>20.771666666666668</v>
      </c>
      <c r="F274" s="94">
        <f t="shared" si="21"/>
        <v>22.66</v>
      </c>
    </row>
    <row r="275" spans="1:11" ht="20.100000000000001" customHeight="1">
      <c r="A275" s="22" t="s">
        <v>6677</v>
      </c>
      <c r="B275" s="22" t="s">
        <v>6676</v>
      </c>
      <c r="C275" s="23" t="s">
        <v>6678</v>
      </c>
      <c r="D275" s="30" t="s">
        <v>2</v>
      </c>
      <c r="E275" s="94" t="e">
        <f t="shared" si="20"/>
        <v>#VALUE!</v>
      </c>
      <c r="F275" s="94" t="e">
        <f t="shared" si="21"/>
        <v>#VALUE!</v>
      </c>
    </row>
    <row r="276" spans="1:11" ht="20.100000000000001" customHeight="1">
      <c r="A276" s="22" t="s">
        <v>6703</v>
      </c>
      <c r="B276" s="22" t="s">
        <v>6702</v>
      </c>
      <c r="C276" s="23" t="s">
        <v>6704</v>
      </c>
      <c r="D276" s="30">
        <v>440.26319999999998</v>
      </c>
      <c r="E276" s="94">
        <f t="shared" si="20"/>
        <v>16.142984000000002</v>
      </c>
      <c r="F276" s="94">
        <f t="shared" si="21"/>
        <v>17.610527999999999</v>
      </c>
    </row>
    <row r="277" spans="1:11" ht="20.100000000000001" customHeight="1">
      <c r="A277" s="22" t="s">
        <v>6777</v>
      </c>
      <c r="B277" s="22" t="s">
        <v>6776</v>
      </c>
      <c r="C277" s="23" t="s">
        <v>6778</v>
      </c>
      <c r="D277" s="30" t="s">
        <v>2</v>
      </c>
      <c r="E277" s="94" t="e">
        <f t="shared" si="20"/>
        <v>#VALUE!</v>
      </c>
      <c r="F277" s="94" t="e">
        <f t="shared" si="21"/>
        <v>#VALUE!</v>
      </c>
    </row>
    <row r="278" spans="1:11" ht="20.100000000000001" customHeight="1">
      <c r="A278" s="22" t="s">
        <v>6683</v>
      </c>
      <c r="B278" s="22" t="s">
        <v>6682</v>
      </c>
      <c r="C278" s="23" t="s">
        <v>6684</v>
      </c>
      <c r="D278" s="30" t="s">
        <v>2</v>
      </c>
      <c r="E278" s="94" t="e">
        <f t="shared" si="20"/>
        <v>#VALUE!</v>
      </c>
      <c r="F278" s="94" t="e">
        <f t="shared" si="21"/>
        <v>#VALUE!</v>
      </c>
    </row>
    <row r="279" spans="1:11" ht="20.100000000000001" customHeight="1">
      <c r="A279" s="21" t="s">
        <v>6683</v>
      </c>
      <c r="B279" s="21" t="s">
        <v>8572</v>
      </c>
      <c r="C279" s="28" t="s">
        <v>8574</v>
      </c>
      <c r="D279" s="21">
        <v>567</v>
      </c>
      <c r="E279" s="94">
        <f t="shared" si="20"/>
        <v>20.790000000000003</v>
      </c>
      <c r="F279" s="94">
        <f t="shared" si="21"/>
        <v>22.68</v>
      </c>
      <c r="I279" s="91">
        <v>45518</v>
      </c>
      <c r="J279" s="1" t="s">
        <v>8573</v>
      </c>
    </row>
    <row r="280" spans="1:11" ht="20.100000000000001" customHeight="1">
      <c r="A280" s="22" t="s">
        <v>6680</v>
      </c>
      <c r="B280" s="22" t="s">
        <v>6679</v>
      </c>
      <c r="C280" s="23" t="s">
        <v>6681</v>
      </c>
      <c r="D280" s="30" t="s">
        <v>2</v>
      </c>
      <c r="E280" s="94" t="e">
        <f t="shared" si="20"/>
        <v>#VALUE!</v>
      </c>
      <c r="F280" s="94" t="e">
        <f t="shared" si="21"/>
        <v>#VALUE!</v>
      </c>
    </row>
    <row r="281" spans="1:11" ht="20.100000000000001" customHeight="1">
      <c r="A281" s="22" t="s">
        <v>7027</v>
      </c>
      <c r="B281" s="22" t="s">
        <v>7026</v>
      </c>
      <c r="C281" s="23" t="s">
        <v>7028</v>
      </c>
      <c r="D281" s="30" t="s">
        <v>2</v>
      </c>
      <c r="E281" s="94" t="e">
        <f t="shared" si="20"/>
        <v>#VALUE!</v>
      </c>
      <c r="F281" s="94" t="e">
        <f t="shared" si="21"/>
        <v>#VALUE!</v>
      </c>
    </row>
    <row r="282" spans="1:11" ht="20.100000000000001" customHeight="1">
      <c r="A282" s="22" t="s">
        <v>6832</v>
      </c>
      <c r="B282" s="22" t="s">
        <v>6831</v>
      </c>
      <c r="C282" s="23" t="s">
        <v>6833</v>
      </c>
      <c r="D282" s="30">
        <v>350.2</v>
      </c>
      <c r="E282" s="94">
        <f t="shared" si="20"/>
        <v>12.840666666666667</v>
      </c>
      <c r="F282" s="94">
        <f t="shared" si="21"/>
        <v>14.007999999999999</v>
      </c>
    </row>
    <row r="283" spans="1:11" ht="20.100000000000001" customHeight="1">
      <c r="A283" s="22" t="s">
        <v>6789</v>
      </c>
      <c r="B283" s="22" t="s">
        <v>6788</v>
      </c>
      <c r="C283" s="23" t="s">
        <v>6790</v>
      </c>
      <c r="D283" s="30">
        <v>574.00869999999998</v>
      </c>
      <c r="E283" s="94">
        <f t="shared" si="20"/>
        <v>21.046985666666668</v>
      </c>
      <c r="F283" s="94">
        <f t="shared" si="21"/>
        <v>22.960348</v>
      </c>
    </row>
    <row r="284" spans="1:11" ht="20.100000000000001" customHeight="1">
      <c r="A284" s="22" t="s">
        <v>6792</v>
      </c>
      <c r="B284" s="22" t="s">
        <v>6791</v>
      </c>
      <c r="C284" s="23" t="s">
        <v>6793</v>
      </c>
      <c r="D284" s="30" t="s">
        <v>2</v>
      </c>
      <c r="E284" s="94" t="e">
        <f t="shared" si="20"/>
        <v>#VALUE!</v>
      </c>
      <c r="F284" s="94" t="e">
        <f t="shared" si="21"/>
        <v>#VALUE!</v>
      </c>
    </row>
    <row r="285" spans="1:11" ht="20.100000000000001" customHeight="1">
      <c r="A285" s="22" t="s">
        <v>6795</v>
      </c>
      <c r="B285" s="22" t="s">
        <v>6794</v>
      </c>
      <c r="C285" s="23" t="s">
        <v>6796</v>
      </c>
      <c r="D285" s="30">
        <v>612.85</v>
      </c>
      <c r="E285" s="94">
        <f t="shared" ref="E285:E316" si="22">+(D285*1.1/30)</f>
        <v>22.471166666666669</v>
      </c>
      <c r="F285" s="94">
        <f t="shared" ref="F285:F318" si="23">+(D285*1.2/30)</f>
        <v>24.513999999999999</v>
      </c>
    </row>
    <row r="286" spans="1:11" ht="20.100000000000001" customHeight="1">
      <c r="A286" s="22" t="s">
        <v>6604</v>
      </c>
      <c r="B286" s="22" t="s">
        <v>6603</v>
      </c>
      <c r="C286" s="23" t="s">
        <v>6605</v>
      </c>
      <c r="D286" s="30" t="s">
        <v>2</v>
      </c>
      <c r="E286" s="94" t="e">
        <f t="shared" si="22"/>
        <v>#VALUE!</v>
      </c>
      <c r="F286" s="94" t="e">
        <f t="shared" si="23"/>
        <v>#VALUE!</v>
      </c>
    </row>
    <row r="287" spans="1:11" ht="20.100000000000001" customHeight="1">
      <c r="A287" s="22" t="s">
        <v>6798</v>
      </c>
      <c r="B287" s="22" t="s">
        <v>6797</v>
      </c>
      <c r="C287" s="23" t="s">
        <v>6620</v>
      </c>
      <c r="D287" s="30" t="s">
        <v>2</v>
      </c>
      <c r="E287" s="94" t="e">
        <f t="shared" si="22"/>
        <v>#VALUE!</v>
      </c>
      <c r="F287" s="94" t="e">
        <f t="shared" si="23"/>
        <v>#VALUE!</v>
      </c>
    </row>
    <row r="288" spans="1:11" ht="20.100000000000001" customHeight="1">
      <c r="A288" s="22" t="s">
        <v>6861</v>
      </c>
      <c r="B288" s="22" t="s">
        <v>6860</v>
      </c>
      <c r="C288" s="23" t="s">
        <v>6862</v>
      </c>
      <c r="D288" s="30">
        <v>585.04</v>
      </c>
      <c r="E288" s="94">
        <f t="shared" si="22"/>
        <v>21.451466666666665</v>
      </c>
      <c r="F288" s="94">
        <f t="shared" si="23"/>
        <v>23.401599999999995</v>
      </c>
    </row>
    <row r="289" spans="1:8" ht="20.100000000000001" customHeight="1">
      <c r="A289" s="22" t="s">
        <v>7415</v>
      </c>
      <c r="B289" s="22" t="s">
        <v>7414</v>
      </c>
      <c r="C289" s="23" t="s">
        <v>7416</v>
      </c>
      <c r="D289" s="30" t="s">
        <v>2</v>
      </c>
      <c r="E289" s="94" t="e">
        <f t="shared" si="22"/>
        <v>#VALUE!</v>
      </c>
      <c r="F289" s="94" t="e">
        <f t="shared" si="23"/>
        <v>#VALUE!</v>
      </c>
    </row>
    <row r="290" spans="1:8" ht="20.100000000000001" customHeight="1">
      <c r="A290" s="22" t="s">
        <v>6866</v>
      </c>
      <c r="B290" s="22" t="s">
        <v>6865</v>
      </c>
      <c r="C290" s="23" t="s">
        <v>6867</v>
      </c>
      <c r="D290" s="30">
        <v>370</v>
      </c>
      <c r="E290" s="94">
        <f t="shared" si="22"/>
        <v>13.566666666666668</v>
      </c>
      <c r="F290" s="94">
        <f t="shared" si="23"/>
        <v>14.8</v>
      </c>
      <c r="H290" s="58">
        <v>45167</v>
      </c>
    </row>
    <row r="291" spans="1:8" ht="20.100000000000001" customHeight="1">
      <c r="A291" s="22" t="s">
        <v>6869</v>
      </c>
      <c r="B291" s="22" t="s">
        <v>6868</v>
      </c>
      <c r="C291" s="23" t="s">
        <v>6870</v>
      </c>
      <c r="D291" s="30">
        <v>503.92750000000001</v>
      </c>
      <c r="E291" s="94">
        <f t="shared" si="22"/>
        <v>18.477341666666671</v>
      </c>
      <c r="F291" s="94">
        <f t="shared" si="23"/>
        <v>20.1571</v>
      </c>
    </row>
    <row r="292" spans="1:8" ht="20.100000000000001" customHeight="1">
      <c r="A292" s="22" t="s">
        <v>6872</v>
      </c>
      <c r="B292" s="22" t="s">
        <v>6871</v>
      </c>
      <c r="C292" s="23" t="s">
        <v>6873</v>
      </c>
      <c r="D292" s="30" t="s">
        <v>2</v>
      </c>
      <c r="E292" s="94" t="e">
        <f t="shared" si="22"/>
        <v>#VALUE!</v>
      </c>
      <c r="F292" s="94" t="e">
        <f t="shared" si="23"/>
        <v>#VALUE!</v>
      </c>
    </row>
    <row r="293" spans="1:8" ht="20.100000000000001" customHeight="1">
      <c r="A293" s="22" t="s">
        <v>6875</v>
      </c>
      <c r="B293" s="22" t="s">
        <v>6874</v>
      </c>
      <c r="C293" s="23" t="s">
        <v>6876</v>
      </c>
      <c r="D293" s="30" t="s">
        <v>2</v>
      </c>
      <c r="E293" s="94" t="e">
        <f t="shared" si="22"/>
        <v>#VALUE!</v>
      </c>
      <c r="F293" s="94" t="e">
        <f t="shared" si="23"/>
        <v>#VALUE!</v>
      </c>
    </row>
    <row r="294" spans="1:8" ht="20.100000000000001" customHeight="1">
      <c r="A294" s="22" t="s">
        <v>6920</v>
      </c>
      <c r="B294" s="22" t="s">
        <v>6919</v>
      </c>
      <c r="C294" s="23" t="s">
        <v>6921</v>
      </c>
      <c r="D294" s="30" t="s">
        <v>2</v>
      </c>
      <c r="E294" s="94" t="e">
        <f t="shared" si="22"/>
        <v>#VALUE!</v>
      </c>
      <c r="F294" s="94" t="e">
        <f t="shared" si="23"/>
        <v>#VALUE!</v>
      </c>
    </row>
    <row r="295" spans="1:8" ht="20.100000000000001" customHeight="1">
      <c r="A295" s="22" t="s">
        <v>6893</v>
      </c>
      <c r="B295" s="22" t="s">
        <v>6892</v>
      </c>
      <c r="C295" s="23" t="s">
        <v>6894</v>
      </c>
      <c r="D295" s="30" t="s">
        <v>2</v>
      </c>
      <c r="E295" s="94" t="e">
        <f t="shared" si="22"/>
        <v>#VALUE!</v>
      </c>
      <c r="F295" s="94" t="e">
        <f t="shared" si="23"/>
        <v>#VALUE!</v>
      </c>
    </row>
    <row r="296" spans="1:8" ht="20.100000000000001" customHeight="1">
      <c r="A296" s="22" t="s">
        <v>7060</v>
      </c>
      <c r="B296" s="22" t="s">
        <v>7059</v>
      </c>
      <c r="C296" s="23" t="s">
        <v>7061</v>
      </c>
      <c r="D296" s="30" t="s">
        <v>2</v>
      </c>
      <c r="E296" s="94" t="e">
        <f t="shared" si="22"/>
        <v>#VALUE!</v>
      </c>
      <c r="F296" s="94" t="e">
        <f t="shared" si="23"/>
        <v>#VALUE!</v>
      </c>
    </row>
    <row r="297" spans="1:8" ht="20.100000000000001" customHeight="1">
      <c r="A297" s="22" t="s">
        <v>6922</v>
      </c>
      <c r="B297" s="22" t="s">
        <v>7995</v>
      </c>
      <c r="C297" s="23" t="s">
        <v>6923</v>
      </c>
      <c r="D297" s="30" t="s">
        <v>2</v>
      </c>
      <c r="E297" s="94" t="e">
        <f t="shared" si="22"/>
        <v>#VALUE!</v>
      </c>
      <c r="F297" s="94" t="e">
        <f t="shared" si="23"/>
        <v>#VALUE!</v>
      </c>
    </row>
    <row r="298" spans="1:8" ht="20.100000000000001" customHeight="1">
      <c r="A298" s="22" t="s">
        <v>7030</v>
      </c>
      <c r="B298" s="22" t="s">
        <v>7029</v>
      </c>
      <c r="C298" s="23" t="s">
        <v>7031</v>
      </c>
      <c r="D298" s="30">
        <v>518.28570000000002</v>
      </c>
      <c r="E298" s="94">
        <f t="shared" si="22"/>
        <v>19.003809</v>
      </c>
      <c r="F298" s="94">
        <f t="shared" si="23"/>
        <v>20.731428000000001</v>
      </c>
    </row>
    <row r="299" spans="1:8" ht="20.100000000000001" customHeight="1">
      <c r="A299" s="22" t="s">
        <v>6958</v>
      </c>
      <c r="B299" s="22" t="s">
        <v>6957</v>
      </c>
      <c r="C299" s="23" t="s">
        <v>6959</v>
      </c>
      <c r="D299" s="30" t="s">
        <v>2</v>
      </c>
      <c r="E299" s="94" t="e">
        <f t="shared" si="22"/>
        <v>#VALUE!</v>
      </c>
      <c r="F299" s="94" t="e">
        <f t="shared" si="23"/>
        <v>#VALUE!</v>
      </c>
    </row>
    <row r="300" spans="1:8" ht="20.100000000000001" customHeight="1">
      <c r="A300" s="22" t="s">
        <v>7063</v>
      </c>
      <c r="B300" s="22" t="s">
        <v>7062</v>
      </c>
      <c r="C300" s="23" t="s">
        <v>7064</v>
      </c>
      <c r="D300" s="30">
        <v>747.78</v>
      </c>
      <c r="E300" s="94">
        <f t="shared" si="22"/>
        <v>27.418600000000001</v>
      </c>
      <c r="F300" s="94">
        <f t="shared" si="23"/>
        <v>29.911199999999997</v>
      </c>
    </row>
    <row r="301" spans="1:8" ht="20.100000000000001" customHeight="1">
      <c r="A301" s="22" t="s">
        <v>6855</v>
      </c>
      <c r="B301" s="22" t="s">
        <v>6854</v>
      </c>
      <c r="C301" s="23" t="s">
        <v>6856</v>
      </c>
      <c r="D301" s="30">
        <v>611.19169999999997</v>
      </c>
      <c r="E301" s="94">
        <f t="shared" si="22"/>
        <v>22.410362333333335</v>
      </c>
      <c r="F301" s="94">
        <f t="shared" si="23"/>
        <v>24.447668</v>
      </c>
    </row>
    <row r="302" spans="1:8" ht="20.100000000000001" customHeight="1">
      <c r="A302" s="22" t="s">
        <v>6896</v>
      </c>
      <c r="B302" s="22" t="s">
        <v>6895</v>
      </c>
      <c r="C302" s="23" t="s">
        <v>6897</v>
      </c>
      <c r="D302" s="30">
        <v>1097.98</v>
      </c>
      <c r="E302" s="94">
        <f t="shared" si="22"/>
        <v>40.259266666666669</v>
      </c>
      <c r="F302" s="94">
        <f t="shared" si="23"/>
        <v>43.919200000000004</v>
      </c>
    </row>
    <row r="303" spans="1:8" ht="20.100000000000001" customHeight="1">
      <c r="A303" s="22" t="s">
        <v>7066</v>
      </c>
      <c r="B303" s="22" t="s">
        <v>7065</v>
      </c>
      <c r="C303" s="23" t="s">
        <v>7067</v>
      </c>
      <c r="D303" s="30">
        <v>609.76</v>
      </c>
      <c r="E303" s="94">
        <f t="shared" si="22"/>
        <v>22.357866666666666</v>
      </c>
      <c r="F303" s="94">
        <f t="shared" si="23"/>
        <v>24.3904</v>
      </c>
    </row>
    <row r="304" spans="1:8" ht="20.100000000000001" customHeight="1">
      <c r="A304" s="22" t="s">
        <v>7003</v>
      </c>
      <c r="B304" s="22" t="s">
        <v>7002</v>
      </c>
      <c r="C304" s="23" t="s">
        <v>7004</v>
      </c>
      <c r="D304" s="30">
        <v>3200</v>
      </c>
      <c r="E304" s="94">
        <f t="shared" si="22"/>
        <v>117.33333333333334</v>
      </c>
      <c r="F304" s="94">
        <f t="shared" si="23"/>
        <v>128</v>
      </c>
    </row>
    <row r="305" spans="1:7" ht="20.100000000000001" customHeight="1">
      <c r="A305" s="22" t="s">
        <v>6931</v>
      </c>
      <c r="B305" s="22" t="s">
        <v>6930</v>
      </c>
      <c r="C305" s="23" t="s">
        <v>6932</v>
      </c>
      <c r="D305" s="30">
        <v>567.58150000000001</v>
      </c>
      <c r="E305" s="94">
        <f t="shared" si="22"/>
        <v>20.811321666666668</v>
      </c>
      <c r="F305" s="94">
        <f t="shared" si="23"/>
        <v>22.70326</v>
      </c>
    </row>
    <row r="306" spans="1:7" ht="20.100000000000001" customHeight="1">
      <c r="A306" s="22" t="s">
        <v>6961</v>
      </c>
      <c r="B306" s="22" t="s">
        <v>6960</v>
      </c>
      <c r="C306" s="23" t="s">
        <v>6962</v>
      </c>
      <c r="D306" s="30">
        <v>753.23899999999992</v>
      </c>
      <c r="E306" s="94">
        <f t="shared" si="22"/>
        <v>27.618763333333334</v>
      </c>
      <c r="F306" s="94">
        <f t="shared" si="23"/>
        <v>30.129559999999994</v>
      </c>
    </row>
    <row r="307" spans="1:7" ht="20.100000000000001" customHeight="1">
      <c r="A307" s="22" t="s">
        <v>6269</v>
      </c>
      <c r="B307" s="22" t="s">
        <v>6268</v>
      </c>
      <c r="C307" s="23" t="s">
        <v>6245</v>
      </c>
      <c r="D307" s="30">
        <v>757.05000000000007</v>
      </c>
      <c r="E307" s="94">
        <f t="shared" si="22"/>
        <v>27.758500000000005</v>
      </c>
      <c r="F307" s="94">
        <f t="shared" si="23"/>
        <v>30.282</v>
      </c>
    </row>
    <row r="308" spans="1:7" ht="20.100000000000001" customHeight="1">
      <c r="A308" s="22" t="s">
        <v>6899</v>
      </c>
      <c r="B308" s="22" t="s">
        <v>6898</v>
      </c>
      <c r="C308" s="23" t="s">
        <v>6900</v>
      </c>
      <c r="D308" s="30">
        <v>906.4</v>
      </c>
      <c r="E308" s="94">
        <f t="shared" si="22"/>
        <v>33.234666666666669</v>
      </c>
      <c r="F308" s="94">
        <f t="shared" si="23"/>
        <v>36.255999999999993</v>
      </c>
    </row>
    <row r="309" spans="1:7" ht="20.100000000000001" customHeight="1">
      <c r="A309" s="22" t="s">
        <v>6967</v>
      </c>
      <c r="B309" s="22" t="s">
        <v>6966</v>
      </c>
      <c r="C309" s="23" t="s">
        <v>6968</v>
      </c>
      <c r="D309" s="30" t="s">
        <v>2</v>
      </c>
      <c r="E309" s="94" t="e">
        <f t="shared" si="22"/>
        <v>#VALUE!</v>
      </c>
      <c r="F309" s="94" t="e">
        <f t="shared" si="23"/>
        <v>#VALUE!</v>
      </c>
    </row>
    <row r="310" spans="1:7" ht="20.100000000000001" customHeight="1">
      <c r="A310" s="22" t="s">
        <v>7006</v>
      </c>
      <c r="B310" s="22" t="s">
        <v>7005</v>
      </c>
      <c r="C310" s="23" t="s">
        <v>7007</v>
      </c>
      <c r="D310" s="30" t="s">
        <v>2</v>
      </c>
      <c r="E310" s="94" t="e">
        <f t="shared" si="22"/>
        <v>#VALUE!</v>
      </c>
      <c r="F310" s="94" t="e">
        <f t="shared" si="23"/>
        <v>#VALUE!</v>
      </c>
    </row>
    <row r="311" spans="1:7" ht="20.100000000000001" customHeight="1">
      <c r="A311" s="22" t="s">
        <v>7036</v>
      </c>
      <c r="B311" s="22" t="s">
        <v>7035</v>
      </c>
      <c r="C311" s="23" t="s">
        <v>7037</v>
      </c>
      <c r="D311" s="30" t="s">
        <v>2</v>
      </c>
      <c r="E311" s="94" t="e">
        <f t="shared" si="22"/>
        <v>#VALUE!</v>
      </c>
      <c r="F311" s="94" t="e">
        <f t="shared" si="23"/>
        <v>#VALUE!</v>
      </c>
    </row>
    <row r="312" spans="1:7" ht="20.100000000000001" customHeight="1">
      <c r="A312" s="22" t="s">
        <v>7069</v>
      </c>
      <c r="B312" s="22" t="s">
        <v>7068</v>
      </c>
      <c r="C312" s="23" t="s">
        <v>7070</v>
      </c>
      <c r="D312" s="30" t="s">
        <v>2</v>
      </c>
      <c r="E312" s="94" t="e">
        <f t="shared" si="22"/>
        <v>#VALUE!</v>
      </c>
      <c r="F312" s="94" t="e">
        <f t="shared" si="23"/>
        <v>#VALUE!</v>
      </c>
    </row>
    <row r="313" spans="1:7" ht="20.100000000000001" customHeight="1">
      <c r="A313" s="22" t="s">
        <v>7477</v>
      </c>
      <c r="B313" s="22" t="s">
        <v>7476</v>
      </c>
      <c r="C313" s="23" t="s">
        <v>7478</v>
      </c>
      <c r="D313" s="30">
        <v>1879.75</v>
      </c>
      <c r="E313" s="94">
        <f t="shared" si="22"/>
        <v>68.924166666666679</v>
      </c>
      <c r="F313" s="94">
        <f t="shared" si="23"/>
        <v>75.19</v>
      </c>
    </row>
    <row r="314" spans="1:7" ht="20.100000000000001" customHeight="1">
      <c r="A314" s="22" t="s">
        <v>7074</v>
      </c>
      <c r="B314" s="22" t="s">
        <v>7073</v>
      </c>
      <c r="C314" s="23" t="s">
        <v>7075</v>
      </c>
      <c r="D314" s="30" t="s">
        <v>2</v>
      </c>
      <c r="E314" s="94" t="e">
        <f t="shared" si="22"/>
        <v>#VALUE!</v>
      </c>
      <c r="F314" s="94" t="e">
        <f t="shared" si="23"/>
        <v>#VALUE!</v>
      </c>
    </row>
    <row r="315" spans="1:7" ht="20.100000000000001" customHeight="1">
      <c r="A315" s="22" t="s">
        <v>7077</v>
      </c>
      <c r="B315" s="22" t="s">
        <v>7076</v>
      </c>
      <c r="C315" s="23" t="s">
        <v>7078</v>
      </c>
      <c r="D315" s="30" t="s">
        <v>2</v>
      </c>
      <c r="E315" s="94" t="e">
        <f t="shared" si="22"/>
        <v>#VALUE!</v>
      </c>
      <c r="F315" s="94" t="e">
        <f t="shared" si="23"/>
        <v>#VALUE!</v>
      </c>
    </row>
    <row r="316" spans="1:7" ht="20.100000000000001" customHeight="1">
      <c r="A316" s="22" t="s">
        <v>7080</v>
      </c>
      <c r="B316" s="22" t="s">
        <v>7079</v>
      </c>
      <c r="C316" s="23" t="s">
        <v>7081</v>
      </c>
      <c r="D316" s="30" t="s">
        <v>2</v>
      </c>
      <c r="E316" s="94" t="e">
        <f t="shared" si="22"/>
        <v>#VALUE!</v>
      </c>
      <c r="F316" s="94" t="e">
        <f t="shared" si="23"/>
        <v>#VALUE!</v>
      </c>
    </row>
    <row r="317" spans="1:7" ht="20.100000000000001" customHeight="1">
      <c r="A317" s="22" t="s">
        <v>7316</v>
      </c>
      <c r="B317" s="22" t="s">
        <v>7315</v>
      </c>
      <c r="C317" s="23" t="s">
        <v>7317</v>
      </c>
      <c r="D317" s="30" t="s">
        <v>2</v>
      </c>
      <c r="E317" s="94" t="e">
        <f t="shared" ref="E317:E318" si="24">+(D317*1.1/30)</f>
        <v>#VALUE!</v>
      </c>
      <c r="F317" s="94" t="e">
        <f t="shared" si="23"/>
        <v>#VALUE!</v>
      </c>
    </row>
    <row r="318" spans="1:7" ht="20.100000000000001" customHeight="1">
      <c r="A318" s="22" t="s">
        <v>7618</v>
      </c>
      <c r="B318" s="22" t="s">
        <v>7617</v>
      </c>
      <c r="C318" s="23" t="s">
        <v>7619</v>
      </c>
      <c r="D318" s="30" t="s">
        <v>2</v>
      </c>
      <c r="E318" s="94" t="e">
        <f t="shared" si="24"/>
        <v>#VALUE!</v>
      </c>
      <c r="F318" s="94" t="e">
        <f t="shared" si="23"/>
        <v>#VALUE!</v>
      </c>
    </row>
    <row r="319" spans="1:7" ht="20.100000000000001" customHeight="1">
      <c r="A319" s="38" t="s">
        <v>6299</v>
      </c>
      <c r="B319" s="38" t="s">
        <v>6298</v>
      </c>
      <c r="C319" s="39" t="s">
        <v>6300</v>
      </c>
      <c r="D319" s="40">
        <v>556.20000000000005</v>
      </c>
      <c r="E319" s="100">
        <v>17.8</v>
      </c>
      <c r="F319" s="100">
        <v>19.8</v>
      </c>
      <c r="G319" s="56" t="s">
        <v>8010</v>
      </c>
    </row>
    <row r="320" spans="1:7" ht="20.100000000000001" customHeight="1">
      <c r="A320" s="22" t="s">
        <v>7083</v>
      </c>
      <c r="B320" s="22" t="s">
        <v>7082</v>
      </c>
      <c r="C320" s="23" t="s">
        <v>7081</v>
      </c>
      <c r="D320" s="30">
        <v>999.1</v>
      </c>
      <c r="E320" s="94">
        <f>+(D320*1.1/30)</f>
        <v>36.633666666666677</v>
      </c>
      <c r="F320" s="94">
        <f>+(D320*1.2/30)</f>
        <v>39.964000000000006</v>
      </c>
    </row>
    <row r="321" spans="1:7" ht="20.100000000000001" customHeight="1">
      <c r="A321" s="22" t="s">
        <v>7085</v>
      </c>
      <c r="B321" s="22" t="s">
        <v>7084</v>
      </c>
      <c r="C321" s="23" t="s">
        <v>7086</v>
      </c>
      <c r="D321" s="30" t="s">
        <v>2</v>
      </c>
      <c r="E321" s="94" t="e">
        <f>+(D321*1.1/30)</f>
        <v>#VALUE!</v>
      </c>
      <c r="F321" s="94" t="e">
        <f>+(D321*1.2/30)</f>
        <v>#VALUE!</v>
      </c>
    </row>
    <row r="322" spans="1:7" ht="20.100000000000001" customHeight="1">
      <c r="A322" s="22" t="s">
        <v>7135</v>
      </c>
      <c r="B322" s="22" t="s">
        <v>7134</v>
      </c>
      <c r="C322" s="23" t="s">
        <v>7136</v>
      </c>
      <c r="D322" s="30" t="s">
        <v>2</v>
      </c>
      <c r="E322" s="94" t="e">
        <f>+(D322*1.1/30)</f>
        <v>#VALUE!</v>
      </c>
      <c r="F322" s="94" t="e">
        <f>+(D322*1.2/30)</f>
        <v>#VALUE!</v>
      </c>
    </row>
    <row r="323" spans="1:7" ht="20.100000000000001" customHeight="1">
      <c r="A323" s="22" t="s">
        <v>7088</v>
      </c>
      <c r="B323" s="22" t="s">
        <v>7087</v>
      </c>
      <c r="C323" s="23" t="s">
        <v>7089</v>
      </c>
      <c r="D323" s="30" t="s">
        <v>2</v>
      </c>
      <c r="E323" s="94" t="e">
        <f>+(D323*1.1/30)</f>
        <v>#VALUE!</v>
      </c>
      <c r="F323" s="94" t="e">
        <f>+(D323*1.2/30)</f>
        <v>#VALUE!</v>
      </c>
    </row>
    <row r="324" spans="1:7" ht="20.100000000000001" customHeight="1">
      <c r="A324" s="22" t="s">
        <v>7091</v>
      </c>
      <c r="B324" s="22" t="s">
        <v>7090</v>
      </c>
      <c r="C324" s="23" t="s">
        <v>7092</v>
      </c>
      <c r="D324" s="30" t="s">
        <v>2</v>
      </c>
      <c r="E324" s="94" t="e">
        <f>+(D324*1.1/30)</f>
        <v>#VALUE!</v>
      </c>
      <c r="F324" s="94" t="e">
        <f>+(D324*1.2/30)</f>
        <v>#VALUE!</v>
      </c>
    </row>
    <row r="325" spans="1:7" ht="20.100000000000001" customHeight="1">
      <c r="A325" s="22" t="s">
        <v>8425</v>
      </c>
      <c r="B325" s="22" t="s">
        <v>8426</v>
      </c>
      <c r="C325" s="23"/>
      <c r="D325" s="30"/>
    </row>
    <row r="326" spans="1:7" ht="20.100000000000001" customHeight="1">
      <c r="A326" s="22" t="s">
        <v>7094</v>
      </c>
      <c r="B326" s="22" t="s">
        <v>7093</v>
      </c>
      <c r="C326" s="23" t="s">
        <v>7095</v>
      </c>
      <c r="D326" s="30" t="s">
        <v>2</v>
      </c>
      <c r="E326" s="94" t="e">
        <f t="shared" ref="E326:E333" si="25">+(D326*1.1/30)</f>
        <v>#VALUE!</v>
      </c>
      <c r="F326" s="94" t="e">
        <f t="shared" ref="F326:F333" si="26">+(D326*1.2/30)</f>
        <v>#VALUE!</v>
      </c>
    </row>
    <row r="327" spans="1:7" ht="20.100000000000001" customHeight="1">
      <c r="A327" s="22" t="s">
        <v>7097</v>
      </c>
      <c r="B327" s="22" t="s">
        <v>7096</v>
      </c>
      <c r="C327" s="23" t="s">
        <v>7098</v>
      </c>
      <c r="D327" s="30" t="s">
        <v>2</v>
      </c>
      <c r="E327" s="94" t="e">
        <f t="shared" si="25"/>
        <v>#VALUE!</v>
      </c>
      <c r="F327" s="94" t="e">
        <f t="shared" si="26"/>
        <v>#VALUE!</v>
      </c>
    </row>
    <row r="328" spans="1:7" ht="20.100000000000001" customHeight="1">
      <c r="A328" s="22" t="s">
        <v>6970</v>
      </c>
      <c r="B328" s="22" t="s">
        <v>6969</v>
      </c>
      <c r="C328" s="23" t="s">
        <v>6971</v>
      </c>
      <c r="D328" s="30">
        <v>737.48</v>
      </c>
      <c r="E328" s="94">
        <f t="shared" si="25"/>
        <v>27.040933333333335</v>
      </c>
      <c r="F328" s="94">
        <f t="shared" si="26"/>
        <v>29.499199999999998</v>
      </c>
    </row>
    <row r="329" spans="1:7" ht="20.100000000000001" customHeight="1">
      <c r="A329" s="22" t="s">
        <v>7319</v>
      </c>
      <c r="B329" s="22" t="s">
        <v>7318</v>
      </c>
      <c r="C329" s="23" t="s">
        <v>7320</v>
      </c>
      <c r="D329" s="30" t="s">
        <v>2</v>
      </c>
      <c r="E329" s="94" t="e">
        <f t="shared" si="25"/>
        <v>#VALUE!</v>
      </c>
      <c r="F329" s="94" t="e">
        <f t="shared" si="26"/>
        <v>#VALUE!</v>
      </c>
    </row>
    <row r="330" spans="1:7" ht="20.100000000000001" customHeight="1">
      <c r="A330" s="22" t="s">
        <v>7108</v>
      </c>
      <c r="B330" s="22" t="s">
        <v>7107</v>
      </c>
      <c r="C330" s="23" t="s">
        <v>7109</v>
      </c>
      <c r="D330" s="30">
        <v>780.74</v>
      </c>
      <c r="E330" s="94">
        <f t="shared" si="25"/>
        <v>28.627133333333337</v>
      </c>
      <c r="F330" s="94">
        <f t="shared" si="26"/>
        <v>31.229599999999998</v>
      </c>
    </row>
    <row r="331" spans="1:7" ht="20.100000000000001" customHeight="1">
      <c r="A331" s="22" t="s">
        <v>7111</v>
      </c>
      <c r="B331" s="22" t="s">
        <v>7110</v>
      </c>
      <c r="C331" s="23" t="s">
        <v>7112</v>
      </c>
      <c r="D331" s="30">
        <v>1114.46</v>
      </c>
      <c r="E331" s="94">
        <f t="shared" si="25"/>
        <v>40.863533333333336</v>
      </c>
      <c r="F331" s="94">
        <f t="shared" si="26"/>
        <v>44.578400000000002</v>
      </c>
    </row>
    <row r="332" spans="1:7" ht="20.100000000000001" customHeight="1">
      <c r="A332" s="22" t="s">
        <v>7588</v>
      </c>
      <c r="B332" s="22" t="s">
        <v>7587</v>
      </c>
      <c r="C332" s="23" t="s">
        <v>7589</v>
      </c>
      <c r="D332" s="30" t="s">
        <v>2</v>
      </c>
      <c r="E332" s="94" t="e">
        <f t="shared" si="25"/>
        <v>#VALUE!</v>
      </c>
      <c r="F332" s="94" t="e">
        <f t="shared" si="26"/>
        <v>#VALUE!</v>
      </c>
    </row>
    <row r="333" spans="1:7" ht="20.100000000000001" customHeight="1">
      <c r="A333" s="22" t="s">
        <v>7123</v>
      </c>
      <c r="B333" s="22" t="s">
        <v>7122</v>
      </c>
      <c r="C333" s="23" t="s">
        <v>7124</v>
      </c>
      <c r="D333" s="30">
        <v>912.37400000000002</v>
      </c>
      <c r="E333" s="94">
        <f t="shared" si="25"/>
        <v>33.45371333333334</v>
      </c>
      <c r="F333" s="94">
        <f t="shared" si="26"/>
        <v>36.494959999999999</v>
      </c>
    </row>
    <row r="334" spans="1:7" ht="20.100000000000001" customHeight="1">
      <c r="A334" s="36" t="s">
        <v>6302</v>
      </c>
      <c r="B334" s="36" t="s">
        <v>6301</v>
      </c>
      <c r="C334" s="37" t="s">
        <v>6303</v>
      </c>
      <c r="D334" s="33">
        <v>556.20000000000005</v>
      </c>
      <c r="E334" s="100">
        <v>17.8</v>
      </c>
      <c r="F334" s="100">
        <v>19.8</v>
      </c>
      <c r="G334" s="56" t="s">
        <v>8010</v>
      </c>
    </row>
    <row r="335" spans="1:7" ht="20.100000000000001" customHeight="1">
      <c r="A335" s="22" t="s">
        <v>7917</v>
      </c>
      <c r="B335" s="22" t="s">
        <v>7916</v>
      </c>
      <c r="C335" s="23" t="s">
        <v>7918</v>
      </c>
      <c r="D335" s="30">
        <v>777.65</v>
      </c>
      <c r="E335" s="94">
        <f t="shared" ref="E335:E353" si="27">+(D335*1.1/30)</f>
        <v>28.513833333333334</v>
      </c>
      <c r="F335" s="94">
        <f t="shared" ref="F335:F354" si="28">+(D335*1.2/30)</f>
        <v>31.105999999999998</v>
      </c>
    </row>
    <row r="336" spans="1:7" ht="20.100000000000001" customHeight="1">
      <c r="A336" s="22" t="s">
        <v>7920</v>
      </c>
      <c r="B336" s="22" t="s">
        <v>7919</v>
      </c>
      <c r="C336" s="23" t="s">
        <v>7921</v>
      </c>
      <c r="D336" s="30">
        <v>777.65</v>
      </c>
      <c r="E336" s="94">
        <f t="shared" si="27"/>
        <v>28.513833333333334</v>
      </c>
      <c r="F336" s="94">
        <f t="shared" si="28"/>
        <v>31.105999999999998</v>
      </c>
    </row>
    <row r="337" spans="1:6" ht="20.100000000000001" customHeight="1">
      <c r="A337" s="22" t="s">
        <v>7126</v>
      </c>
      <c r="B337" s="22" t="s">
        <v>7125</v>
      </c>
      <c r="C337" s="23" t="s">
        <v>7127</v>
      </c>
      <c r="D337" s="30" t="s">
        <v>2</v>
      </c>
      <c r="E337" s="94" t="e">
        <f t="shared" si="27"/>
        <v>#VALUE!</v>
      </c>
      <c r="F337" s="94" t="e">
        <f t="shared" si="28"/>
        <v>#VALUE!</v>
      </c>
    </row>
    <row r="338" spans="1:6" ht="20.100000000000001" customHeight="1">
      <c r="A338" s="22" t="s">
        <v>7117</v>
      </c>
      <c r="B338" s="22" t="s">
        <v>7116</v>
      </c>
      <c r="C338" s="23" t="s">
        <v>7118</v>
      </c>
      <c r="D338" s="30" t="s">
        <v>2</v>
      </c>
      <c r="E338" s="94" t="e">
        <f t="shared" si="27"/>
        <v>#VALUE!</v>
      </c>
      <c r="F338" s="94" t="e">
        <f t="shared" si="28"/>
        <v>#VALUE!</v>
      </c>
    </row>
    <row r="339" spans="1:6" ht="20.100000000000001" customHeight="1">
      <c r="A339" s="22" t="s">
        <v>7129</v>
      </c>
      <c r="B339" s="22" t="s">
        <v>7128</v>
      </c>
      <c r="C339" s="23" t="s">
        <v>7130</v>
      </c>
      <c r="D339" s="30">
        <v>1100</v>
      </c>
      <c r="E339" s="94">
        <f t="shared" si="27"/>
        <v>40.333333333333336</v>
      </c>
      <c r="F339" s="94">
        <f t="shared" si="28"/>
        <v>44</v>
      </c>
    </row>
    <row r="340" spans="1:6" ht="20.100000000000001" customHeight="1">
      <c r="A340" s="22" t="s">
        <v>7120</v>
      </c>
      <c r="B340" s="22" t="s">
        <v>7119</v>
      </c>
      <c r="C340" s="23" t="s">
        <v>7121</v>
      </c>
      <c r="D340" s="30" t="s">
        <v>2</v>
      </c>
      <c r="E340" s="94" t="e">
        <f t="shared" si="27"/>
        <v>#VALUE!</v>
      </c>
      <c r="F340" s="94" t="e">
        <f t="shared" si="28"/>
        <v>#VALUE!</v>
      </c>
    </row>
    <row r="341" spans="1:6" ht="20.100000000000001" customHeight="1">
      <c r="A341" s="22" t="s">
        <v>7626</v>
      </c>
      <c r="B341" s="22" t="s">
        <v>7625</v>
      </c>
      <c r="C341" s="23" t="s">
        <v>7627</v>
      </c>
      <c r="D341" s="30" t="s">
        <v>2</v>
      </c>
      <c r="E341" s="94" t="e">
        <f t="shared" si="27"/>
        <v>#VALUE!</v>
      </c>
      <c r="F341" s="94" t="e">
        <f t="shared" si="28"/>
        <v>#VALUE!</v>
      </c>
    </row>
    <row r="342" spans="1:6" ht="20.100000000000001" customHeight="1">
      <c r="A342" s="22" t="s">
        <v>7138</v>
      </c>
      <c r="B342" s="22" t="s">
        <v>7137</v>
      </c>
      <c r="C342" s="23" t="s">
        <v>7139</v>
      </c>
      <c r="D342" s="30" t="s">
        <v>2</v>
      </c>
      <c r="E342" s="94" t="e">
        <f t="shared" si="27"/>
        <v>#VALUE!</v>
      </c>
      <c r="F342" s="94" t="e">
        <f t="shared" si="28"/>
        <v>#VALUE!</v>
      </c>
    </row>
    <row r="343" spans="1:6" ht="20.100000000000001" customHeight="1">
      <c r="A343" s="22" t="s">
        <v>7141</v>
      </c>
      <c r="B343" s="22" t="s">
        <v>7140</v>
      </c>
      <c r="C343" s="23" t="s">
        <v>7142</v>
      </c>
      <c r="D343" s="30">
        <v>638.6</v>
      </c>
      <c r="E343" s="94">
        <f t="shared" si="27"/>
        <v>23.415333333333333</v>
      </c>
      <c r="F343" s="94">
        <f t="shared" si="28"/>
        <v>25.544</v>
      </c>
    </row>
    <row r="344" spans="1:6" ht="20.100000000000001" customHeight="1">
      <c r="A344" s="22" t="s">
        <v>7144</v>
      </c>
      <c r="B344" s="22" t="s">
        <v>7143</v>
      </c>
      <c r="C344" s="23" t="s">
        <v>7145</v>
      </c>
      <c r="D344" s="30">
        <v>525.30000000000007</v>
      </c>
      <c r="E344" s="94">
        <f t="shared" si="27"/>
        <v>19.261000000000006</v>
      </c>
      <c r="F344" s="94">
        <f t="shared" si="28"/>
        <v>21.012</v>
      </c>
    </row>
    <row r="345" spans="1:6" ht="20.100000000000001" customHeight="1">
      <c r="A345" s="22" t="s">
        <v>7147</v>
      </c>
      <c r="B345" s="22" t="s">
        <v>7146</v>
      </c>
      <c r="C345" s="23" t="s">
        <v>7148</v>
      </c>
      <c r="D345" s="30" t="s">
        <v>2</v>
      </c>
      <c r="E345" s="94" t="e">
        <f t="shared" si="27"/>
        <v>#VALUE!</v>
      </c>
      <c r="F345" s="94" t="e">
        <f t="shared" si="28"/>
        <v>#VALUE!</v>
      </c>
    </row>
    <row r="346" spans="1:6" ht="20.100000000000001" customHeight="1">
      <c r="A346" s="22" t="s">
        <v>7153</v>
      </c>
      <c r="B346" s="22" t="s">
        <v>7152</v>
      </c>
      <c r="C346" s="23" t="s">
        <v>7154</v>
      </c>
      <c r="D346" s="30">
        <v>515</v>
      </c>
      <c r="E346" s="94">
        <f t="shared" si="27"/>
        <v>18.883333333333333</v>
      </c>
      <c r="F346" s="94">
        <f t="shared" si="28"/>
        <v>20.6</v>
      </c>
    </row>
    <row r="347" spans="1:6" ht="20.100000000000001" customHeight="1">
      <c r="A347" s="22" t="s">
        <v>7156</v>
      </c>
      <c r="B347" s="22" t="s">
        <v>7155</v>
      </c>
      <c r="C347" s="23" t="s">
        <v>10</v>
      </c>
      <c r="D347" s="30" t="s">
        <v>2</v>
      </c>
      <c r="E347" s="94" t="e">
        <f t="shared" si="27"/>
        <v>#VALUE!</v>
      </c>
      <c r="F347" s="94" t="e">
        <f t="shared" si="28"/>
        <v>#VALUE!</v>
      </c>
    </row>
    <row r="348" spans="1:6" ht="20.100000000000001" customHeight="1">
      <c r="A348" s="22" t="s">
        <v>7158</v>
      </c>
      <c r="B348" s="22" t="s">
        <v>7157</v>
      </c>
      <c r="C348" s="23" t="s">
        <v>7159</v>
      </c>
      <c r="D348" s="30">
        <v>453.2</v>
      </c>
      <c r="E348" s="94">
        <f t="shared" si="27"/>
        <v>16.617333333333335</v>
      </c>
      <c r="F348" s="94">
        <f t="shared" si="28"/>
        <v>18.127999999999997</v>
      </c>
    </row>
    <row r="349" spans="1:6" ht="20.100000000000001" customHeight="1">
      <c r="A349" s="22" t="s">
        <v>7161</v>
      </c>
      <c r="B349" s="22" t="s">
        <v>7160</v>
      </c>
      <c r="C349" s="23" t="s">
        <v>7162</v>
      </c>
      <c r="D349" s="30" t="s">
        <v>2</v>
      </c>
      <c r="E349" s="94" t="e">
        <f t="shared" si="27"/>
        <v>#VALUE!</v>
      </c>
      <c r="F349" s="94" t="e">
        <f t="shared" si="28"/>
        <v>#VALUE!</v>
      </c>
    </row>
    <row r="350" spans="1:6" ht="20.100000000000001" customHeight="1">
      <c r="A350" s="22" t="s">
        <v>7164</v>
      </c>
      <c r="B350" s="22" t="s">
        <v>7163</v>
      </c>
      <c r="C350" s="23" t="s">
        <v>7165</v>
      </c>
      <c r="D350" s="30">
        <v>870.35</v>
      </c>
      <c r="E350" s="94">
        <f t="shared" si="27"/>
        <v>31.912833333333335</v>
      </c>
      <c r="F350" s="94">
        <f t="shared" si="28"/>
        <v>34.814</v>
      </c>
    </row>
    <row r="351" spans="1:6" ht="20.100000000000001" customHeight="1">
      <c r="A351" s="22" t="s">
        <v>7167</v>
      </c>
      <c r="B351" s="22" t="s">
        <v>7166</v>
      </c>
      <c r="C351" s="23" t="s">
        <v>7168</v>
      </c>
      <c r="D351" s="30" t="s">
        <v>2</v>
      </c>
      <c r="E351" s="94" t="e">
        <f t="shared" si="27"/>
        <v>#VALUE!</v>
      </c>
      <c r="F351" s="94" t="e">
        <f t="shared" si="28"/>
        <v>#VALUE!</v>
      </c>
    </row>
    <row r="352" spans="1:6" ht="20.100000000000001" customHeight="1">
      <c r="A352" s="22" t="s">
        <v>7203</v>
      </c>
      <c r="B352" s="22" t="s">
        <v>7202</v>
      </c>
      <c r="C352" s="23" t="s">
        <v>7204</v>
      </c>
      <c r="D352" s="30">
        <v>746.75</v>
      </c>
      <c r="E352" s="94">
        <f t="shared" si="27"/>
        <v>27.380833333333335</v>
      </c>
      <c r="F352" s="94">
        <f t="shared" si="28"/>
        <v>29.87</v>
      </c>
    </row>
    <row r="353" spans="1:7" ht="20.100000000000001" customHeight="1">
      <c r="A353" s="22" t="s">
        <v>6479</v>
      </c>
      <c r="B353" s="22" t="s">
        <v>6478</v>
      </c>
      <c r="C353" s="23" t="s">
        <v>6480</v>
      </c>
      <c r="D353" s="30">
        <v>968.2</v>
      </c>
      <c r="E353" s="94">
        <f t="shared" si="27"/>
        <v>35.500666666666675</v>
      </c>
      <c r="F353" s="94">
        <f t="shared" si="28"/>
        <v>38.727999999999994</v>
      </c>
    </row>
    <row r="354" spans="1:7" ht="20.100000000000001" customHeight="1">
      <c r="A354" s="36" t="s">
        <v>7170</v>
      </c>
      <c r="B354" s="36" t="s">
        <v>7169</v>
      </c>
      <c r="C354" s="37" t="s">
        <v>7171</v>
      </c>
      <c r="D354" s="33" t="s">
        <v>2</v>
      </c>
      <c r="E354" s="100">
        <v>0</v>
      </c>
      <c r="F354" s="100" t="e">
        <f t="shared" si="28"/>
        <v>#VALUE!</v>
      </c>
      <c r="G354" s="56" t="s">
        <v>8007</v>
      </c>
    </row>
    <row r="355" spans="1:7" ht="20.100000000000001" customHeight="1">
      <c r="A355" s="36" t="s">
        <v>7638</v>
      </c>
      <c r="B355" s="36" t="s">
        <v>7637</v>
      </c>
      <c r="C355" s="37" t="s">
        <v>7639</v>
      </c>
      <c r="D355" s="33">
        <v>1422</v>
      </c>
      <c r="E355" s="100">
        <v>91</v>
      </c>
      <c r="F355" s="100">
        <v>93</v>
      </c>
      <c r="G355" s="56" t="s">
        <v>8007</v>
      </c>
    </row>
    <row r="356" spans="1:7" ht="20.100000000000001" customHeight="1">
      <c r="A356" s="22" t="s">
        <v>7638</v>
      </c>
      <c r="B356" s="22" t="s">
        <v>7637</v>
      </c>
      <c r="C356" s="23" t="s">
        <v>7787</v>
      </c>
      <c r="D356" s="30">
        <v>1292.6500000000001</v>
      </c>
      <c r="E356" s="94">
        <f t="shared" ref="E356:E419" si="29">+(D356*1.1/30)</f>
        <v>47.397166666666671</v>
      </c>
      <c r="F356" s="94">
        <f t="shared" ref="F356:F419" si="30">+(D356*1.2/30)</f>
        <v>51.706000000000003</v>
      </c>
    </row>
    <row r="357" spans="1:7" ht="20.100000000000001" customHeight="1">
      <c r="A357" s="22" t="s">
        <v>7197</v>
      </c>
      <c r="B357" s="22" t="s">
        <v>7188</v>
      </c>
      <c r="C357" s="23" t="s">
        <v>7198</v>
      </c>
      <c r="D357" s="30">
        <v>1200</v>
      </c>
      <c r="E357" s="94">
        <f t="shared" si="29"/>
        <v>44</v>
      </c>
      <c r="F357" s="94">
        <f t="shared" si="30"/>
        <v>48</v>
      </c>
    </row>
    <row r="358" spans="1:7" ht="20.100000000000001" customHeight="1">
      <c r="A358" s="22" t="s">
        <v>7173</v>
      </c>
      <c r="B358" s="22" t="s">
        <v>7172</v>
      </c>
      <c r="C358" s="23" t="s">
        <v>7174</v>
      </c>
      <c r="D358" s="30" t="s">
        <v>2</v>
      </c>
      <c r="E358" s="94" t="e">
        <f t="shared" si="29"/>
        <v>#VALUE!</v>
      </c>
      <c r="F358" s="94" t="e">
        <f t="shared" si="30"/>
        <v>#VALUE!</v>
      </c>
    </row>
    <row r="359" spans="1:7" ht="20.100000000000001" customHeight="1">
      <c r="A359" s="22" t="s">
        <v>6280</v>
      </c>
      <c r="B359" s="22" t="s">
        <v>6279</v>
      </c>
      <c r="C359" s="23" t="s">
        <v>6281</v>
      </c>
      <c r="D359" s="30">
        <v>648.9</v>
      </c>
      <c r="E359" s="94">
        <f t="shared" si="29"/>
        <v>23.793000000000003</v>
      </c>
      <c r="F359" s="94">
        <f t="shared" si="30"/>
        <v>25.956</v>
      </c>
    </row>
    <row r="360" spans="1:7" ht="20.100000000000001" customHeight="1">
      <c r="A360" s="22" t="s">
        <v>7178</v>
      </c>
      <c r="B360" s="22" t="s">
        <v>7177</v>
      </c>
      <c r="C360" s="23" t="s">
        <v>7179</v>
      </c>
      <c r="D360" s="30" t="s">
        <v>2</v>
      </c>
      <c r="E360" s="94" t="e">
        <f t="shared" si="29"/>
        <v>#VALUE!</v>
      </c>
      <c r="F360" s="94" t="e">
        <f t="shared" si="30"/>
        <v>#VALUE!</v>
      </c>
    </row>
    <row r="361" spans="1:7" ht="20.100000000000001" customHeight="1">
      <c r="A361" s="22" t="s">
        <v>7181</v>
      </c>
      <c r="B361" s="22" t="s">
        <v>7180</v>
      </c>
      <c r="C361" s="23" t="s">
        <v>7182</v>
      </c>
      <c r="D361" s="30" t="s">
        <v>2</v>
      </c>
      <c r="E361" s="94" t="e">
        <f t="shared" si="29"/>
        <v>#VALUE!</v>
      </c>
      <c r="F361" s="94" t="e">
        <f t="shared" si="30"/>
        <v>#VALUE!</v>
      </c>
    </row>
    <row r="362" spans="1:7" ht="20.100000000000001" customHeight="1">
      <c r="A362" s="22" t="s">
        <v>7189</v>
      </c>
      <c r="B362" s="22" t="s">
        <v>7188</v>
      </c>
      <c r="C362" s="23" t="s">
        <v>7190</v>
      </c>
      <c r="D362" s="30">
        <v>1160</v>
      </c>
      <c r="E362" s="94">
        <f t="shared" si="29"/>
        <v>42.533333333333331</v>
      </c>
      <c r="F362" s="94">
        <f t="shared" si="30"/>
        <v>46.4</v>
      </c>
    </row>
    <row r="363" spans="1:7" ht="20.100000000000001" customHeight="1">
      <c r="A363" s="22" t="s">
        <v>7274</v>
      </c>
      <c r="B363" s="22" t="s">
        <v>7273</v>
      </c>
      <c r="C363" s="23" t="s">
        <v>7275</v>
      </c>
      <c r="D363" s="30" t="s">
        <v>2</v>
      </c>
      <c r="E363" s="94" t="e">
        <f t="shared" si="29"/>
        <v>#VALUE!</v>
      </c>
      <c r="F363" s="94" t="e">
        <f t="shared" si="30"/>
        <v>#VALUE!</v>
      </c>
    </row>
    <row r="364" spans="1:7" ht="20.100000000000001" customHeight="1">
      <c r="A364" s="22" t="s">
        <v>7267</v>
      </c>
      <c r="B364" s="22" t="s">
        <v>7266</v>
      </c>
      <c r="C364" s="23" t="s">
        <v>7268</v>
      </c>
      <c r="D364" s="30" t="s">
        <v>2</v>
      </c>
      <c r="E364" s="94" t="e">
        <f t="shared" si="29"/>
        <v>#VALUE!</v>
      </c>
      <c r="F364" s="94" t="e">
        <f t="shared" si="30"/>
        <v>#VALUE!</v>
      </c>
    </row>
    <row r="365" spans="1:7" ht="20.100000000000001" customHeight="1">
      <c r="A365" s="22" t="s">
        <v>7264</v>
      </c>
      <c r="B365" s="22" t="s">
        <v>7263</v>
      </c>
      <c r="C365" s="23" t="s">
        <v>7265</v>
      </c>
      <c r="D365" s="30" t="s">
        <v>2</v>
      </c>
      <c r="E365" s="94" t="e">
        <f t="shared" si="29"/>
        <v>#VALUE!</v>
      </c>
      <c r="F365" s="94" t="e">
        <f t="shared" si="30"/>
        <v>#VALUE!</v>
      </c>
    </row>
    <row r="366" spans="1:7" ht="20.100000000000001" customHeight="1">
      <c r="A366" s="22" t="s">
        <v>7261</v>
      </c>
      <c r="B366" s="22" t="s">
        <v>7260</v>
      </c>
      <c r="C366" s="23" t="s">
        <v>7262</v>
      </c>
      <c r="D366" s="30">
        <v>2700</v>
      </c>
      <c r="E366" s="94">
        <f t="shared" si="29"/>
        <v>99.000000000000014</v>
      </c>
      <c r="F366" s="94">
        <f t="shared" si="30"/>
        <v>108</v>
      </c>
    </row>
    <row r="367" spans="1:7" ht="20.100000000000001" customHeight="1">
      <c r="A367" s="22" t="s">
        <v>7211</v>
      </c>
      <c r="B367" s="22" t="s">
        <v>7210</v>
      </c>
      <c r="C367" s="23" t="s">
        <v>7212</v>
      </c>
      <c r="D367" s="30">
        <v>623.15</v>
      </c>
      <c r="E367" s="94">
        <f t="shared" si="29"/>
        <v>22.848833333333335</v>
      </c>
      <c r="F367" s="94">
        <f t="shared" si="30"/>
        <v>24.925999999999998</v>
      </c>
    </row>
    <row r="368" spans="1:7" ht="20.100000000000001" customHeight="1">
      <c r="A368" s="22" t="s">
        <v>7214</v>
      </c>
      <c r="B368" s="22" t="s">
        <v>7213</v>
      </c>
      <c r="C368" s="23" t="s">
        <v>7215</v>
      </c>
      <c r="D368" s="30" t="s">
        <v>2</v>
      </c>
      <c r="E368" s="94" t="e">
        <f t="shared" si="29"/>
        <v>#VALUE!</v>
      </c>
      <c r="F368" s="94" t="e">
        <f t="shared" si="30"/>
        <v>#VALUE!</v>
      </c>
    </row>
    <row r="369" spans="1:8" ht="20.100000000000001" customHeight="1">
      <c r="A369" s="22" t="s">
        <v>7220</v>
      </c>
      <c r="B369" s="22" t="s">
        <v>7219</v>
      </c>
      <c r="C369" s="23" t="s">
        <v>7221</v>
      </c>
      <c r="D369" s="30">
        <v>669.5</v>
      </c>
      <c r="E369" s="94">
        <f t="shared" si="29"/>
        <v>24.548333333333336</v>
      </c>
      <c r="F369" s="94">
        <f t="shared" si="30"/>
        <v>26.779999999999998</v>
      </c>
    </row>
    <row r="370" spans="1:8" ht="20.100000000000001" customHeight="1">
      <c r="A370" s="22" t="s">
        <v>7209</v>
      </c>
      <c r="B370" s="22" t="s">
        <v>7208</v>
      </c>
      <c r="C370" s="23" t="s">
        <v>6503</v>
      </c>
      <c r="D370" s="30" t="s">
        <v>2</v>
      </c>
      <c r="E370" s="94" t="e">
        <f t="shared" si="29"/>
        <v>#VALUE!</v>
      </c>
      <c r="F370" s="94" t="e">
        <f t="shared" si="30"/>
        <v>#VALUE!</v>
      </c>
    </row>
    <row r="371" spans="1:8" ht="20.100000000000001" customHeight="1">
      <c r="A371" s="22" t="s">
        <v>7789</v>
      </c>
      <c r="B371" s="22" t="s">
        <v>7788</v>
      </c>
      <c r="C371" s="23" t="s">
        <v>7790</v>
      </c>
      <c r="D371" s="30" t="s">
        <v>2</v>
      </c>
      <c r="E371" s="94" t="e">
        <f t="shared" si="29"/>
        <v>#VALUE!</v>
      </c>
      <c r="F371" s="94" t="e">
        <f t="shared" si="30"/>
        <v>#VALUE!</v>
      </c>
    </row>
    <row r="372" spans="1:8" ht="20.100000000000001" customHeight="1">
      <c r="A372" s="22" t="s">
        <v>7223</v>
      </c>
      <c r="B372" s="22" t="s">
        <v>7222</v>
      </c>
      <c r="C372" s="23" t="s">
        <v>7224</v>
      </c>
      <c r="D372" s="30">
        <v>1315</v>
      </c>
      <c r="E372" s="94">
        <f t="shared" si="29"/>
        <v>48.216666666666676</v>
      </c>
      <c r="F372" s="94">
        <f t="shared" si="30"/>
        <v>52.6</v>
      </c>
    </row>
    <row r="373" spans="1:8" ht="20.100000000000001" customHeight="1">
      <c r="A373" s="22" t="s">
        <v>7226</v>
      </c>
      <c r="B373" s="22" t="s">
        <v>7225</v>
      </c>
      <c r="C373" s="23" t="s">
        <v>7227</v>
      </c>
      <c r="D373" s="30">
        <v>580</v>
      </c>
      <c r="E373" s="94">
        <f t="shared" si="29"/>
        <v>21.266666666666666</v>
      </c>
      <c r="F373" s="94">
        <f t="shared" si="30"/>
        <v>23.2</v>
      </c>
    </row>
    <row r="374" spans="1:8" ht="20.100000000000001" customHeight="1">
      <c r="A374" s="22" t="s">
        <v>6309</v>
      </c>
      <c r="B374" s="22" t="s">
        <v>6308</v>
      </c>
      <c r="C374" s="23" t="s">
        <v>6310</v>
      </c>
      <c r="D374" s="30">
        <v>500</v>
      </c>
      <c r="E374" s="94">
        <f t="shared" si="29"/>
        <v>18.333333333333332</v>
      </c>
      <c r="F374" s="94">
        <f t="shared" si="30"/>
        <v>20</v>
      </c>
    </row>
    <row r="375" spans="1:8" ht="20.100000000000001" customHeight="1">
      <c r="A375" s="22" t="s">
        <v>7232</v>
      </c>
      <c r="B375" s="22" t="s">
        <v>7231</v>
      </c>
      <c r="C375" s="23" t="s">
        <v>7233</v>
      </c>
      <c r="D375" s="30" t="s">
        <v>2</v>
      </c>
      <c r="E375" s="94" t="e">
        <f t="shared" si="29"/>
        <v>#VALUE!</v>
      </c>
      <c r="F375" s="94" t="e">
        <f t="shared" si="30"/>
        <v>#VALUE!</v>
      </c>
    </row>
    <row r="376" spans="1:8" ht="20.100000000000001" customHeight="1">
      <c r="A376" s="22" t="s">
        <v>7235</v>
      </c>
      <c r="B376" s="22" t="s">
        <v>7234</v>
      </c>
      <c r="C376" s="23" t="s">
        <v>7236</v>
      </c>
      <c r="D376" s="30" t="s">
        <v>2</v>
      </c>
      <c r="E376" s="94" t="e">
        <f t="shared" si="29"/>
        <v>#VALUE!</v>
      </c>
      <c r="F376" s="94" t="e">
        <f t="shared" si="30"/>
        <v>#VALUE!</v>
      </c>
    </row>
    <row r="377" spans="1:8" ht="20.100000000000001" customHeight="1">
      <c r="A377" s="22" t="s">
        <v>7238</v>
      </c>
      <c r="B377" s="22" t="s">
        <v>7237</v>
      </c>
      <c r="C377" s="23" t="s">
        <v>7239</v>
      </c>
      <c r="D377" s="30" t="s">
        <v>2</v>
      </c>
      <c r="E377" s="94" t="e">
        <f t="shared" si="29"/>
        <v>#VALUE!</v>
      </c>
      <c r="F377" s="94" t="e">
        <f t="shared" si="30"/>
        <v>#VALUE!</v>
      </c>
    </row>
    <row r="378" spans="1:8" ht="20.100000000000001" customHeight="1">
      <c r="A378" s="22" t="s">
        <v>7241</v>
      </c>
      <c r="B378" s="22" t="s">
        <v>7240</v>
      </c>
      <c r="C378" s="23" t="s">
        <v>7242</v>
      </c>
      <c r="D378" s="30" t="s">
        <v>2</v>
      </c>
      <c r="E378" s="94" t="e">
        <f t="shared" si="29"/>
        <v>#VALUE!</v>
      </c>
      <c r="F378" s="94" t="e">
        <f t="shared" si="30"/>
        <v>#VALUE!</v>
      </c>
    </row>
    <row r="379" spans="1:8" ht="20.100000000000001" customHeight="1">
      <c r="A379" s="22" t="s">
        <v>7244</v>
      </c>
      <c r="B379" s="22" t="s">
        <v>7243</v>
      </c>
      <c r="C379" s="23" t="s">
        <v>7245</v>
      </c>
      <c r="D379" s="30">
        <v>898.16</v>
      </c>
      <c r="E379" s="94">
        <f t="shared" si="29"/>
        <v>32.932533333333332</v>
      </c>
      <c r="F379" s="94">
        <f t="shared" si="30"/>
        <v>35.926399999999994</v>
      </c>
    </row>
    <row r="380" spans="1:8" ht="20.100000000000001" customHeight="1">
      <c r="A380" s="22" t="s">
        <v>7247</v>
      </c>
      <c r="B380" s="22" t="s">
        <v>7246</v>
      </c>
      <c r="C380" s="23" t="s">
        <v>7248</v>
      </c>
      <c r="D380" s="30">
        <v>1450</v>
      </c>
      <c r="E380" s="94">
        <f t="shared" si="29"/>
        <v>53.166666666666671</v>
      </c>
      <c r="F380" s="94">
        <f t="shared" si="30"/>
        <v>58</v>
      </c>
      <c r="H380" s="58">
        <v>45432</v>
      </c>
    </row>
    <row r="381" spans="1:8" ht="20.100000000000001" customHeight="1">
      <c r="A381" s="22" t="s">
        <v>7250</v>
      </c>
      <c r="B381" s="22" t="s">
        <v>7249</v>
      </c>
      <c r="C381" s="23" t="s">
        <v>7251</v>
      </c>
      <c r="D381" s="30">
        <v>535.6</v>
      </c>
      <c r="E381" s="94">
        <f t="shared" si="29"/>
        <v>19.638666666666669</v>
      </c>
      <c r="F381" s="94">
        <f t="shared" si="30"/>
        <v>21.423999999999999</v>
      </c>
    </row>
    <row r="382" spans="1:8" ht="20.100000000000001" customHeight="1">
      <c r="A382" s="22" t="s">
        <v>7253</v>
      </c>
      <c r="B382" s="22" t="s">
        <v>7252</v>
      </c>
      <c r="C382" s="23" t="s">
        <v>7254</v>
      </c>
      <c r="D382" s="30">
        <v>659.2</v>
      </c>
      <c r="E382" s="94">
        <f t="shared" si="29"/>
        <v>24.170666666666669</v>
      </c>
      <c r="F382" s="94">
        <f t="shared" si="30"/>
        <v>26.368000000000002</v>
      </c>
    </row>
    <row r="383" spans="1:8" ht="20.100000000000001" customHeight="1">
      <c r="A383" s="22" t="s">
        <v>7256</v>
      </c>
      <c r="B383" s="22" t="s">
        <v>7255</v>
      </c>
      <c r="C383" s="23" t="s">
        <v>7257</v>
      </c>
      <c r="D383" s="30">
        <v>648.9</v>
      </c>
      <c r="E383" s="94">
        <f t="shared" si="29"/>
        <v>23.793000000000003</v>
      </c>
      <c r="F383" s="94">
        <f t="shared" si="30"/>
        <v>25.956</v>
      </c>
    </row>
    <row r="384" spans="1:8" ht="20.100000000000001" customHeight="1">
      <c r="A384" s="22" t="s">
        <v>7277</v>
      </c>
      <c r="B384" s="22" t="s">
        <v>7276</v>
      </c>
      <c r="C384" s="23" t="s">
        <v>7278</v>
      </c>
      <c r="D384" s="30">
        <v>1169.05</v>
      </c>
      <c r="E384" s="94">
        <f t="shared" si="29"/>
        <v>42.865166666666674</v>
      </c>
      <c r="F384" s="94">
        <f t="shared" si="30"/>
        <v>46.761999999999993</v>
      </c>
    </row>
    <row r="385" spans="1:6" ht="20.100000000000001" customHeight="1">
      <c r="A385" s="22" t="s">
        <v>7280</v>
      </c>
      <c r="B385" s="22" t="s">
        <v>7279</v>
      </c>
      <c r="C385" s="23" t="s">
        <v>7281</v>
      </c>
      <c r="D385" s="30" t="s">
        <v>2</v>
      </c>
      <c r="E385" s="94" t="e">
        <f t="shared" si="29"/>
        <v>#VALUE!</v>
      </c>
      <c r="F385" s="94" t="e">
        <f t="shared" si="30"/>
        <v>#VALUE!</v>
      </c>
    </row>
    <row r="386" spans="1:6" ht="20.100000000000001" customHeight="1">
      <c r="A386" s="22" t="s">
        <v>7611</v>
      </c>
      <c r="B386" s="22" t="s">
        <v>7610</v>
      </c>
      <c r="C386" s="23" t="s">
        <v>7612</v>
      </c>
      <c r="D386" s="30" t="s">
        <v>2</v>
      </c>
      <c r="E386" s="94" t="e">
        <f t="shared" si="29"/>
        <v>#VALUE!</v>
      </c>
      <c r="F386" s="94" t="e">
        <f t="shared" si="30"/>
        <v>#VALUE!</v>
      </c>
    </row>
    <row r="387" spans="1:6" ht="20.100000000000001" customHeight="1">
      <c r="A387" s="22" t="s">
        <v>7286</v>
      </c>
      <c r="B387" s="22" t="s">
        <v>7285</v>
      </c>
      <c r="C387" s="23" t="s">
        <v>7287</v>
      </c>
      <c r="D387" s="30" t="s">
        <v>2</v>
      </c>
      <c r="E387" s="94" t="e">
        <f t="shared" si="29"/>
        <v>#VALUE!</v>
      </c>
      <c r="F387" s="94" t="e">
        <f t="shared" si="30"/>
        <v>#VALUE!</v>
      </c>
    </row>
    <row r="388" spans="1:6" ht="20.100000000000001" customHeight="1">
      <c r="A388" s="22" t="s">
        <v>7289</v>
      </c>
      <c r="B388" s="22" t="s">
        <v>7288</v>
      </c>
      <c r="C388" s="23" t="s">
        <v>7290</v>
      </c>
      <c r="D388" s="30">
        <v>1318.4</v>
      </c>
      <c r="E388" s="94">
        <f t="shared" si="29"/>
        <v>48.341333333333338</v>
      </c>
      <c r="F388" s="94">
        <f t="shared" si="30"/>
        <v>52.736000000000004</v>
      </c>
    </row>
    <row r="389" spans="1:6" ht="20.100000000000001" customHeight="1">
      <c r="A389" s="22" t="s">
        <v>7292</v>
      </c>
      <c r="B389" s="22" t="s">
        <v>7291</v>
      </c>
      <c r="C389" s="23" t="s">
        <v>7293</v>
      </c>
      <c r="D389" s="30">
        <v>520.15</v>
      </c>
      <c r="E389" s="94">
        <f t="shared" si="29"/>
        <v>19.072166666666668</v>
      </c>
      <c r="F389" s="94">
        <f t="shared" si="30"/>
        <v>20.805999999999997</v>
      </c>
    </row>
    <row r="390" spans="1:6" ht="20.100000000000001" customHeight="1">
      <c r="A390" s="22" t="s">
        <v>7295</v>
      </c>
      <c r="B390" s="22" t="s">
        <v>7294</v>
      </c>
      <c r="C390" s="23" t="s">
        <v>7296</v>
      </c>
      <c r="D390" s="30" t="s">
        <v>2</v>
      </c>
      <c r="E390" s="94" t="e">
        <f t="shared" si="29"/>
        <v>#VALUE!</v>
      </c>
      <c r="F390" s="94" t="e">
        <f t="shared" si="30"/>
        <v>#VALUE!</v>
      </c>
    </row>
    <row r="391" spans="1:6" ht="20.100000000000001" customHeight="1">
      <c r="A391" s="22" t="s">
        <v>7298</v>
      </c>
      <c r="B391" s="22" t="s">
        <v>7297</v>
      </c>
      <c r="C391" s="23" t="s">
        <v>7299</v>
      </c>
      <c r="D391" s="30" t="s">
        <v>2</v>
      </c>
      <c r="E391" s="94" t="e">
        <f t="shared" si="29"/>
        <v>#VALUE!</v>
      </c>
      <c r="F391" s="94" t="e">
        <f t="shared" si="30"/>
        <v>#VALUE!</v>
      </c>
    </row>
    <row r="392" spans="1:6" ht="20.100000000000001" customHeight="1">
      <c r="A392" s="22" t="s">
        <v>7301</v>
      </c>
      <c r="B392" s="22" t="s">
        <v>7300</v>
      </c>
      <c r="C392" s="23" t="s">
        <v>7302</v>
      </c>
      <c r="D392" s="30" t="s">
        <v>2</v>
      </c>
      <c r="E392" s="94" t="e">
        <f t="shared" si="29"/>
        <v>#VALUE!</v>
      </c>
      <c r="F392" s="94" t="e">
        <f t="shared" si="30"/>
        <v>#VALUE!</v>
      </c>
    </row>
    <row r="393" spans="1:6" ht="20.100000000000001" customHeight="1">
      <c r="A393" s="22" t="s">
        <v>7350</v>
      </c>
      <c r="B393" s="22" t="s">
        <v>7349</v>
      </c>
      <c r="C393" s="23" t="s">
        <v>7351</v>
      </c>
      <c r="D393" s="30" t="s">
        <v>2</v>
      </c>
      <c r="E393" s="94" t="e">
        <f t="shared" si="29"/>
        <v>#VALUE!</v>
      </c>
      <c r="F393" s="94" t="e">
        <f t="shared" si="30"/>
        <v>#VALUE!</v>
      </c>
    </row>
    <row r="394" spans="1:6" ht="20.100000000000001" customHeight="1">
      <c r="A394" s="22" t="s">
        <v>7353</v>
      </c>
      <c r="B394" s="22" t="s">
        <v>7352</v>
      </c>
      <c r="C394" s="23" t="s">
        <v>7354</v>
      </c>
      <c r="D394" s="30" t="s">
        <v>2</v>
      </c>
      <c r="E394" s="94" t="e">
        <f t="shared" si="29"/>
        <v>#VALUE!</v>
      </c>
      <c r="F394" s="94" t="e">
        <f t="shared" si="30"/>
        <v>#VALUE!</v>
      </c>
    </row>
    <row r="395" spans="1:6" ht="20.100000000000001" customHeight="1">
      <c r="A395" s="22" t="s">
        <v>7356</v>
      </c>
      <c r="B395" s="22" t="s">
        <v>7355</v>
      </c>
      <c r="C395" s="23" t="s">
        <v>7357</v>
      </c>
      <c r="D395" s="30" t="s">
        <v>2</v>
      </c>
      <c r="E395" s="94" t="e">
        <f t="shared" si="29"/>
        <v>#VALUE!</v>
      </c>
      <c r="F395" s="94" t="e">
        <f t="shared" si="30"/>
        <v>#VALUE!</v>
      </c>
    </row>
    <row r="396" spans="1:6" ht="20.100000000000001" customHeight="1">
      <c r="A396" s="22" t="s">
        <v>7359</v>
      </c>
      <c r="B396" s="22" t="s">
        <v>7358</v>
      </c>
      <c r="C396" s="23" t="s">
        <v>7360</v>
      </c>
      <c r="D396" s="30" t="s">
        <v>2</v>
      </c>
      <c r="E396" s="94" t="e">
        <f t="shared" si="29"/>
        <v>#VALUE!</v>
      </c>
      <c r="F396" s="94" t="e">
        <f t="shared" si="30"/>
        <v>#VALUE!</v>
      </c>
    </row>
    <row r="397" spans="1:6" ht="20.100000000000001" customHeight="1">
      <c r="A397" s="22" t="s">
        <v>7310</v>
      </c>
      <c r="B397" s="22" t="s">
        <v>7309</v>
      </c>
      <c r="C397" s="23" t="s">
        <v>7311</v>
      </c>
      <c r="D397" s="30" t="s">
        <v>2</v>
      </c>
      <c r="E397" s="94" t="e">
        <f t="shared" si="29"/>
        <v>#VALUE!</v>
      </c>
      <c r="F397" s="94" t="e">
        <f t="shared" si="30"/>
        <v>#VALUE!</v>
      </c>
    </row>
    <row r="398" spans="1:6" ht="20.100000000000001" customHeight="1">
      <c r="A398" s="22" t="s">
        <v>7501</v>
      </c>
      <c r="B398" s="22" t="s">
        <v>7500</v>
      </c>
      <c r="C398" s="23" t="s">
        <v>7502</v>
      </c>
      <c r="D398" s="30" t="s">
        <v>2</v>
      </c>
      <c r="E398" s="94" t="e">
        <f t="shared" si="29"/>
        <v>#VALUE!</v>
      </c>
      <c r="F398" s="94" t="e">
        <f t="shared" si="30"/>
        <v>#VALUE!</v>
      </c>
    </row>
    <row r="399" spans="1:6" ht="20.100000000000001" customHeight="1">
      <c r="A399" s="22" t="s">
        <v>7504</v>
      </c>
      <c r="B399" s="22" t="s">
        <v>7503</v>
      </c>
      <c r="C399" s="23" t="s">
        <v>7505</v>
      </c>
      <c r="D399" s="30" t="s">
        <v>2</v>
      </c>
      <c r="E399" s="94" t="e">
        <f t="shared" si="29"/>
        <v>#VALUE!</v>
      </c>
      <c r="F399" s="94" t="e">
        <f t="shared" si="30"/>
        <v>#VALUE!</v>
      </c>
    </row>
    <row r="400" spans="1:6" ht="20.100000000000001" customHeight="1">
      <c r="A400" s="22" t="s">
        <v>7495</v>
      </c>
      <c r="B400" s="22" t="s">
        <v>7494</v>
      </c>
      <c r="C400" s="23" t="s">
        <v>7496</v>
      </c>
      <c r="D400" s="30" t="s">
        <v>2</v>
      </c>
      <c r="E400" s="94" t="e">
        <f t="shared" si="29"/>
        <v>#VALUE!</v>
      </c>
      <c r="F400" s="94" t="e">
        <f t="shared" si="30"/>
        <v>#VALUE!</v>
      </c>
    </row>
    <row r="401" spans="1:6" ht="20.100000000000001" customHeight="1">
      <c r="A401" s="22" t="s">
        <v>7498</v>
      </c>
      <c r="B401" s="22" t="s">
        <v>7497</v>
      </c>
      <c r="C401" s="23" t="s">
        <v>7499</v>
      </c>
      <c r="D401" s="30" t="s">
        <v>2</v>
      </c>
      <c r="E401" s="94" t="e">
        <f t="shared" si="29"/>
        <v>#VALUE!</v>
      </c>
      <c r="F401" s="94" t="e">
        <f t="shared" si="30"/>
        <v>#VALUE!</v>
      </c>
    </row>
    <row r="402" spans="1:6" ht="20.100000000000001" customHeight="1">
      <c r="A402" s="22" t="s">
        <v>7362</v>
      </c>
      <c r="B402" s="22" t="s">
        <v>7361</v>
      </c>
      <c r="C402" s="23" t="s">
        <v>7363</v>
      </c>
      <c r="D402" s="30">
        <v>288.40000000000003</v>
      </c>
      <c r="E402" s="94">
        <f t="shared" si="29"/>
        <v>10.574666666666669</v>
      </c>
      <c r="F402" s="94">
        <f t="shared" si="30"/>
        <v>11.536000000000001</v>
      </c>
    </row>
    <row r="403" spans="1:6" ht="20.100000000000001" customHeight="1">
      <c r="A403" s="22" t="s">
        <v>7465</v>
      </c>
      <c r="B403" s="22" t="s">
        <v>7464</v>
      </c>
      <c r="C403" s="23" t="s">
        <v>7466</v>
      </c>
      <c r="D403" s="30">
        <v>643.75</v>
      </c>
      <c r="E403" s="94">
        <f t="shared" si="29"/>
        <v>23.604166666666671</v>
      </c>
      <c r="F403" s="94">
        <f t="shared" si="30"/>
        <v>25.75</v>
      </c>
    </row>
    <row r="404" spans="1:6" ht="20.100000000000001" customHeight="1">
      <c r="A404" s="22" t="s">
        <v>7468</v>
      </c>
      <c r="B404" s="22" t="s">
        <v>7467</v>
      </c>
      <c r="C404" s="23" t="s">
        <v>7469</v>
      </c>
      <c r="D404" s="30">
        <v>1045.45</v>
      </c>
      <c r="E404" s="94">
        <f t="shared" si="29"/>
        <v>38.333166666666671</v>
      </c>
      <c r="F404" s="94">
        <f t="shared" si="30"/>
        <v>41.817999999999998</v>
      </c>
    </row>
    <row r="405" spans="1:6" ht="20.100000000000001" customHeight="1">
      <c r="A405" s="22" t="s">
        <v>7471</v>
      </c>
      <c r="B405" s="22" t="s">
        <v>7470</v>
      </c>
      <c r="C405" s="23" t="s">
        <v>7472</v>
      </c>
      <c r="D405" s="30">
        <v>592.25</v>
      </c>
      <c r="E405" s="94">
        <f t="shared" si="29"/>
        <v>21.715833333333332</v>
      </c>
      <c r="F405" s="94">
        <f t="shared" si="30"/>
        <v>23.689999999999998</v>
      </c>
    </row>
    <row r="406" spans="1:6" ht="20.100000000000001" customHeight="1">
      <c r="A406" s="22" t="s">
        <v>7462</v>
      </c>
      <c r="B406" s="22" t="s">
        <v>7461</v>
      </c>
      <c r="C406" s="23" t="s">
        <v>7463</v>
      </c>
      <c r="D406" s="30">
        <v>973.35</v>
      </c>
      <c r="E406" s="94">
        <f t="shared" si="29"/>
        <v>35.689500000000002</v>
      </c>
      <c r="F406" s="94">
        <f t="shared" si="30"/>
        <v>38.933999999999997</v>
      </c>
    </row>
    <row r="407" spans="1:6" ht="20.100000000000001" customHeight="1">
      <c r="A407" s="22" t="s">
        <v>7313</v>
      </c>
      <c r="B407" s="22" t="s">
        <v>7312</v>
      </c>
      <c r="C407" s="23" t="s">
        <v>7314</v>
      </c>
      <c r="D407" s="30">
        <v>798.25</v>
      </c>
      <c r="E407" s="94">
        <f t="shared" si="29"/>
        <v>29.269166666666667</v>
      </c>
      <c r="F407" s="94">
        <f t="shared" si="30"/>
        <v>31.93</v>
      </c>
    </row>
    <row r="408" spans="1:6" ht="20.100000000000001" customHeight="1">
      <c r="A408" s="22" t="s">
        <v>7283</v>
      </c>
      <c r="B408" s="22" t="s">
        <v>7282</v>
      </c>
      <c r="C408" s="23" t="s">
        <v>7284</v>
      </c>
      <c r="D408" s="30">
        <v>767.35</v>
      </c>
      <c r="E408" s="94">
        <f t="shared" si="29"/>
        <v>28.136166666666668</v>
      </c>
      <c r="F408" s="94">
        <f t="shared" si="30"/>
        <v>30.694000000000003</v>
      </c>
    </row>
    <row r="409" spans="1:6" ht="20.100000000000001" customHeight="1">
      <c r="A409" s="22" t="s">
        <v>7192</v>
      </c>
      <c r="B409" s="22" t="s">
        <v>7191</v>
      </c>
      <c r="C409" s="23" t="s">
        <v>7193</v>
      </c>
      <c r="D409" s="30">
        <v>535.6</v>
      </c>
      <c r="E409" s="94">
        <f t="shared" si="29"/>
        <v>19.638666666666669</v>
      </c>
      <c r="F409" s="94">
        <f t="shared" si="30"/>
        <v>21.423999999999999</v>
      </c>
    </row>
    <row r="410" spans="1:6" ht="20.100000000000001" customHeight="1">
      <c r="A410" s="22" t="s">
        <v>7365</v>
      </c>
      <c r="B410" s="22" t="s">
        <v>7364</v>
      </c>
      <c r="C410" s="23" t="s">
        <v>7366</v>
      </c>
      <c r="D410" s="30">
        <v>576.80000000000007</v>
      </c>
      <c r="E410" s="94">
        <f t="shared" si="29"/>
        <v>21.149333333333338</v>
      </c>
      <c r="F410" s="94">
        <f t="shared" si="30"/>
        <v>23.072000000000003</v>
      </c>
    </row>
    <row r="411" spans="1:6" ht="20.100000000000001" customHeight="1">
      <c r="A411" s="22" t="s">
        <v>7343</v>
      </c>
      <c r="B411" s="22" t="s">
        <v>7342</v>
      </c>
      <c r="C411" s="23" t="s">
        <v>7344</v>
      </c>
      <c r="D411" s="30">
        <v>638.6</v>
      </c>
      <c r="E411" s="94">
        <f t="shared" si="29"/>
        <v>23.415333333333333</v>
      </c>
      <c r="F411" s="94">
        <f t="shared" si="30"/>
        <v>25.544</v>
      </c>
    </row>
    <row r="412" spans="1:6" ht="20.100000000000001" customHeight="1">
      <c r="A412" s="22" t="s">
        <v>7195</v>
      </c>
      <c r="B412" s="22" t="s">
        <v>7194</v>
      </c>
      <c r="C412" s="23" t="s">
        <v>7196</v>
      </c>
      <c r="D412" s="30">
        <v>587.1</v>
      </c>
      <c r="E412" s="94">
        <f t="shared" si="29"/>
        <v>21.527000000000001</v>
      </c>
      <c r="F412" s="94">
        <f t="shared" si="30"/>
        <v>23.483999999999998</v>
      </c>
    </row>
    <row r="413" spans="1:6" ht="20.100000000000001" customHeight="1">
      <c r="A413" s="22" t="s">
        <v>7433</v>
      </c>
      <c r="B413" s="22" t="s">
        <v>7432</v>
      </c>
      <c r="C413" s="23" t="s">
        <v>7434</v>
      </c>
      <c r="D413" s="30" t="s">
        <v>2</v>
      </c>
      <c r="E413" s="94" t="e">
        <f t="shared" si="29"/>
        <v>#VALUE!</v>
      </c>
      <c r="F413" s="94" t="e">
        <f t="shared" si="30"/>
        <v>#VALUE!</v>
      </c>
    </row>
    <row r="414" spans="1:6" ht="20.100000000000001" customHeight="1">
      <c r="A414" s="22" t="s">
        <v>7390</v>
      </c>
      <c r="B414" s="22" t="s">
        <v>7389</v>
      </c>
      <c r="C414" s="23" t="s">
        <v>7391</v>
      </c>
      <c r="D414" s="30" t="s">
        <v>2</v>
      </c>
      <c r="E414" s="94" t="e">
        <f t="shared" si="29"/>
        <v>#VALUE!</v>
      </c>
      <c r="F414" s="94" t="e">
        <f t="shared" si="30"/>
        <v>#VALUE!</v>
      </c>
    </row>
    <row r="415" spans="1:6" ht="20.100000000000001" customHeight="1">
      <c r="A415" s="22" t="s">
        <v>7387</v>
      </c>
      <c r="B415" s="22" t="s">
        <v>7386</v>
      </c>
      <c r="C415" s="23" t="s">
        <v>7388</v>
      </c>
      <c r="D415" s="30" t="s">
        <v>2</v>
      </c>
      <c r="E415" s="94" t="e">
        <f t="shared" si="29"/>
        <v>#VALUE!</v>
      </c>
      <c r="F415" s="94" t="e">
        <f t="shared" si="30"/>
        <v>#VALUE!</v>
      </c>
    </row>
    <row r="416" spans="1:6" ht="20.100000000000001" customHeight="1">
      <c r="A416" s="22" t="s">
        <v>7373</v>
      </c>
      <c r="B416" s="22" t="s">
        <v>7372</v>
      </c>
      <c r="C416" s="23" t="s">
        <v>7374</v>
      </c>
      <c r="D416" s="30">
        <v>750</v>
      </c>
      <c r="E416" s="94">
        <f t="shared" si="29"/>
        <v>27.500000000000004</v>
      </c>
      <c r="F416" s="94">
        <f t="shared" si="30"/>
        <v>30</v>
      </c>
    </row>
    <row r="417" spans="1:6" ht="20.100000000000001" customHeight="1">
      <c r="A417" s="22" t="s">
        <v>7382</v>
      </c>
      <c r="B417" s="22" t="s">
        <v>7381</v>
      </c>
      <c r="C417" s="23" t="s">
        <v>7269</v>
      </c>
      <c r="D417" s="30">
        <v>1277.2</v>
      </c>
      <c r="E417" s="94">
        <f t="shared" si="29"/>
        <v>46.830666666666666</v>
      </c>
      <c r="F417" s="94">
        <f t="shared" si="30"/>
        <v>51.088000000000001</v>
      </c>
    </row>
    <row r="418" spans="1:6" ht="20.100000000000001" customHeight="1">
      <c r="A418" s="22" t="s">
        <v>7412</v>
      </c>
      <c r="B418" s="22" t="s">
        <v>7411</v>
      </c>
      <c r="C418" s="23" t="s">
        <v>7413</v>
      </c>
      <c r="D418" s="30" t="s">
        <v>2</v>
      </c>
      <c r="E418" s="94" t="e">
        <f t="shared" si="29"/>
        <v>#VALUE!</v>
      </c>
      <c r="F418" s="94" t="e">
        <f t="shared" si="30"/>
        <v>#VALUE!</v>
      </c>
    </row>
    <row r="419" spans="1:6" ht="20.100000000000001" customHeight="1">
      <c r="A419" s="22" t="s">
        <v>7445</v>
      </c>
      <c r="B419" s="22" t="s">
        <v>7444</v>
      </c>
      <c r="C419" s="23" t="s">
        <v>7446</v>
      </c>
      <c r="D419" s="30">
        <v>1380.2</v>
      </c>
      <c r="E419" s="94">
        <f t="shared" si="29"/>
        <v>50.607333333333344</v>
      </c>
      <c r="F419" s="94">
        <f t="shared" si="30"/>
        <v>55.207999999999998</v>
      </c>
    </row>
    <row r="420" spans="1:6" ht="20.100000000000001" customHeight="1">
      <c r="A420" s="22" t="s">
        <v>7418</v>
      </c>
      <c r="B420" s="22" t="s">
        <v>7417</v>
      </c>
      <c r="C420" s="23" t="s">
        <v>7419</v>
      </c>
      <c r="D420" s="30" t="s">
        <v>2</v>
      </c>
      <c r="E420" s="94" t="e">
        <f t="shared" ref="E420:E483" si="31">+(D420*1.1/30)</f>
        <v>#VALUE!</v>
      </c>
      <c r="F420" s="94" t="e">
        <f t="shared" ref="F420:F483" si="32">+(D420*1.2/30)</f>
        <v>#VALUE!</v>
      </c>
    </row>
    <row r="421" spans="1:6" ht="20.100000000000001" customHeight="1">
      <c r="A421" s="22" t="s">
        <v>7421</v>
      </c>
      <c r="B421" s="22" t="s">
        <v>7420</v>
      </c>
      <c r="C421" s="23" t="s">
        <v>7422</v>
      </c>
      <c r="D421" s="30">
        <v>870.35</v>
      </c>
      <c r="E421" s="94">
        <f t="shared" si="31"/>
        <v>31.912833333333335</v>
      </c>
      <c r="F421" s="94">
        <f t="shared" si="32"/>
        <v>34.814</v>
      </c>
    </row>
    <row r="422" spans="1:6" ht="20.100000000000001" customHeight="1">
      <c r="A422" s="22" t="s">
        <v>7436</v>
      </c>
      <c r="B422" s="22" t="s">
        <v>7435</v>
      </c>
      <c r="C422" s="23" t="s">
        <v>7437</v>
      </c>
      <c r="D422" s="30" t="s">
        <v>2</v>
      </c>
      <c r="E422" s="94" t="e">
        <f t="shared" si="31"/>
        <v>#VALUE!</v>
      </c>
      <c r="F422" s="94" t="e">
        <f t="shared" si="32"/>
        <v>#VALUE!</v>
      </c>
    </row>
    <row r="423" spans="1:6" ht="20.100000000000001" customHeight="1">
      <c r="A423" s="22" t="s">
        <v>7439</v>
      </c>
      <c r="B423" s="22" t="s">
        <v>7438</v>
      </c>
      <c r="C423" s="23" t="s">
        <v>7440</v>
      </c>
      <c r="D423" s="30">
        <v>484.1</v>
      </c>
      <c r="E423" s="94">
        <f t="shared" si="31"/>
        <v>17.750333333333337</v>
      </c>
      <c r="F423" s="94">
        <f t="shared" si="32"/>
        <v>19.363999999999997</v>
      </c>
    </row>
    <row r="424" spans="1:6" ht="20.100000000000001" customHeight="1">
      <c r="A424" s="22" t="s">
        <v>7424</v>
      </c>
      <c r="B424" s="22" t="s">
        <v>7423</v>
      </c>
      <c r="C424" s="23" t="s">
        <v>7425</v>
      </c>
      <c r="D424" s="30" t="s">
        <v>2</v>
      </c>
      <c r="E424" s="94" t="e">
        <f t="shared" si="31"/>
        <v>#VALUE!</v>
      </c>
      <c r="F424" s="94" t="e">
        <f t="shared" si="32"/>
        <v>#VALUE!</v>
      </c>
    </row>
    <row r="425" spans="1:6" ht="20.100000000000001" customHeight="1">
      <c r="A425" s="22" t="s">
        <v>7448</v>
      </c>
      <c r="B425" s="22" t="s">
        <v>7447</v>
      </c>
      <c r="C425" s="23" t="s">
        <v>7449</v>
      </c>
      <c r="D425" s="30">
        <v>674.65</v>
      </c>
      <c r="E425" s="94">
        <f t="shared" si="31"/>
        <v>24.737166666666667</v>
      </c>
      <c r="F425" s="94">
        <f t="shared" si="32"/>
        <v>26.985999999999997</v>
      </c>
    </row>
    <row r="426" spans="1:6" ht="20.100000000000001" customHeight="1">
      <c r="A426" s="22" t="s">
        <v>7451</v>
      </c>
      <c r="B426" s="22" t="s">
        <v>7450</v>
      </c>
      <c r="C426" s="23" t="s">
        <v>7452</v>
      </c>
      <c r="D426" s="30">
        <v>927</v>
      </c>
      <c r="E426" s="94">
        <f t="shared" si="31"/>
        <v>33.99</v>
      </c>
      <c r="F426" s="94">
        <f t="shared" si="32"/>
        <v>37.08</v>
      </c>
    </row>
    <row r="427" spans="1:6" ht="20.100000000000001" customHeight="1">
      <c r="A427" s="22" t="s">
        <v>7427</v>
      </c>
      <c r="B427" s="22" t="s">
        <v>7426</v>
      </c>
      <c r="C427" s="23" t="s">
        <v>7428</v>
      </c>
      <c r="D427" s="30" t="s">
        <v>2</v>
      </c>
      <c r="E427" s="94" t="e">
        <f t="shared" si="31"/>
        <v>#VALUE!</v>
      </c>
      <c r="F427" s="94" t="e">
        <f t="shared" si="32"/>
        <v>#VALUE!</v>
      </c>
    </row>
    <row r="428" spans="1:6" ht="20.100000000000001" customHeight="1">
      <c r="A428" s="22" t="s">
        <v>7430</v>
      </c>
      <c r="B428" s="22" t="s">
        <v>7429</v>
      </c>
      <c r="C428" s="23" t="s">
        <v>7431</v>
      </c>
      <c r="D428" s="30" t="s">
        <v>2</v>
      </c>
      <c r="E428" s="94" t="e">
        <f t="shared" si="31"/>
        <v>#VALUE!</v>
      </c>
      <c r="F428" s="94" t="e">
        <f t="shared" si="32"/>
        <v>#VALUE!</v>
      </c>
    </row>
    <row r="429" spans="1:6" ht="20.100000000000001" customHeight="1">
      <c r="A429" s="22" t="s">
        <v>7483</v>
      </c>
      <c r="B429" s="22" t="s">
        <v>7482</v>
      </c>
      <c r="C429" s="23" t="s">
        <v>7484</v>
      </c>
      <c r="D429" s="30" t="s">
        <v>2</v>
      </c>
      <c r="E429" s="94" t="e">
        <f t="shared" si="31"/>
        <v>#VALUE!</v>
      </c>
      <c r="F429" s="94" t="e">
        <f t="shared" si="32"/>
        <v>#VALUE!</v>
      </c>
    </row>
    <row r="430" spans="1:6" ht="20.100000000000001" customHeight="1">
      <c r="A430" s="22" t="s">
        <v>7486</v>
      </c>
      <c r="B430" s="22" t="s">
        <v>7485</v>
      </c>
      <c r="C430" s="23" t="s">
        <v>7487</v>
      </c>
      <c r="D430" s="30" t="s">
        <v>2</v>
      </c>
      <c r="E430" s="94" t="e">
        <f t="shared" si="31"/>
        <v>#VALUE!</v>
      </c>
      <c r="F430" s="94" t="e">
        <f t="shared" si="32"/>
        <v>#VALUE!</v>
      </c>
    </row>
    <row r="431" spans="1:6" ht="20.100000000000001" customHeight="1">
      <c r="A431" s="22" t="s">
        <v>7454</v>
      </c>
      <c r="B431" s="22" t="s">
        <v>7453</v>
      </c>
      <c r="C431" s="23" t="s">
        <v>7455</v>
      </c>
      <c r="D431" s="30">
        <v>1302.95</v>
      </c>
      <c r="E431" s="94">
        <f t="shared" si="31"/>
        <v>47.774833333333341</v>
      </c>
      <c r="F431" s="94">
        <f t="shared" si="32"/>
        <v>52.118000000000002</v>
      </c>
    </row>
    <row r="432" spans="1:6" ht="20.100000000000001" customHeight="1">
      <c r="A432" s="22" t="s">
        <v>7457</v>
      </c>
      <c r="B432" s="22" t="s">
        <v>7456</v>
      </c>
      <c r="C432" s="23" t="s">
        <v>7458</v>
      </c>
      <c r="D432" s="30">
        <v>1302.95</v>
      </c>
      <c r="E432" s="94">
        <f t="shared" si="31"/>
        <v>47.774833333333341</v>
      </c>
      <c r="F432" s="94">
        <f t="shared" si="32"/>
        <v>52.118000000000002</v>
      </c>
    </row>
    <row r="433" spans="1:6" ht="20.100000000000001" customHeight="1">
      <c r="A433" s="22" t="s">
        <v>7442</v>
      </c>
      <c r="B433" s="22" t="s">
        <v>7441</v>
      </c>
      <c r="C433" s="23" t="s">
        <v>7443</v>
      </c>
      <c r="D433" s="30">
        <v>1153.6000000000001</v>
      </c>
      <c r="E433" s="94">
        <f t="shared" si="31"/>
        <v>42.298666666666676</v>
      </c>
      <c r="F433" s="94">
        <f t="shared" si="32"/>
        <v>46.144000000000005</v>
      </c>
    </row>
    <row r="434" spans="1:6" ht="20.100000000000001" customHeight="1">
      <c r="A434" s="22" t="s">
        <v>7480</v>
      </c>
      <c r="B434" s="22" t="s">
        <v>7479</v>
      </c>
      <c r="C434" s="23" t="s">
        <v>7481</v>
      </c>
      <c r="D434" s="30" t="s">
        <v>2</v>
      </c>
      <c r="E434" s="94" t="e">
        <f t="shared" si="31"/>
        <v>#VALUE!</v>
      </c>
      <c r="F434" s="94" t="e">
        <f t="shared" si="32"/>
        <v>#VALUE!</v>
      </c>
    </row>
    <row r="435" spans="1:6" ht="20.100000000000001" customHeight="1">
      <c r="A435" s="22" t="s">
        <v>7474</v>
      </c>
      <c r="B435" s="22" t="s">
        <v>7473</v>
      </c>
      <c r="C435" s="23" t="s">
        <v>7475</v>
      </c>
      <c r="D435" s="30">
        <v>2343.25</v>
      </c>
      <c r="E435" s="94">
        <f t="shared" si="31"/>
        <v>85.919166666666669</v>
      </c>
      <c r="F435" s="94">
        <f t="shared" si="32"/>
        <v>93.73</v>
      </c>
    </row>
    <row r="436" spans="1:6" ht="20.100000000000001" customHeight="1">
      <c r="A436" s="22" t="s">
        <v>7489</v>
      </c>
      <c r="B436" s="22" t="s">
        <v>7488</v>
      </c>
      <c r="C436" s="23" t="s">
        <v>7490</v>
      </c>
      <c r="D436" s="30">
        <v>2621.35</v>
      </c>
      <c r="E436" s="94">
        <f t="shared" si="31"/>
        <v>96.116166666666672</v>
      </c>
      <c r="F436" s="94">
        <f t="shared" si="32"/>
        <v>104.854</v>
      </c>
    </row>
    <row r="437" spans="1:6" ht="20.100000000000001" customHeight="1">
      <c r="A437" s="22" t="s">
        <v>7492</v>
      </c>
      <c r="B437" s="22" t="s">
        <v>7491</v>
      </c>
      <c r="C437" s="23" t="s">
        <v>7493</v>
      </c>
      <c r="D437" s="30">
        <v>2672.85</v>
      </c>
      <c r="E437" s="94">
        <f t="shared" si="31"/>
        <v>98.004500000000007</v>
      </c>
      <c r="F437" s="94">
        <f t="shared" si="32"/>
        <v>106.91399999999999</v>
      </c>
    </row>
    <row r="438" spans="1:6" ht="20.100000000000001" customHeight="1">
      <c r="A438" s="22" t="s">
        <v>7513</v>
      </c>
      <c r="B438" s="22" t="s">
        <v>7512</v>
      </c>
      <c r="C438" s="23" t="s">
        <v>7514</v>
      </c>
      <c r="D438" s="30" t="s">
        <v>2</v>
      </c>
      <c r="E438" s="94" t="e">
        <f t="shared" si="31"/>
        <v>#VALUE!</v>
      </c>
      <c r="F438" s="94" t="e">
        <f t="shared" si="32"/>
        <v>#VALUE!</v>
      </c>
    </row>
    <row r="439" spans="1:6" ht="20.100000000000001" customHeight="1">
      <c r="A439" s="22" t="s">
        <v>7507</v>
      </c>
      <c r="B439" s="22" t="s">
        <v>7506</v>
      </c>
      <c r="C439" s="23" t="s">
        <v>7508</v>
      </c>
      <c r="D439" s="30">
        <v>664.35</v>
      </c>
      <c r="E439" s="94">
        <f t="shared" si="31"/>
        <v>24.359500000000004</v>
      </c>
      <c r="F439" s="94">
        <f t="shared" si="32"/>
        <v>26.574000000000002</v>
      </c>
    </row>
    <row r="440" spans="1:6" ht="20.100000000000001" customHeight="1">
      <c r="A440" s="22" t="s">
        <v>7510</v>
      </c>
      <c r="B440" s="22" t="s">
        <v>7509</v>
      </c>
      <c r="C440" s="23" t="s">
        <v>7511</v>
      </c>
      <c r="D440" s="30">
        <v>969.23</v>
      </c>
      <c r="E440" s="94">
        <f t="shared" si="31"/>
        <v>35.538433333333337</v>
      </c>
      <c r="F440" s="94">
        <f t="shared" si="32"/>
        <v>38.769199999999998</v>
      </c>
    </row>
    <row r="441" spans="1:6" ht="20.100000000000001" customHeight="1">
      <c r="A441" s="22" t="s">
        <v>7516</v>
      </c>
      <c r="B441" s="22" t="s">
        <v>7515</v>
      </c>
      <c r="C441" s="23" t="s">
        <v>7517</v>
      </c>
      <c r="D441" s="30" t="s">
        <v>2</v>
      </c>
      <c r="E441" s="94" t="e">
        <f t="shared" si="31"/>
        <v>#VALUE!</v>
      </c>
      <c r="F441" s="94" t="e">
        <f t="shared" si="32"/>
        <v>#VALUE!</v>
      </c>
    </row>
    <row r="442" spans="1:6" ht="20.100000000000001" customHeight="1">
      <c r="A442" s="22" t="s">
        <v>7519</v>
      </c>
      <c r="B442" s="22" t="s">
        <v>7518</v>
      </c>
      <c r="C442" s="23" t="s">
        <v>7520</v>
      </c>
      <c r="D442" s="30" t="s">
        <v>2</v>
      </c>
      <c r="E442" s="94" t="e">
        <f t="shared" si="31"/>
        <v>#VALUE!</v>
      </c>
      <c r="F442" s="94" t="e">
        <f t="shared" si="32"/>
        <v>#VALUE!</v>
      </c>
    </row>
    <row r="443" spans="1:6" ht="20.100000000000001" customHeight="1">
      <c r="A443" s="22" t="s">
        <v>7534</v>
      </c>
      <c r="B443" s="22" t="s">
        <v>7533</v>
      </c>
      <c r="C443" s="23" t="s">
        <v>7535</v>
      </c>
      <c r="D443" s="30">
        <v>1395.65</v>
      </c>
      <c r="E443" s="94">
        <f t="shared" si="31"/>
        <v>51.173833333333341</v>
      </c>
      <c r="F443" s="94">
        <f t="shared" si="32"/>
        <v>55.826000000000001</v>
      </c>
    </row>
    <row r="444" spans="1:6" ht="20.100000000000001" customHeight="1">
      <c r="A444" s="22" t="s">
        <v>7537</v>
      </c>
      <c r="B444" s="22" t="s">
        <v>7536</v>
      </c>
      <c r="C444" s="23" t="s">
        <v>7538</v>
      </c>
      <c r="D444" s="30">
        <v>721</v>
      </c>
      <c r="E444" s="94">
        <f t="shared" si="31"/>
        <v>26.436666666666667</v>
      </c>
      <c r="F444" s="94">
        <f t="shared" si="32"/>
        <v>28.839999999999996</v>
      </c>
    </row>
    <row r="445" spans="1:6" ht="20.100000000000001" customHeight="1">
      <c r="A445" s="22" t="s">
        <v>7528</v>
      </c>
      <c r="B445" s="22" t="s">
        <v>7527</v>
      </c>
      <c r="C445" s="23" t="s">
        <v>7529</v>
      </c>
      <c r="D445" s="30">
        <v>581.95000000000005</v>
      </c>
      <c r="E445" s="94">
        <f t="shared" si="31"/>
        <v>21.33816666666667</v>
      </c>
      <c r="F445" s="94">
        <f t="shared" si="32"/>
        <v>23.278000000000002</v>
      </c>
    </row>
    <row r="446" spans="1:6" ht="20.100000000000001" customHeight="1">
      <c r="A446" s="22" t="s">
        <v>7531</v>
      </c>
      <c r="B446" s="22" t="s">
        <v>7530</v>
      </c>
      <c r="C446" s="23" t="s">
        <v>7532</v>
      </c>
      <c r="D446" s="30">
        <v>581.95000000000005</v>
      </c>
      <c r="E446" s="94">
        <f t="shared" si="31"/>
        <v>21.33816666666667</v>
      </c>
      <c r="F446" s="94">
        <f t="shared" si="32"/>
        <v>23.278000000000002</v>
      </c>
    </row>
    <row r="447" spans="1:6" ht="20.100000000000001" customHeight="1">
      <c r="A447" s="22" t="s">
        <v>6370</v>
      </c>
      <c r="B447" s="22" t="s">
        <v>6369</v>
      </c>
      <c r="C447" s="23" t="s">
        <v>6371</v>
      </c>
      <c r="D447" s="30">
        <v>695.25</v>
      </c>
      <c r="E447" s="94">
        <f t="shared" si="31"/>
        <v>25.492500000000003</v>
      </c>
      <c r="F447" s="94">
        <f t="shared" si="32"/>
        <v>27.81</v>
      </c>
    </row>
    <row r="448" spans="1:6" ht="20.100000000000001" customHeight="1">
      <c r="A448" s="22" t="s">
        <v>7525</v>
      </c>
      <c r="B448" s="22" t="s">
        <v>7524</v>
      </c>
      <c r="C448" s="23" t="s">
        <v>7526</v>
      </c>
      <c r="D448" s="30">
        <v>520.15</v>
      </c>
      <c r="E448" s="94">
        <f t="shared" si="31"/>
        <v>19.072166666666668</v>
      </c>
      <c r="F448" s="94">
        <f t="shared" si="32"/>
        <v>20.805999999999997</v>
      </c>
    </row>
    <row r="449" spans="1:9" ht="20.100000000000001" customHeight="1">
      <c r="A449" s="22" t="s">
        <v>7522</v>
      </c>
      <c r="B449" s="22" t="s">
        <v>7521</v>
      </c>
      <c r="C449" s="23" t="s">
        <v>7523</v>
      </c>
      <c r="D449" s="30">
        <v>520.15</v>
      </c>
      <c r="E449" s="94">
        <f t="shared" si="31"/>
        <v>19.072166666666668</v>
      </c>
      <c r="F449" s="94">
        <f t="shared" si="32"/>
        <v>20.805999999999997</v>
      </c>
    </row>
    <row r="450" spans="1:9" ht="20.100000000000001" customHeight="1">
      <c r="A450" s="22" t="s">
        <v>7665</v>
      </c>
      <c r="B450" s="22" t="s">
        <v>7664</v>
      </c>
      <c r="C450" s="23" t="s">
        <v>7666</v>
      </c>
      <c r="D450" s="30">
        <v>2224.8000000000002</v>
      </c>
      <c r="E450" s="94">
        <f t="shared" si="31"/>
        <v>81.576000000000008</v>
      </c>
      <c r="F450" s="94">
        <f t="shared" si="32"/>
        <v>88.992000000000004</v>
      </c>
    </row>
    <row r="451" spans="1:9" ht="20.100000000000001" customHeight="1">
      <c r="A451" s="22" t="s">
        <v>7549</v>
      </c>
      <c r="B451" s="22" t="s">
        <v>7548</v>
      </c>
      <c r="C451" s="23" t="s">
        <v>7550</v>
      </c>
      <c r="D451" s="30" t="s">
        <v>2</v>
      </c>
      <c r="E451" s="94" t="e">
        <f t="shared" si="31"/>
        <v>#VALUE!</v>
      </c>
      <c r="F451" s="94" t="e">
        <f t="shared" si="32"/>
        <v>#VALUE!</v>
      </c>
    </row>
    <row r="452" spans="1:9" ht="20.100000000000001" customHeight="1">
      <c r="A452" s="22" t="s">
        <v>7558</v>
      </c>
      <c r="B452" s="22" t="s">
        <v>7557</v>
      </c>
      <c r="C452" s="23" t="s">
        <v>7559</v>
      </c>
      <c r="D452" s="30" t="s">
        <v>2</v>
      </c>
      <c r="E452" s="94" t="e">
        <f t="shared" si="31"/>
        <v>#VALUE!</v>
      </c>
      <c r="F452" s="94" t="e">
        <f t="shared" si="32"/>
        <v>#VALUE!</v>
      </c>
    </row>
    <row r="453" spans="1:9" ht="20.100000000000001" customHeight="1">
      <c r="A453" s="22" t="s">
        <v>7561</v>
      </c>
      <c r="B453" s="22" t="s">
        <v>7560</v>
      </c>
      <c r="C453" s="23" t="s">
        <v>7562</v>
      </c>
      <c r="D453" s="30" t="s">
        <v>2</v>
      </c>
      <c r="E453" s="94" t="e">
        <f t="shared" si="31"/>
        <v>#VALUE!</v>
      </c>
      <c r="F453" s="94" t="e">
        <f t="shared" si="32"/>
        <v>#VALUE!</v>
      </c>
    </row>
    <row r="454" spans="1:9" ht="20.100000000000001" customHeight="1">
      <c r="A454" s="22" t="s">
        <v>7543</v>
      </c>
      <c r="B454" s="22" t="s">
        <v>7542</v>
      </c>
      <c r="C454" s="23" t="s">
        <v>7544</v>
      </c>
      <c r="D454" s="30" t="s">
        <v>2</v>
      </c>
      <c r="E454" s="94" t="e">
        <f t="shared" si="31"/>
        <v>#VALUE!</v>
      </c>
      <c r="F454" s="94" t="e">
        <f t="shared" si="32"/>
        <v>#VALUE!</v>
      </c>
    </row>
    <row r="455" spans="1:9" ht="20.100000000000001" customHeight="1">
      <c r="A455" s="22" t="s">
        <v>7546</v>
      </c>
      <c r="B455" s="22" t="s">
        <v>7545</v>
      </c>
      <c r="C455" s="23" t="s">
        <v>7547</v>
      </c>
      <c r="D455" s="30" t="s">
        <v>2</v>
      </c>
      <c r="E455" s="94" t="e">
        <f t="shared" si="31"/>
        <v>#VALUE!</v>
      </c>
      <c r="F455" s="94" t="e">
        <f t="shared" si="32"/>
        <v>#VALUE!</v>
      </c>
    </row>
    <row r="456" spans="1:9" ht="20.100000000000001" customHeight="1">
      <c r="A456" s="22" t="s">
        <v>7555</v>
      </c>
      <c r="B456" s="22" t="s">
        <v>7554</v>
      </c>
      <c r="C456" s="23" t="s">
        <v>7556</v>
      </c>
      <c r="D456" s="30" t="s">
        <v>2</v>
      </c>
      <c r="E456" s="94" t="e">
        <f t="shared" si="31"/>
        <v>#VALUE!</v>
      </c>
      <c r="F456" s="94" t="e">
        <f t="shared" si="32"/>
        <v>#VALUE!</v>
      </c>
    </row>
    <row r="457" spans="1:9" ht="20.100000000000001" customHeight="1">
      <c r="A457" s="22" t="s">
        <v>7564</v>
      </c>
      <c r="B457" s="22" t="s">
        <v>7563</v>
      </c>
      <c r="C457" s="23" t="s">
        <v>7565</v>
      </c>
      <c r="D457" s="30" t="s">
        <v>2</v>
      </c>
      <c r="E457" s="94" t="e">
        <f t="shared" si="31"/>
        <v>#VALUE!</v>
      </c>
      <c r="F457" s="94" t="e">
        <f t="shared" si="32"/>
        <v>#VALUE!</v>
      </c>
    </row>
    <row r="458" spans="1:9" ht="20.100000000000001" customHeight="1">
      <c r="A458" s="22" t="s">
        <v>7567</v>
      </c>
      <c r="B458" s="22" t="s">
        <v>7566</v>
      </c>
      <c r="C458" s="23" t="s">
        <v>7568</v>
      </c>
      <c r="D458" s="30" t="s">
        <v>2</v>
      </c>
      <c r="E458" s="94" t="e">
        <f t="shared" si="31"/>
        <v>#VALUE!</v>
      </c>
      <c r="F458" s="94" t="e">
        <f t="shared" si="32"/>
        <v>#VALUE!</v>
      </c>
    </row>
    <row r="459" spans="1:9" ht="20.100000000000001" customHeight="1">
      <c r="A459" s="22" t="s">
        <v>7579</v>
      </c>
      <c r="B459" s="22" t="s">
        <v>7578</v>
      </c>
      <c r="C459" s="23" t="s">
        <v>7580</v>
      </c>
      <c r="D459" s="30" t="s">
        <v>2</v>
      </c>
      <c r="E459" s="94" t="e">
        <f t="shared" si="31"/>
        <v>#VALUE!</v>
      </c>
      <c r="F459" s="94" t="e">
        <f t="shared" si="32"/>
        <v>#VALUE!</v>
      </c>
    </row>
    <row r="460" spans="1:9" ht="20.100000000000001" customHeight="1">
      <c r="A460" s="22" t="s">
        <v>7573</v>
      </c>
      <c r="B460" s="22" t="s">
        <v>7572</v>
      </c>
      <c r="C460" s="23" t="s">
        <v>7574</v>
      </c>
      <c r="D460" s="30">
        <v>545.9</v>
      </c>
      <c r="E460" s="94">
        <f t="shared" si="31"/>
        <v>20.016333333333332</v>
      </c>
      <c r="F460" s="94">
        <f t="shared" si="32"/>
        <v>21.835999999999999</v>
      </c>
    </row>
    <row r="461" spans="1:9" ht="20.100000000000001" customHeight="1">
      <c r="A461" s="22" t="s">
        <v>7576</v>
      </c>
      <c r="B461" s="22" t="s">
        <v>7575</v>
      </c>
      <c r="C461" s="23" t="s">
        <v>7577</v>
      </c>
      <c r="D461" s="30" t="s">
        <v>2</v>
      </c>
      <c r="E461" s="94" t="e">
        <f t="shared" si="31"/>
        <v>#VALUE!</v>
      </c>
      <c r="F461" s="94" t="e">
        <f t="shared" si="32"/>
        <v>#VALUE!</v>
      </c>
    </row>
    <row r="462" spans="1:9" ht="20.100000000000001" customHeight="1">
      <c r="A462" s="22" t="s">
        <v>7582</v>
      </c>
      <c r="B462" s="22" t="s">
        <v>7581</v>
      </c>
      <c r="C462" s="23" t="s">
        <v>7583</v>
      </c>
      <c r="D462" s="30" t="s">
        <v>2</v>
      </c>
      <c r="E462" s="94" t="e">
        <f t="shared" si="31"/>
        <v>#VALUE!</v>
      </c>
      <c r="F462" s="94" t="e">
        <f t="shared" si="32"/>
        <v>#VALUE!</v>
      </c>
    </row>
    <row r="463" spans="1:9" ht="20.100000000000001" customHeight="1">
      <c r="A463" s="22" t="s">
        <v>7585</v>
      </c>
      <c r="B463" s="22" t="s">
        <v>7584</v>
      </c>
      <c r="C463" s="23" t="s">
        <v>7586</v>
      </c>
      <c r="D463" s="30" t="s">
        <v>2</v>
      </c>
      <c r="E463" s="94" t="e">
        <f t="shared" si="31"/>
        <v>#VALUE!</v>
      </c>
      <c r="F463" s="94" t="e">
        <f t="shared" si="32"/>
        <v>#VALUE!</v>
      </c>
    </row>
    <row r="464" spans="1:9" ht="20.100000000000001" customHeight="1">
      <c r="A464" s="21" t="s">
        <v>7591</v>
      </c>
      <c r="B464" s="21" t="s">
        <v>7590</v>
      </c>
      <c r="C464" s="28" t="s">
        <v>8568</v>
      </c>
      <c r="D464" s="21">
        <v>1885</v>
      </c>
      <c r="E464" s="94">
        <f t="shared" si="31"/>
        <v>69.11666666666666</v>
      </c>
      <c r="F464" s="94">
        <f t="shared" si="32"/>
        <v>75.400000000000006</v>
      </c>
      <c r="I464" s="91">
        <v>45507</v>
      </c>
    </row>
    <row r="465" spans="1:9" ht="20.100000000000001" customHeight="1">
      <c r="A465" s="22" t="s">
        <v>7593</v>
      </c>
      <c r="B465" s="22" t="s">
        <v>7592</v>
      </c>
      <c r="C465" s="23" t="s">
        <v>7594</v>
      </c>
      <c r="D465" s="30">
        <v>1586.2</v>
      </c>
      <c r="E465" s="94">
        <f t="shared" si="31"/>
        <v>58.160666666666671</v>
      </c>
      <c r="F465" s="94">
        <f t="shared" si="32"/>
        <v>63.448</v>
      </c>
    </row>
    <row r="466" spans="1:9" ht="20.100000000000001" customHeight="1">
      <c r="A466" s="21" t="s">
        <v>7593</v>
      </c>
      <c r="B466" s="21" t="s">
        <v>7592</v>
      </c>
      <c r="C466" s="28" t="s">
        <v>8567</v>
      </c>
      <c r="D466" s="21">
        <v>1885</v>
      </c>
      <c r="E466" s="94">
        <f t="shared" si="31"/>
        <v>69.11666666666666</v>
      </c>
      <c r="F466" s="94">
        <f t="shared" si="32"/>
        <v>75.400000000000006</v>
      </c>
      <c r="I466" s="91">
        <v>45507</v>
      </c>
    </row>
    <row r="467" spans="1:9" ht="20.100000000000001" customHeight="1">
      <c r="A467" s="22" t="s">
        <v>7596</v>
      </c>
      <c r="B467" s="22" t="s">
        <v>7595</v>
      </c>
      <c r="C467" s="23" t="s">
        <v>7597</v>
      </c>
      <c r="D467" s="30">
        <v>1133</v>
      </c>
      <c r="E467" s="94">
        <f t="shared" si="31"/>
        <v>41.543333333333337</v>
      </c>
      <c r="F467" s="94">
        <f t="shared" si="32"/>
        <v>45.32</v>
      </c>
    </row>
    <row r="468" spans="1:9" ht="20.100000000000001" customHeight="1">
      <c r="A468" s="22" t="s">
        <v>7599</v>
      </c>
      <c r="B468" s="22" t="s">
        <v>7598</v>
      </c>
      <c r="C468" s="23" t="s">
        <v>7600</v>
      </c>
      <c r="D468" s="30" t="s">
        <v>2</v>
      </c>
      <c r="E468" s="94" t="e">
        <f t="shared" si="31"/>
        <v>#VALUE!</v>
      </c>
      <c r="F468" s="94" t="e">
        <f t="shared" si="32"/>
        <v>#VALUE!</v>
      </c>
    </row>
    <row r="469" spans="1:9" ht="20.100000000000001" customHeight="1">
      <c r="A469" s="22" t="s">
        <v>7656</v>
      </c>
      <c r="B469" s="22" t="s">
        <v>7655</v>
      </c>
      <c r="C469" s="23" t="s">
        <v>7657</v>
      </c>
      <c r="D469" s="30" t="s">
        <v>2</v>
      </c>
      <c r="E469" s="94" t="e">
        <f t="shared" si="31"/>
        <v>#VALUE!</v>
      </c>
      <c r="F469" s="94" t="e">
        <f t="shared" si="32"/>
        <v>#VALUE!</v>
      </c>
    </row>
    <row r="470" spans="1:9" ht="20.100000000000001" customHeight="1">
      <c r="A470" s="22" t="s">
        <v>7602</v>
      </c>
      <c r="B470" s="22" t="s">
        <v>7601</v>
      </c>
      <c r="C470" s="23" t="s">
        <v>7603</v>
      </c>
      <c r="D470" s="30" t="s">
        <v>2</v>
      </c>
      <c r="E470" s="94" t="e">
        <f t="shared" si="31"/>
        <v>#VALUE!</v>
      </c>
      <c r="F470" s="94" t="e">
        <f t="shared" si="32"/>
        <v>#VALUE!</v>
      </c>
    </row>
    <row r="471" spans="1:9" ht="20.100000000000001" customHeight="1">
      <c r="A471" s="22" t="s">
        <v>7605</v>
      </c>
      <c r="B471" s="22" t="s">
        <v>7604</v>
      </c>
      <c r="C471" s="23" t="s">
        <v>7606</v>
      </c>
      <c r="D471" s="30" t="s">
        <v>2</v>
      </c>
      <c r="E471" s="94" t="e">
        <f t="shared" si="31"/>
        <v>#VALUE!</v>
      </c>
      <c r="F471" s="94" t="e">
        <f t="shared" si="32"/>
        <v>#VALUE!</v>
      </c>
    </row>
    <row r="472" spans="1:9" ht="20.100000000000001" customHeight="1">
      <c r="A472" s="22" t="s">
        <v>7608</v>
      </c>
      <c r="B472" s="22" t="s">
        <v>7607</v>
      </c>
      <c r="C472" s="23" t="s">
        <v>7609</v>
      </c>
      <c r="D472" s="30" t="s">
        <v>2</v>
      </c>
      <c r="E472" s="94" t="e">
        <f t="shared" si="31"/>
        <v>#VALUE!</v>
      </c>
      <c r="F472" s="94" t="e">
        <f t="shared" si="32"/>
        <v>#VALUE!</v>
      </c>
    </row>
    <row r="473" spans="1:9" ht="20.100000000000001" customHeight="1">
      <c r="A473" s="22" t="s">
        <v>7623</v>
      </c>
      <c r="B473" s="22" t="s">
        <v>7622</v>
      </c>
      <c r="C473" s="23" t="s">
        <v>7624</v>
      </c>
      <c r="D473" s="30">
        <v>1040.3</v>
      </c>
      <c r="E473" s="94">
        <f t="shared" si="31"/>
        <v>38.144333333333336</v>
      </c>
      <c r="F473" s="94">
        <f t="shared" si="32"/>
        <v>41.611999999999995</v>
      </c>
    </row>
    <row r="474" spans="1:9" ht="20.100000000000001" customHeight="1">
      <c r="A474" s="22" t="s">
        <v>7621</v>
      </c>
      <c r="B474" s="22" t="s">
        <v>7620</v>
      </c>
      <c r="C474" s="23" t="s">
        <v>7613</v>
      </c>
      <c r="D474" s="30" t="s">
        <v>2</v>
      </c>
      <c r="E474" s="94" t="e">
        <f t="shared" si="31"/>
        <v>#VALUE!</v>
      </c>
      <c r="F474" s="94" t="e">
        <f t="shared" si="32"/>
        <v>#VALUE!</v>
      </c>
    </row>
    <row r="475" spans="1:9" ht="20.100000000000001" customHeight="1">
      <c r="A475" s="22" t="s">
        <v>7641</v>
      </c>
      <c r="B475" s="22" t="s">
        <v>7640</v>
      </c>
      <c r="C475" s="23" t="s">
        <v>7642</v>
      </c>
      <c r="D475" s="30" t="s">
        <v>2</v>
      </c>
      <c r="E475" s="94" t="e">
        <f t="shared" si="31"/>
        <v>#VALUE!</v>
      </c>
      <c r="F475" s="94" t="e">
        <f t="shared" si="32"/>
        <v>#VALUE!</v>
      </c>
    </row>
    <row r="476" spans="1:9" ht="20.100000000000001" customHeight="1">
      <c r="A476" s="22" t="s">
        <v>7659</v>
      </c>
      <c r="B476" s="22" t="s">
        <v>7658</v>
      </c>
      <c r="C476" s="23" t="s">
        <v>7660</v>
      </c>
      <c r="D476" s="30" t="s">
        <v>2</v>
      </c>
      <c r="E476" s="94" t="e">
        <f t="shared" si="31"/>
        <v>#VALUE!</v>
      </c>
      <c r="F476" s="94" t="e">
        <f t="shared" si="32"/>
        <v>#VALUE!</v>
      </c>
    </row>
    <row r="477" spans="1:9" ht="20.100000000000001" customHeight="1">
      <c r="A477" s="22" t="s">
        <v>7662</v>
      </c>
      <c r="B477" s="22" t="s">
        <v>7661</v>
      </c>
      <c r="C477" s="23" t="s">
        <v>7663</v>
      </c>
      <c r="D477" s="30" t="s">
        <v>2</v>
      </c>
      <c r="E477" s="94" t="e">
        <f t="shared" si="31"/>
        <v>#VALUE!</v>
      </c>
      <c r="F477" s="94" t="e">
        <f t="shared" si="32"/>
        <v>#VALUE!</v>
      </c>
    </row>
    <row r="478" spans="1:9" ht="20.100000000000001" customHeight="1">
      <c r="A478" s="22" t="s">
        <v>7783</v>
      </c>
      <c r="B478" s="22" t="s">
        <v>7782</v>
      </c>
      <c r="C478" s="23" t="s">
        <v>3360</v>
      </c>
      <c r="D478" s="30" t="s">
        <v>2</v>
      </c>
      <c r="E478" s="94" t="e">
        <f t="shared" si="31"/>
        <v>#VALUE!</v>
      </c>
      <c r="F478" s="94" t="e">
        <f t="shared" si="32"/>
        <v>#VALUE!</v>
      </c>
    </row>
    <row r="479" spans="1:9" ht="20.100000000000001" customHeight="1">
      <c r="A479" s="22" t="s">
        <v>7785</v>
      </c>
      <c r="B479" s="22" t="s">
        <v>7784</v>
      </c>
      <c r="C479" s="23" t="s">
        <v>7786</v>
      </c>
      <c r="D479" s="30" t="s">
        <v>2</v>
      </c>
      <c r="E479" s="94" t="e">
        <f t="shared" si="31"/>
        <v>#VALUE!</v>
      </c>
      <c r="F479" s="94" t="e">
        <f t="shared" si="32"/>
        <v>#VALUE!</v>
      </c>
    </row>
    <row r="480" spans="1:9" ht="20.100000000000001" customHeight="1">
      <c r="A480" s="22" t="s">
        <v>7644</v>
      </c>
      <c r="B480" s="22" t="s">
        <v>7643</v>
      </c>
      <c r="C480" s="23" t="s">
        <v>7645</v>
      </c>
      <c r="D480" s="30">
        <v>875.5</v>
      </c>
      <c r="E480" s="94">
        <f t="shared" si="31"/>
        <v>32.101666666666667</v>
      </c>
      <c r="F480" s="94">
        <f t="shared" si="32"/>
        <v>35.019999999999996</v>
      </c>
    </row>
    <row r="481" spans="1:6" ht="20.100000000000001" customHeight="1">
      <c r="A481" s="22" t="s">
        <v>7650</v>
      </c>
      <c r="B481" s="22" t="s">
        <v>7649</v>
      </c>
      <c r="C481" s="23" t="s">
        <v>7651</v>
      </c>
      <c r="D481" s="30" t="s">
        <v>2</v>
      </c>
      <c r="E481" s="94" t="e">
        <f t="shared" si="31"/>
        <v>#VALUE!</v>
      </c>
      <c r="F481" s="94" t="e">
        <f t="shared" si="32"/>
        <v>#VALUE!</v>
      </c>
    </row>
    <row r="482" spans="1:6" ht="20.100000000000001" customHeight="1">
      <c r="A482" s="22" t="s">
        <v>7653</v>
      </c>
      <c r="B482" s="22" t="s">
        <v>7652</v>
      </c>
      <c r="C482" s="23" t="s">
        <v>7654</v>
      </c>
      <c r="D482" s="30" t="s">
        <v>2</v>
      </c>
      <c r="E482" s="94" t="e">
        <f t="shared" si="31"/>
        <v>#VALUE!</v>
      </c>
      <c r="F482" s="94" t="e">
        <f t="shared" si="32"/>
        <v>#VALUE!</v>
      </c>
    </row>
    <row r="483" spans="1:6" ht="20.100000000000001" customHeight="1">
      <c r="A483" s="22" t="s">
        <v>7647</v>
      </c>
      <c r="B483" s="22" t="s">
        <v>7646</v>
      </c>
      <c r="C483" s="23" t="s">
        <v>7648</v>
      </c>
      <c r="D483" s="30" t="s">
        <v>2</v>
      </c>
      <c r="E483" s="94" t="e">
        <f t="shared" si="31"/>
        <v>#VALUE!</v>
      </c>
      <c r="F483" s="94" t="e">
        <f t="shared" si="32"/>
        <v>#VALUE!</v>
      </c>
    </row>
    <row r="484" spans="1:6" ht="20.100000000000001" customHeight="1">
      <c r="A484" s="22" t="s">
        <v>7695</v>
      </c>
      <c r="B484" s="22" t="s">
        <v>7694</v>
      </c>
      <c r="C484" s="23" t="s">
        <v>7696</v>
      </c>
      <c r="D484" s="30" t="s">
        <v>2</v>
      </c>
      <c r="E484" s="94" t="e">
        <f t="shared" ref="E484:E547" si="33">+(D484*1.1/30)</f>
        <v>#VALUE!</v>
      </c>
      <c r="F484" s="94" t="e">
        <f t="shared" ref="F484:F547" si="34">+(D484*1.2/30)</f>
        <v>#VALUE!</v>
      </c>
    </row>
    <row r="485" spans="1:6" ht="20.100000000000001" customHeight="1">
      <c r="A485" s="22" t="s">
        <v>7698</v>
      </c>
      <c r="B485" s="22" t="s">
        <v>7697</v>
      </c>
      <c r="C485" s="23" t="s">
        <v>7699</v>
      </c>
      <c r="D485" s="30" t="s">
        <v>2</v>
      </c>
      <c r="E485" s="94" t="e">
        <f t="shared" si="33"/>
        <v>#VALUE!</v>
      </c>
      <c r="F485" s="94" t="e">
        <f t="shared" si="34"/>
        <v>#VALUE!</v>
      </c>
    </row>
    <row r="486" spans="1:6" ht="20.100000000000001" customHeight="1">
      <c r="A486" s="22" t="s">
        <v>7671</v>
      </c>
      <c r="B486" s="22" t="s">
        <v>7670</v>
      </c>
      <c r="C486" s="23" t="s">
        <v>7672</v>
      </c>
      <c r="D486" s="30">
        <v>1153.6000000000001</v>
      </c>
      <c r="E486" s="94">
        <f t="shared" si="33"/>
        <v>42.298666666666676</v>
      </c>
      <c r="F486" s="94">
        <f t="shared" si="34"/>
        <v>46.144000000000005</v>
      </c>
    </row>
    <row r="487" spans="1:6" ht="20.100000000000001" customHeight="1">
      <c r="A487" s="22" t="s">
        <v>7677</v>
      </c>
      <c r="B487" s="22" t="s">
        <v>7676</v>
      </c>
      <c r="C487" s="23" t="s">
        <v>7678</v>
      </c>
      <c r="D487" s="30">
        <v>978.5</v>
      </c>
      <c r="E487" s="94">
        <f t="shared" si="33"/>
        <v>35.878333333333337</v>
      </c>
      <c r="F487" s="94">
        <f t="shared" si="34"/>
        <v>39.14</v>
      </c>
    </row>
    <row r="488" spans="1:6" ht="20.100000000000001" customHeight="1">
      <c r="A488" s="22" t="s">
        <v>7683</v>
      </c>
      <c r="B488" s="22" t="s">
        <v>7682</v>
      </c>
      <c r="C488" s="23" t="s">
        <v>7684</v>
      </c>
      <c r="D488" s="30" t="s">
        <v>2</v>
      </c>
      <c r="E488" s="94" t="e">
        <f t="shared" si="33"/>
        <v>#VALUE!</v>
      </c>
      <c r="F488" s="94" t="e">
        <f t="shared" si="34"/>
        <v>#VALUE!</v>
      </c>
    </row>
    <row r="489" spans="1:6" ht="20.100000000000001" customHeight="1">
      <c r="A489" s="22" t="s">
        <v>7686</v>
      </c>
      <c r="B489" s="22" t="s">
        <v>7685</v>
      </c>
      <c r="C489" s="23" t="s">
        <v>7687</v>
      </c>
      <c r="D489" s="30" t="s">
        <v>2</v>
      </c>
      <c r="E489" s="94" t="e">
        <f t="shared" si="33"/>
        <v>#VALUE!</v>
      </c>
      <c r="F489" s="94" t="e">
        <f t="shared" si="34"/>
        <v>#VALUE!</v>
      </c>
    </row>
    <row r="490" spans="1:6" ht="20.100000000000001" customHeight="1">
      <c r="A490" s="22" t="s">
        <v>7689</v>
      </c>
      <c r="B490" s="22" t="s">
        <v>7688</v>
      </c>
      <c r="C490" s="23" t="s">
        <v>7690</v>
      </c>
      <c r="D490" s="30" t="s">
        <v>2</v>
      </c>
      <c r="E490" s="94" t="e">
        <f t="shared" si="33"/>
        <v>#VALUE!</v>
      </c>
      <c r="F490" s="94" t="e">
        <f t="shared" si="34"/>
        <v>#VALUE!</v>
      </c>
    </row>
    <row r="491" spans="1:6" ht="20.100000000000001" customHeight="1">
      <c r="A491" s="22" t="s">
        <v>7692</v>
      </c>
      <c r="B491" s="22" t="s">
        <v>7691</v>
      </c>
      <c r="C491" s="23" t="s">
        <v>7693</v>
      </c>
      <c r="D491" s="30" t="s">
        <v>2</v>
      </c>
      <c r="E491" s="94" t="e">
        <f t="shared" si="33"/>
        <v>#VALUE!</v>
      </c>
      <c r="F491" s="94" t="e">
        <f t="shared" si="34"/>
        <v>#VALUE!</v>
      </c>
    </row>
    <row r="492" spans="1:6" ht="20.100000000000001" customHeight="1">
      <c r="A492" s="22" t="s">
        <v>7668</v>
      </c>
      <c r="B492" s="22" t="s">
        <v>7667</v>
      </c>
      <c r="C492" s="23" t="s">
        <v>7669</v>
      </c>
      <c r="D492" s="30" t="s">
        <v>2</v>
      </c>
      <c r="E492" s="94" t="e">
        <f t="shared" si="33"/>
        <v>#VALUE!</v>
      </c>
      <c r="F492" s="94" t="e">
        <f t="shared" si="34"/>
        <v>#VALUE!</v>
      </c>
    </row>
    <row r="493" spans="1:6" ht="20.100000000000001" customHeight="1">
      <c r="A493" s="22" t="s">
        <v>7716</v>
      </c>
      <c r="B493" s="22" t="s">
        <v>7715</v>
      </c>
      <c r="C493" s="23" t="s">
        <v>7711</v>
      </c>
      <c r="D493" s="30" t="s">
        <v>2</v>
      </c>
      <c r="E493" s="94" t="e">
        <f t="shared" si="33"/>
        <v>#VALUE!</v>
      </c>
      <c r="F493" s="94" t="e">
        <f t="shared" si="34"/>
        <v>#VALUE!</v>
      </c>
    </row>
    <row r="494" spans="1:6" ht="20.100000000000001" customHeight="1">
      <c r="A494" s="22" t="s">
        <v>7718</v>
      </c>
      <c r="B494" s="22" t="s">
        <v>7717</v>
      </c>
      <c r="C494" s="23" t="s">
        <v>7714</v>
      </c>
      <c r="D494" s="30" t="s">
        <v>2</v>
      </c>
      <c r="E494" s="94" t="e">
        <f t="shared" si="33"/>
        <v>#VALUE!</v>
      </c>
      <c r="F494" s="94" t="e">
        <f t="shared" si="34"/>
        <v>#VALUE!</v>
      </c>
    </row>
    <row r="495" spans="1:6" ht="20.100000000000001" customHeight="1">
      <c r="A495" s="22" t="s">
        <v>7701</v>
      </c>
      <c r="B495" s="22" t="s">
        <v>7700</v>
      </c>
      <c r="C495" s="23" t="s">
        <v>7702</v>
      </c>
      <c r="D495" s="30" t="s">
        <v>2</v>
      </c>
      <c r="E495" s="94" t="e">
        <f t="shared" si="33"/>
        <v>#VALUE!</v>
      </c>
      <c r="F495" s="94" t="e">
        <f t="shared" si="34"/>
        <v>#VALUE!</v>
      </c>
    </row>
    <row r="496" spans="1:6" ht="20.100000000000001" customHeight="1">
      <c r="A496" s="22" t="s">
        <v>7704</v>
      </c>
      <c r="B496" s="22" t="s">
        <v>7703</v>
      </c>
      <c r="C496" s="23" t="s">
        <v>7705</v>
      </c>
      <c r="D496" s="30" t="s">
        <v>2</v>
      </c>
      <c r="E496" s="94" t="e">
        <f t="shared" si="33"/>
        <v>#VALUE!</v>
      </c>
      <c r="F496" s="94" t="e">
        <f t="shared" si="34"/>
        <v>#VALUE!</v>
      </c>
    </row>
    <row r="497" spans="1:6" ht="20.100000000000001" customHeight="1">
      <c r="A497" s="22" t="s">
        <v>7707</v>
      </c>
      <c r="B497" s="22" t="s">
        <v>7706</v>
      </c>
      <c r="C497" s="23" t="s">
        <v>7708</v>
      </c>
      <c r="D497" s="30">
        <v>912.58</v>
      </c>
      <c r="E497" s="94">
        <f t="shared" si="33"/>
        <v>33.461266666666667</v>
      </c>
      <c r="F497" s="94">
        <f t="shared" si="34"/>
        <v>36.5032</v>
      </c>
    </row>
    <row r="498" spans="1:6" ht="20.100000000000001" customHeight="1">
      <c r="A498" s="22" t="s">
        <v>7720</v>
      </c>
      <c r="B498" s="22" t="s">
        <v>7719</v>
      </c>
      <c r="C498" s="23" t="s">
        <v>7721</v>
      </c>
      <c r="D498" s="30" t="s">
        <v>2</v>
      </c>
      <c r="E498" s="94" t="e">
        <f t="shared" si="33"/>
        <v>#VALUE!</v>
      </c>
      <c r="F498" s="94" t="e">
        <f t="shared" si="34"/>
        <v>#VALUE!</v>
      </c>
    </row>
    <row r="499" spans="1:6" ht="20.100000000000001" customHeight="1">
      <c r="A499" s="22" t="s">
        <v>7723</v>
      </c>
      <c r="B499" s="22" t="s">
        <v>7722</v>
      </c>
      <c r="C499" s="23" t="s">
        <v>7724</v>
      </c>
      <c r="D499" s="30" t="s">
        <v>2</v>
      </c>
      <c r="E499" s="94" t="e">
        <f t="shared" si="33"/>
        <v>#VALUE!</v>
      </c>
      <c r="F499" s="94" t="e">
        <f t="shared" si="34"/>
        <v>#VALUE!</v>
      </c>
    </row>
    <row r="500" spans="1:6" ht="20.100000000000001" customHeight="1">
      <c r="A500" s="22" t="s">
        <v>7710</v>
      </c>
      <c r="B500" s="22" t="s">
        <v>7709</v>
      </c>
      <c r="C500" s="23" t="s">
        <v>7711</v>
      </c>
      <c r="D500" s="30" t="s">
        <v>2</v>
      </c>
      <c r="E500" s="94" t="e">
        <f t="shared" si="33"/>
        <v>#VALUE!</v>
      </c>
      <c r="F500" s="94" t="e">
        <f t="shared" si="34"/>
        <v>#VALUE!</v>
      </c>
    </row>
    <row r="501" spans="1:6" ht="20.100000000000001" customHeight="1">
      <c r="A501" s="22" t="s">
        <v>7713</v>
      </c>
      <c r="B501" s="22" t="s">
        <v>7712</v>
      </c>
      <c r="C501" s="23" t="s">
        <v>7714</v>
      </c>
      <c r="D501" s="30" t="s">
        <v>2</v>
      </c>
      <c r="E501" s="94" t="e">
        <f t="shared" si="33"/>
        <v>#VALUE!</v>
      </c>
      <c r="F501" s="94" t="e">
        <f t="shared" si="34"/>
        <v>#VALUE!</v>
      </c>
    </row>
    <row r="502" spans="1:6" ht="20.100000000000001" customHeight="1">
      <c r="A502" s="22" t="s">
        <v>7726</v>
      </c>
      <c r="B502" s="22" t="s">
        <v>7725</v>
      </c>
      <c r="C502" s="23" t="s">
        <v>7727</v>
      </c>
      <c r="D502" s="30" t="s">
        <v>2</v>
      </c>
      <c r="E502" s="94" t="e">
        <f t="shared" si="33"/>
        <v>#VALUE!</v>
      </c>
      <c r="F502" s="94" t="e">
        <f t="shared" si="34"/>
        <v>#VALUE!</v>
      </c>
    </row>
    <row r="503" spans="1:6" ht="20.100000000000001" customHeight="1">
      <c r="A503" s="22" t="s">
        <v>7729</v>
      </c>
      <c r="B503" s="22" t="s">
        <v>7728</v>
      </c>
      <c r="C503" s="23" t="s">
        <v>7730</v>
      </c>
      <c r="D503" s="30" t="s">
        <v>2</v>
      </c>
      <c r="E503" s="94" t="e">
        <f t="shared" si="33"/>
        <v>#VALUE!</v>
      </c>
      <c r="F503" s="94" t="e">
        <f t="shared" si="34"/>
        <v>#VALUE!</v>
      </c>
    </row>
    <row r="504" spans="1:6" ht="20.100000000000001" customHeight="1">
      <c r="A504" s="22" t="s">
        <v>7732</v>
      </c>
      <c r="B504" s="22" t="s">
        <v>7731</v>
      </c>
      <c r="C504" s="23" t="s">
        <v>7733</v>
      </c>
      <c r="D504" s="30" t="s">
        <v>2</v>
      </c>
      <c r="E504" s="94" t="e">
        <f t="shared" si="33"/>
        <v>#VALUE!</v>
      </c>
      <c r="F504" s="94" t="e">
        <f t="shared" si="34"/>
        <v>#VALUE!</v>
      </c>
    </row>
    <row r="505" spans="1:6" ht="20.100000000000001" customHeight="1">
      <c r="A505" s="22" t="s">
        <v>7735</v>
      </c>
      <c r="B505" s="22" t="s">
        <v>7734</v>
      </c>
      <c r="C505" s="23" t="s">
        <v>7736</v>
      </c>
      <c r="D505" s="30" t="s">
        <v>2</v>
      </c>
      <c r="E505" s="94" t="e">
        <f t="shared" si="33"/>
        <v>#VALUE!</v>
      </c>
      <c r="F505" s="94" t="e">
        <f t="shared" si="34"/>
        <v>#VALUE!</v>
      </c>
    </row>
    <row r="506" spans="1:6" ht="20.100000000000001" customHeight="1">
      <c r="A506" s="22" t="s">
        <v>7738</v>
      </c>
      <c r="B506" s="22" t="s">
        <v>7737</v>
      </c>
      <c r="C506" s="23" t="s">
        <v>7739</v>
      </c>
      <c r="D506" s="30" t="s">
        <v>2</v>
      </c>
      <c r="E506" s="94" t="e">
        <f t="shared" si="33"/>
        <v>#VALUE!</v>
      </c>
      <c r="F506" s="94" t="e">
        <f t="shared" si="34"/>
        <v>#VALUE!</v>
      </c>
    </row>
    <row r="507" spans="1:6" ht="20.100000000000001" customHeight="1">
      <c r="A507" s="22" t="s">
        <v>7741</v>
      </c>
      <c r="B507" s="22" t="s">
        <v>7740</v>
      </c>
      <c r="C507" s="23" t="s">
        <v>7742</v>
      </c>
      <c r="D507" s="30" t="s">
        <v>2</v>
      </c>
      <c r="E507" s="94" t="e">
        <f t="shared" si="33"/>
        <v>#VALUE!</v>
      </c>
      <c r="F507" s="94" t="e">
        <f t="shared" si="34"/>
        <v>#VALUE!</v>
      </c>
    </row>
    <row r="508" spans="1:6" ht="20.100000000000001" customHeight="1">
      <c r="A508" s="22" t="s">
        <v>7744</v>
      </c>
      <c r="B508" s="22" t="s">
        <v>7743</v>
      </c>
      <c r="C508" s="23" t="s">
        <v>7745</v>
      </c>
      <c r="D508" s="30" t="s">
        <v>2</v>
      </c>
      <c r="E508" s="94" t="e">
        <f t="shared" si="33"/>
        <v>#VALUE!</v>
      </c>
      <c r="F508" s="94" t="e">
        <f t="shared" si="34"/>
        <v>#VALUE!</v>
      </c>
    </row>
    <row r="509" spans="1:6" ht="20.100000000000001" customHeight="1">
      <c r="A509" s="22" t="s">
        <v>7747</v>
      </c>
      <c r="B509" s="22" t="s">
        <v>7746</v>
      </c>
      <c r="C509" s="23" t="s">
        <v>7748</v>
      </c>
      <c r="D509" s="30" t="s">
        <v>2</v>
      </c>
      <c r="E509" s="94" t="e">
        <f t="shared" si="33"/>
        <v>#VALUE!</v>
      </c>
      <c r="F509" s="94" t="e">
        <f t="shared" si="34"/>
        <v>#VALUE!</v>
      </c>
    </row>
    <row r="510" spans="1:6" ht="20.100000000000001" customHeight="1">
      <c r="A510" s="22" t="s">
        <v>7750</v>
      </c>
      <c r="B510" s="22" t="s">
        <v>7749</v>
      </c>
      <c r="C510" s="23" t="s">
        <v>7751</v>
      </c>
      <c r="D510" s="30" t="s">
        <v>2</v>
      </c>
      <c r="E510" s="94" t="e">
        <f t="shared" si="33"/>
        <v>#VALUE!</v>
      </c>
      <c r="F510" s="94" t="e">
        <f t="shared" si="34"/>
        <v>#VALUE!</v>
      </c>
    </row>
    <row r="511" spans="1:6" ht="20.100000000000001" customHeight="1">
      <c r="A511" s="22" t="s">
        <v>7753</v>
      </c>
      <c r="B511" s="22" t="s">
        <v>7752</v>
      </c>
      <c r="C511" s="23" t="s">
        <v>7754</v>
      </c>
      <c r="D511" s="30" t="s">
        <v>2</v>
      </c>
      <c r="E511" s="94" t="e">
        <f t="shared" si="33"/>
        <v>#VALUE!</v>
      </c>
      <c r="F511" s="94" t="e">
        <f t="shared" si="34"/>
        <v>#VALUE!</v>
      </c>
    </row>
    <row r="512" spans="1:6" ht="20.100000000000001" customHeight="1">
      <c r="A512" s="22" t="s">
        <v>7756</v>
      </c>
      <c r="B512" s="22" t="s">
        <v>7755</v>
      </c>
      <c r="C512" s="23" t="s">
        <v>7757</v>
      </c>
      <c r="D512" s="30" t="s">
        <v>2</v>
      </c>
      <c r="E512" s="94" t="e">
        <f t="shared" si="33"/>
        <v>#VALUE!</v>
      </c>
      <c r="F512" s="94" t="e">
        <f t="shared" si="34"/>
        <v>#VALUE!</v>
      </c>
    </row>
    <row r="513" spans="1:8" ht="20.100000000000001" customHeight="1">
      <c r="A513" s="22" t="s">
        <v>7759</v>
      </c>
      <c r="B513" s="22" t="s">
        <v>7758</v>
      </c>
      <c r="C513" s="23" t="s">
        <v>7760</v>
      </c>
      <c r="D513" s="30" t="s">
        <v>2</v>
      </c>
      <c r="E513" s="94" t="e">
        <f t="shared" si="33"/>
        <v>#VALUE!</v>
      </c>
      <c r="F513" s="94" t="e">
        <f t="shared" si="34"/>
        <v>#VALUE!</v>
      </c>
    </row>
    <row r="514" spans="1:8" ht="20.100000000000001" customHeight="1">
      <c r="A514" s="22" t="s">
        <v>7774</v>
      </c>
      <c r="B514" s="22" t="s">
        <v>7773</v>
      </c>
      <c r="C514" s="23" t="s">
        <v>7775</v>
      </c>
      <c r="D514" s="30" t="s">
        <v>2</v>
      </c>
      <c r="E514" s="94" t="e">
        <f t="shared" si="33"/>
        <v>#VALUE!</v>
      </c>
      <c r="F514" s="94" t="e">
        <f t="shared" si="34"/>
        <v>#VALUE!</v>
      </c>
    </row>
    <row r="515" spans="1:8" ht="20.100000000000001" customHeight="1">
      <c r="A515" s="22" t="s">
        <v>7780</v>
      </c>
      <c r="B515" s="22" t="s">
        <v>7779</v>
      </c>
      <c r="C515" s="23" t="s">
        <v>7781</v>
      </c>
      <c r="D515" s="30" t="s">
        <v>2</v>
      </c>
      <c r="E515" s="94" t="e">
        <f t="shared" si="33"/>
        <v>#VALUE!</v>
      </c>
      <c r="F515" s="94" t="e">
        <f t="shared" si="34"/>
        <v>#VALUE!</v>
      </c>
    </row>
    <row r="516" spans="1:8" ht="20.100000000000001" customHeight="1">
      <c r="A516" s="22" t="s">
        <v>7777</v>
      </c>
      <c r="B516" s="22" t="s">
        <v>7776</v>
      </c>
      <c r="C516" s="23" t="s">
        <v>7778</v>
      </c>
      <c r="D516" s="30">
        <v>3708</v>
      </c>
      <c r="E516" s="94">
        <f t="shared" si="33"/>
        <v>135.96</v>
      </c>
      <c r="F516" s="94">
        <f t="shared" si="34"/>
        <v>148.32</v>
      </c>
    </row>
    <row r="517" spans="1:8" ht="20.100000000000001" customHeight="1">
      <c r="A517" s="22" t="s">
        <v>7807</v>
      </c>
      <c r="B517" s="22" t="s">
        <v>7806</v>
      </c>
      <c r="C517" s="23" t="s">
        <v>7808</v>
      </c>
      <c r="D517" s="30" t="s">
        <v>2</v>
      </c>
      <c r="E517" s="94" t="e">
        <f t="shared" si="33"/>
        <v>#VALUE!</v>
      </c>
      <c r="F517" s="94" t="e">
        <f t="shared" si="34"/>
        <v>#VALUE!</v>
      </c>
    </row>
    <row r="518" spans="1:8" ht="20.100000000000001" customHeight="1">
      <c r="A518" s="22" t="s">
        <v>7810</v>
      </c>
      <c r="B518" s="22" t="s">
        <v>7809</v>
      </c>
      <c r="C518" s="23" t="s">
        <v>7811</v>
      </c>
      <c r="D518" s="30" t="s">
        <v>2</v>
      </c>
      <c r="E518" s="94" t="e">
        <f t="shared" si="33"/>
        <v>#VALUE!</v>
      </c>
      <c r="F518" s="94" t="e">
        <f t="shared" si="34"/>
        <v>#VALUE!</v>
      </c>
    </row>
    <row r="519" spans="1:8" ht="20.100000000000001" customHeight="1">
      <c r="A519" s="22" t="s">
        <v>7854</v>
      </c>
      <c r="B519" s="22" t="s">
        <v>7853</v>
      </c>
      <c r="C519" s="23" t="s">
        <v>7855</v>
      </c>
      <c r="D519" s="30" t="s">
        <v>2</v>
      </c>
      <c r="E519" s="94" t="e">
        <f t="shared" si="33"/>
        <v>#VALUE!</v>
      </c>
      <c r="F519" s="94" t="e">
        <f t="shared" si="34"/>
        <v>#VALUE!</v>
      </c>
    </row>
    <row r="520" spans="1:8" ht="20.100000000000001" customHeight="1">
      <c r="A520" s="22" t="s">
        <v>7798</v>
      </c>
      <c r="B520" s="22" t="s">
        <v>7797</v>
      </c>
      <c r="C520" s="23" t="s">
        <v>7799</v>
      </c>
      <c r="D520" s="30" t="s">
        <v>2</v>
      </c>
      <c r="E520" s="94" t="e">
        <f t="shared" si="33"/>
        <v>#VALUE!</v>
      </c>
      <c r="F520" s="94" t="e">
        <f t="shared" si="34"/>
        <v>#VALUE!</v>
      </c>
    </row>
    <row r="521" spans="1:8" ht="20.100000000000001" customHeight="1">
      <c r="A521" s="22" t="s">
        <v>7795</v>
      </c>
      <c r="B521" s="22" t="s">
        <v>7794</v>
      </c>
      <c r="C521" s="23" t="s">
        <v>7796</v>
      </c>
      <c r="D521" s="30" t="s">
        <v>2</v>
      </c>
      <c r="E521" s="94" t="e">
        <f t="shared" si="33"/>
        <v>#VALUE!</v>
      </c>
      <c r="F521" s="94" t="e">
        <f t="shared" si="34"/>
        <v>#VALUE!</v>
      </c>
    </row>
    <row r="522" spans="1:8" ht="20.100000000000001" customHeight="1">
      <c r="A522" s="22" t="s">
        <v>7821</v>
      </c>
      <c r="B522" s="22" t="s">
        <v>7820</v>
      </c>
      <c r="C522" s="23" t="s">
        <v>7822</v>
      </c>
      <c r="D522" s="30">
        <v>1850</v>
      </c>
      <c r="E522" s="94">
        <f t="shared" si="33"/>
        <v>67.833333333333343</v>
      </c>
      <c r="F522" s="94">
        <f t="shared" si="34"/>
        <v>74</v>
      </c>
    </row>
    <row r="523" spans="1:8" ht="20.100000000000001" customHeight="1">
      <c r="A523" s="22" t="s">
        <v>7824</v>
      </c>
      <c r="B523" s="22" t="s">
        <v>7823</v>
      </c>
      <c r="C523" s="23" t="s">
        <v>7825</v>
      </c>
      <c r="D523" s="30" t="s">
        <v>2</v>
      </c>
      <c r="E523" s="94" t="e">
        <f t="shared" si="33"/>
        <v>#VALUE!</v>
      </c>
      <c r="F523" s="94" t="e">
        <f t="shared" si="34"/>
        <v>#VALUE!</v>
      </c>
    </row>
    <row r="524" spans="1:8" ht="20.100000000000001" customHeight="1">
      <c r="A524" s="22" t="s">
        <v>7827</v>
      </c>
      <c r="B524" s="22" t="s">
        <v>7826</v>
      </c>
      <c r="C524" s="23" t="s">
        <v>7828</v>
      </c>
      <c r="D524" s="30">
        <v>2255.7000000000003</v>
      </c>
      <c r="E524" s="94">
        <f t="shared" si="33"/>
        <v>82.709000000000017</v>
      </c>
      <c r="F524" s="94">
        <f t="shared" si="34"/>
        <v>90.228000000000009</v>
      </c>
    </row>
    <row r="525" spans="1:8" ht="20.100000000000001" customHeight="1">
      <c r="A525" s="22" t="s">
        <v>7801</v>
      </c>
      <c r="B525" s="22" t="s">
        <v>7800</v>
      </c>
      <c r="C525" s="23" t="s">
        <v>7802</v>
      </c>
      <c r="D525" s="30" t="s">
        <v>2</v>
      </c>
      <c r="E525" s="94" t="e">
        <f t="shared" si="33"/>
        <v>#VALUE!</v>
      </c>
      <c r="F525" s="94" t="e">
        <f t="shared" si="34"/>
        <v>#VALUE!</v>
      </c>
    </row>
    <row r="526" spans="1:8" ht="20.100000000000001" customHeight="1">
      <c r="A526" s="22" t="s">
        <v>7792</v>
      </c>
      <c r="B526" s="22" t="s">
        <v>7791</v>
      </c>
      <c r="C526" s="23" t="s">
        <v>7793</v>
      </c>
      <c r="D526" s="30">
        <v>710</v>
      </c>
      <c r="E526" s="94">
        <f t="shared" si="33"/>
        <v>26.033333333333339</v>
      </c>
      <c r="F526" s="94">
        <f t="shared" si="34"/>
        <v>28.4</v>
      </c>
      <c r="H526" s="58">
        <v>45111</v>
      </c>
    </row>
    <row r="527" spans="1:8" ht="20.100000000000001" customHeight="1">
      <c r="A527" s="22" t="s">
        <v>7804</v>
      </c>
      <c r="B527" s="22" t="s">
        <v>7803</v>
      </c>
      <c r="C527" s="23" t="s">
        <v>7805</v>
      </c>
      <c r="D527" s="30" t="s">
        <v>2</v>
      </c>
      <c r="E527" s="94" t="e">
        <f t="shared" si="33"/>
        <v>#VALUE!</v>
      </c>
      <c r="F527" s="94" t="e">
        <f t="shared" si="34"/>
        <v>#VALUE!</v>
      </c>
    </row>
    <row r="528" spans="1:8" ht="20.100000000000001" customHeight="1">
      <c r="A528" s="22" t="s">
        <v>7903</v>
      </c>
      <c r="B528" s="22" t="s">
        <v>7902</v>
      </c>
      <c r="C528" s="23" t="s">
        <v>7904</v>
      </c>
      <c r="D528" s="30">
        <v>0</v>
      </c>
      <c r="E528" s="94">
        <f t="shared" si="33"/>
        <v>0</v>
      </c>
      <c r="F528" s="94">
        <f t="shared" si="34"/>
        <v>0</v>
      </c>
    </row>
    <row r="529" spans="1:6" ht="20.100000000000001" customHeight="1">
      <c r="A529" s="22" t="s">
        <v>7833</v>
      </c>
      <c r="B529" s="22" t="s">
        <v>7832</v>
      </c>
      <c r="C529" s="23" t="s">
        <v>7834</v>
      </c>
      <c r="D529" s="30" t="s">
        <v>2</v>
      </c>
      <c r="E529" s="94" t="e">
        <f t="shared" si="33"/>
        <v>#VALUE!</v>
      </c>
      <c r="F529" s="94" t="e">
        <f t="shared" si="34"/>
        <v>#VALUE!</v>
      </c>
    </row>
    <row r="530" spans="1:6" ht="20.100000000000001" customHeight="1">
      <c r="A530" s="22" t="s">
        <v>7830</v>
      </c>
      <c r="B530" s="22" t="s">
        <v>7829</v>
      </c>
      <c r="C530" s="23" t="s">
        <v>7831</v>
      </c>
      <c r="D530" s="30" t="s">
        <v>2</v>
      </c>
      <c r="E530" s="94" t="e">
        <f t="shared" si="33"/>
        <v>#VALUE!</v>
      </c>
      <c r="F530" s="94" t="e">
        <f t="shared" si="34"/>
        <v>#VALUE!</v>
      </c>
    </row>
    <row r="531" spans="1:6" ht="20.100000000000001" customHeight="1">
      <c r="A531" s="22" t="s">
        <v>7836</v>
      </c>
      <c r="B531" s="22" t="s">
        <v>7835</v>
      </c>
      <c r="C531" s="23" t="s">
        <v>7837</v>
      </c>
      <c r="D531" s="30" t="s">
        <v>2</v>
      </c>
      <c r="E531" s="94" t="e">
        <f t="shared" si="33"/>
        <v>#VALUE!</v>
      </c>
      <c r="F531" s="94" t="e">
        <f t="shared" si="34"/>
        <v>#VALUE!</v>
      </c>
    </row>
    <row r="532" spans="1:6" ht="20.100000000000001" customHeight="1">
      <c r="A532" s="22" t="s">
        <v>7839</v>
      </c>
      <c r="B532" s="22" t="s">
        <v>7838</v>
      </c>
      <c r="C532" s="23" t="s">
        <v>7840</v>
      </c>
      <c r="D532" s="30" t="s">
        <v>2</v>
      </c>
      <c r="E532" s="94" t="e">
        <f t="shared" si="33"/>
        <v>#VALUE!</v>
      </c>
      <c r="F532" s="94" t="e">
        <f t="shared" si="34"/>
        <v>#VALUE!</v>
      </c>
    </row>
    <row r="533" spans="1:6" ht="20.100000000000001" customHeight="1">
      <c r="A533" s="22" t="s">
        <v>7842</v>
      </c>
      <c r="B533" s="22" t="s">
        <v>7841</v>
      </c>
      <c r="C533" s="23" t="s">
        <v>7843</v>
      </c>
      <c r="D533" s="30">
        <v>633.45000000000005</v>
      </c>
      <c r="E533" s="94">
        <f t="shared" si="33"/>
        <v>23.226500000000001</v>
      </c>
      <c r="F533" s="94">
        <f t="shared" si="34"/>
        <v>25.338000000000001</v>
      </c>
    </row>
    <row r="534" spans="1:6" ht="20.100000000000001" customHeight="1">
      <c r="A534" s="22" t="s">
        <v>7845</v>
      </c>
      <c r="B534" s="22" t="s">
        <v>7844</v>
      </c>
      <c r="C534" s="23" t="s">
        <v>7846</v>
      </c>
      <c r="D534" s="30" t="s">
        <v>2</v>
      </c>
      <c r="E534" s="94" t="e">
        <f t="shared" si="33"/>
        <v>#VALUE!</v>
      </c>
      <c r="F534" s="94" t="e">
        <f t="shared" si="34"/>
        <v>#VALUE!</v>
      </c>
    </row>
    <row r="535" spans="1:6" ht="20.100000000000001" customHeight="1">
      <c r="A535" s="22" t="s">
        <v>7848</v>
      </c>
      <c r="B535" s="22" t="s">
        <v>7847</v>
      </c>
      <c r="C535" s="23" t="s">
        <v>7849</v>
      </c>
      <c r="D535" s="30" t="s">
        <v>2</v>
      </c>
      <c r="E535" s="94" t="e">
        <f t="shared" si="33"/>
        <v>#VALUE!</v>
      </c>
      <c r="F535" s="94" t="e">
        <f t="shared" si="34"/>
        <v>#VALUE!</v>
      </c>
    </row>
    <row r="536" spans="1:6" ht="20.100000000000001" customHeight="1">
      <c r="A536" s="22" t="s">
        <v>7851</v>
      </c>
      <c r="B536" s="22" t="s">
        <v>7850</v>
      </c>
      <c r="C536" s="23" t="s">
        <v>7852</v>
      </c>
      <c r="D536" s="30" t="s">
        <v>2</v>
      </c>
      <c r="E536" s="94" t="e">
        <f t="shared" si="33"/>
        <v>#VALUE!</v>
      </c>
      <c r="F536" s="94" t="e">
        <f t="shared" si="34"/>
        <v>#VALUE!</v>
      </c>
    </row>
    <row r="537" spans="1:6" ht="20.100000000000001" customHeight="1">
      <c r="A537" s="22" t="s">
        <v>7857</v>
      </c>
      <c r="B537" s="22" t="s">
        <v>7856</v>
      </c>
      <c r="C537" s="23" t="s">
        <v>7858</v>
      </c>
      <c r="D537" s="30" t="s">
        <v>2</v>
      </c>
      <c r="E537" s="94" t="e">
        <f t="shared" si="33"/>
        <v>#VALUE!</v>
      </c>
      <c r="F537" s="94" t="e">
        <f t="shared" si="34"/>
        <v>#VALUE!</v>
      </c>
    </row>
    <row r="538" spans="1:6" ht="20.100000000000001" customHeight="1">
      <c r="A538" s="22" t="s">
        <v>7860</v>
      </c>
      <c r="B538" s="22" t="s">
        <v>7859</v>
      </c>
      <c r="C538" s="23" t="s">
        <v>7861</v>
      </c>
      <c r="D538" s="30" t="s">
        <v>2</v>
      </c>
      <c r="E538" s="94" t="e">
        <f t="shared" si="33"/>
        <v>#VALUE!</v>
      </c>
      <c r="F538" s="94" t="e">
        <f t="shared" si="34"/>
        <v>#VALUE!</v>
      </c>
    </row>
    <row r="539" spans="1:6" ht="20.100000000000001" customHeight="1">
      <c r="A539" s="22" t="s">
        <v>7866</v>
      </c>
      <c r="B539" s="22" t="s">
        <v>7865</v>
      </c>
      <c r="C539" s="23" t="s">
        <v>7867</v>
      </c>
      <c r="D539" s="30" t="s">
        <v>2</v>
      </c>
      <c r="E539" s="94" t="e">
        <f t="shared" si="33"/>
        <v>#VALUE!</v>
      </c>
      <c r="F539" s="94" t="e">
        <f t="shared" si="34"/>
        <v>#VALUE!</v>
      </c>
    </row>
    <row r="540" spans="1:6" ht="20.100000000000001" customHeight="1">
      <c r="A540" s="22" t="s">
        <v>7869</v>
      </c>
      <c r="B540" s="22" t="s">
        <v>7868</v>
      </c>
      <c r="C540" s="23" t="s">
        <v>7870</v>
      </c>
      <c r="D540" s="30" t="s">
        <v>2</v>
      </c>
      <c r="E540" s="94" t="e">
        <f t="shared" si="33"/>
        <v>#VALUE!</v>
      </c>
      <c r="F540" s="94" t="e">
        <f t="shared" si="34"/>
        <v>#VALUE!</v>
      </c>
    </row>
    <row r="541" spans="1:6" ht="20.100000000000001" customHeight="1">
      <c r="A541" s="22" t="s">
        <v>7875</v>
      </c>
      <c r="B541" s="22" t="s">
        <v>7874</v>
      </c>
      <c r="C541" s="23" t="s">
        <v>7876</v>
      </c>
      <c r="D541" s="30" t="s">
        <v>2</v>
      </c>
      <c r="E541" s="94" t="e">
        <f t="shared" si="33"/>
        <v>#VALUE!</v>
      </c>
      <c r="F541" s="94" t="e">
        <f t="shared" si="34"/>
        <v>#VALUE!</v>
      </c>
    </row>
    <row r="542" spans="1:6" ht="20.100000000000001" customHeight="1">
      <c r="A542" s="22" t="s">
        <v>7878</v>
      </c>
      <c r="B542" s="22" t="s">
        <v>7877</v>
      </c>
      <c r="C542" s="23" t="s">
        <v>7879</v>
      </c>
      <c r="D542" s="30" t="s">
        <v>2</v>
      </c>
      <c r="E542" s="94" t="e">
        <f t="shared" si="33"/>
        <v>#VALUE!</v>
      </c>
      <c r="F542" s="94" t="e">
        <f t="shared" si="34"/>
        <v>#VALUE!</v>
      </c>
    </row>
    <row r="543" spans="1:6" ht="20.100000000000001" customHeight="1">
      <c r="A543" s="22" t="s">
        <v>7872</v>
      </c>
      <c r="B543" s="22" t="s">
        <v>7871</v>
      </c>
      <c r="C543" s="23" t="s">
        <v>7873</v>
      </c>
      <c r="D543" s="30">
        <v>504.7</v>
      </c>
      <c r="E543" s="94">
        <f t="shared" si="33"/>
        <v>18.50566666666667</v>
      </c>
      <c r="F543" s="94">
        <f t="shared" si="34"/>
        <v>20.187999999999999</v>
      </c>
    </row>
    <row r="544" spans="1:6" ht="20.100000000000001" customHeight="1">
      <c r="A544" s="22" t="s">
        <v>7912</v>
      </c>
      <c r="B544" s="22" t="s">
        <v>7911</v>
      </c>
      <c r="C544" s="23" t="s">
        <v>7913</v>
      </c>
      <c r="D544" s="30">
        <v>500</v>
      </c>
      <c r="E544" s="94">
        <f t="shared" si="33"/>
        <v>18.333333333333332</v>
      </c>
      <c r="F544" s="94">
        <f t="shared" si="34"/>
        <v>20</v>
      </c>
    </row>
    <row r="545" spans="1:9" ht="20.100000000000001" customHeight="1">
      <c r="A545" s="22" t="s">
        <v>7881</v>
      </c>
      <c r="B545" s="22" t="s">
        <v>7880</v>
      </c>
      <c r="C545" s="23" t="s">
        <v>7882</v>
      </c>
      <c r="D545" s="30">
        <v>787.95</v>
      </c>
      <c r="E545" s="94">
        <f t="shared" si="33"/>
        <v>28.891500000000004</v>
      </c>
      <c r="F545" s="94">
        <f t="shared" si="34"/>
        <v>31.517999999999997</v>
      </c>
      <c r="G545" s="57" t="s">
        <v>8052</v>
      </c>
    </row>
    <row r="546" spans="1:9" ht="20.100000000000001" customHeight="1">
      <c r="A546" s="22" t="s">
        <v>7926</v>
      </c>
      <c r="B546" s="22" t="s">
        <v>7925</v>
      </c>
      <c r="C546" s="23" t="s">
        <v>7927</v>
      </c>
      <c r="D546" s="30">
        <v>0</v>
      </c>
      <c r="E546" s="94">
        <f t="shared" si="33"/>
        <v>0</v>
      </c>
      <c r="F546" s="94">
        <f t="shared" si="34"/>
        <v>0</v>
      </c>
    </row>
    <row r="547" spans="1:9" ht="20.100000000000001" customHeight="1">
      <c r="A547" s="22" t="s">
        <v>7906</v>
      </c>
      <c r="B547" s="22" t="s">
        <v>7905</v>
      </c>
      <c r="C547" s="23" t="s">
        <v>7907</v>
      </c>
      <c r="D547" s="30">
        <v>552.08000000000004</v>
      </c>
      <c r="E547" s="94">
        <f t="shared" si="33"/>
        <v>20.242933333333337</v>
      </c>
      <c r="F547" s="94">
        <f t="shared" si="34"/>
        <v>22.083199999999998</v>
      </c>
    </row>
    <row r="548" spans="1:9" ht="20.100000000000001" customHeight="1">
      <c r="A548" s="22" t="s">
        <v>7909</v>
      </c>
      <c r="B548" s="22" t="s">
        <v>7908</v>
      </c>
      <c r="C548" s="23" t="s">
        <v>7910</v>
      </c>
      <c r="D548" s="30">
        <v>0</v>
      </c>
      <c r="E548" s="94">
        <f t="shared" ref="E548:E602" si="35">+(D548*1.1/30)</f>
        <v>0</v>
      </c>
      <c r="F548" s="94">
        <f t="shared" ref="F548:F602" si="36">+(D548*1.2/30)</f>
        <v>0</v>
      </c>
    </row>
    <row r="549" spans="1:9" ht="20.100000000000001" customHeight="1">
      <c r="A549" s="22" t="s">
        <v>7946</v>
      </c>
      <c r="B549" s="22" t="s">
        <v>7945</v>
      </c>
      <c r="C549" s="23" t="s">
        <v>7947</v>
      </c>
      <c r="D549" s="30">
        <v>0</v>
      </c>
      <c r="E549" s="94">
        <f t="shared" si="35"/>
        <v>0</v>
      </c>
      <c r="F549" s="94">
        <f t="shared" si="36"/>
        <v>0</v>
      </c>
    </row>
    <row r="550" spans="1:9" ht="20.100000000000001" customHeight="1">
      <c r="A550" s="22" t="s">
        <v>7923</v>
      </c>
      <c r="B550" s="22" t="s">
        <v>7922</v>
      </c>
      <c r="C550" s="23" t="s">
        <v>7924</v>
      </c>
      <c r="D550" s="30">
        <v>1184.5</v>
      </c>
      <c r="E550" s="94">
        <f t="shared" si="35"/>
        <v>43.431666666666665</v>
      </c>
      <c r="F550" s="94">
        <f t="shared" si="36"/>
        <v>47.379999999999995</v>
      </c>
    </row>
    <row r="551" spans="1:9" ht="20.100000000000001" customHeight="1">
      <c r="A551" s="22" t="s">
        <v>7929</v>
      </c>
      <c r="B551" s="22" t="s">
        <v>7928</v>
      </c>
      <c r="C551" s="23" t="s">
        <v>7930</v>
      </c>
      <c r="D551" s="30">
        <v>0</v>
      </c>
      <c r="E551" s="94">
        <f t="shared" si="35"/>
        <v>0</v>
      </c>
      <c r="F551" s="94">
        <f t="shared" si="36"/>
        <v>0</v>
      </c>
    </row>
    <row r="552" spans="1:9" ht="20.100000000000001" customHeight="1">
      <c r="A552" s="22" t="s">
        <v>7932</v>
      </c>
      <c r="B552" s="22" t="s">
        <v>7931</v>
      </c>
      <c r="C552" s="23" t="s">
        <v>7933</v>
      </c>
      <c r="D552" s="30">
        <v>0</v>
      </c>
      <c r="E552" s="94">
        <f t="shared" si="35"/>
        <v>0</v>
      </c>
      <c r="F552" s="94">
        <f t="shared" si="36"/>
        <v>0</v>
      </c>
    </row>
    <row r="553" spans="1:9" ht="20.100000000000001" customHeight="1">
      <c r="A553" s="22" t="s">
        <v>7958</v>
      </c>
      <c r="B553" s="22" t="s">
        <v>7957</v>
      </c>
      <c r="C553" s="23" t="s">
        <v>7959</v>
      </c>
      <c r="D553" s="30">
        <v>721</v>
      </c>
      <c r="E553" s="94">
        <f t="shared" si="35"/>
        <v>26.436666666666667</v>
      </c>
      <c r="F553" s="94">
        <f t="shared" si="36"/>
        <v>28.839999999999996</v>
      </c>
    </row>
    <row r="554" spans="1:9" ht="20.100000000000001" customHeight="1">
      <c r="A554" s="22" t="s">
        <v>7949</v>
      </c>
      <c r="B554" s="22" t="s">
        <v>7948</v>
      </c>
      <c r="C554" s="23" t="s">
        <v>7950</v>
      </c>
      <c r="D554" s="30">
        <v>628.30000000000007</v>
      </c>
      <c r="E554" s="94">
        <f t="shared" si="35"/>
        <v>23.03766666666667</v>
      </c>
      <c r="F554" s="94">
        <f t="shared" si="36"/>
        <v>25.132000000000001</v>
      </c>
    </row>
    <row r="555" spans="1:9" ht="20.100000000000001" customHeight="1">
      <c r="A555" s="22" t="s">
        <v>8533</v>
      </c>
      <c r="B555" s="22" t="s">
        <v>8532</v>
      </c>
      <c r="C555" s="23" t="s">
        <v>8531</v>
      </c>
      <c r="D555" s="30">
        <v>788</v>
      </c>
      <c r="E555" s="94">
        <f t="shared" si="35"/>
        <v>28.893333333333334</v>
      </c>
      <c r="F555" s="94">
        <f t="shared" si="36"/>
        <v>31.519999999999996</v>
      </c>
      <c r="H555" s="58">
        <v>45379</v>
      </c>
    </row>
    <row r="556" spans="1:9" ht="20.100000000000001" customHeight="1">
      <c r="A556" s="22" t="s">
        <v>8466</v>
      </c>
      <c r="B556" s="22" t="s">
        <v>8467</v>
      </c>
      <c r="C556" s="23" t="s">
        <v>8468</v>
      </c>
      <c r="D556" s="30">
        <v>820</v>
      </c>
      <c r="E556" s="94">
        <f t="shared" si="35"/>
        <v>30.06666666666667</v>
      </c>
      <c r="F556" s="94">
        <f t="shared" si="36"/>
        <v>32.799999999999997</v>
      </c>
    </row>
    <row r="557" spans="1:9" ht="20.100000000000001" customHeight="1">
      <c r="A557" s="21" t="s">
        <v>8600</v>
      </c>
      <c r="B557" s="21" t="s">
        <v>8601</v>
      </c>
      <c r="C557" s="28" t="s">
        <v>8602</v>
      </c>
      <c r="D557" s="21">
        <v>874</v>
      </c>
      <c r="E557" s="94">
        <f t="shared" si="35"/>
        <v>32.046666666666667</v>
      </c>
      <c r="F557" s="94">
        <f t="shared" si="36"/>
        <v>34.96</v>
      </c>
      <c r="I557" s="91">
        <v>45608</v>
      </c>
    </row>
    <row r="558" spans="1:9" ht="20.100000000000001" customHeight="1">
      <c r="A558" s="21" t="s">
        <v>8834</v>
      </c>
      <c r="B558" s="21" t="s">
        <v>8835</v>
      </c>
      <c r="C558" s="28" t="s">
        <v>8836</v>
      </c>
      <c r="D558" s="21">
        <v>1405</v>
      </c>
      <c r="E558" s="94">
        <f t="shared" si="35"/>
        <v>51.516666666666673</v>
      </c>
      <c r="F558" s="94">
        <f t="shared" si="36"/>
        <v>56.2</v>
      </c>
      <c r="I558" s="91"/>
    </row>
    <row r="559" spans="1:9" ht="20.100000000000001" customHeight="1">
      <c r="A559" s="36" t="s">
        <v>8020</v>
      </c>
      <c r="B559" s="36" t="s">
        <v>8024</v>
      </c>
      <c r="C559" s="37" t="s">
        <v>8025</v>
      </c>
      <c r="D559" s="33">
        <v>763</v>
      </c>
      <c r="E559" s="94">
        <f t="shared" si="35"/>
        <v>27.97666666666667</v>
      </c>
      <c r="F559" s="94">
        <f t="shared" si="36"/>
        <v>30.52</v>
      </c>
    </row>
    <row r="560" spans="1:9" ht="20.100000000000001" customHeight="1">
      <c r="A560" s="36" t="s">
        <v>8021</v>
      </c>
      <c r="B560" s="36" t="s">
        <v>8028</v>
      </c>
      <c r="C560" s="37" t="s">
        <v>8029</v>
      </c>
      <c r="D560" s="33">
        <v>1019</v>
      </c>
      <c r="E560" s="94">
        <f t="shared" si="35"/>
        <v>37.363333333333337</v>
      </c>
      <c r="F560" s="94">
        <f t="shared" si="36"/>
        <v>40.76</v>
      </c>
    </row>
    <row r="561" spans="1:9" ht="20.100000000000001" customHeight="1">
      <c r="A561" s="36" t="s">
        <v>8838</v>
      </c>
      <c r="B561" s="36" t="s">
        <v>8837</v>
      </c>
      <c r="C561" s="37" t="s">
        <v>8839</v>
      </c>
      <c r="D561" s="33">
        <v>1259</v>
      </c>
      <c r="E561" s="94">
        <f t="shared" si="35"/>
        <v>46.163333333333334</v>
      </c>
      <c r="F561" s="94">
        <f t="shared" si="36"/>
        <v>50.36</v>
      </c>
    </row>
    <row r="562" spans="1:9" ht="20.100000000000001" customHeight="1">
      <c r="A562" s="36" t="s">
        <v>8153</v>
      </c>
      <c r="B562" s="36" t="s">
        <v>8154</v>
      </c>
      <c r="C562" s="37" t="s">
        <v>8155</v>
      </c>
      <c r="D562" s="33">
        <v>1100</v>
      </c>
      <c r="E562" s="94">
        <f t="shared" si="35"/>
        <v>40.333333333333336</v>
      </c>
      <c r="F562" s="94">
        <f t="shared" si="36"/>
        <v>44</v>
      </c>
    </row>
    <row r="563" spans="1:9" ht="20.100000000000001" customHeight="1">
      <c r="A563" s="36" t="s">
        <v>8022</v>
      </c>
      <c r="B563" s="36" t="s">
        <v>8031</v>
      </c>
      <c r="C563" s="37" t="s">
        <v>8030</v>
      </c>
      <c r="D563" s="33">
        <v>1292</v>
      </c>
      <c r="E563" s="94">
        <f t="shared" si="35"/>
        <v>47.373333333333335</v>
      </c>
      <c r="F563" s="94">
        <f t="shared" si="36"/>
        <v>51.679999999999993</v>
      </c>
    </row>
    <row r="564" spans="1:9" ht="20.100000000000001" customHeight="1">
      <c r="A564" s="36" t="s">
        <v>8023</v>
      </c>
      <c r="B564" s="36" t="s">
        <v>8026</v>
      </c>
      <c r="C564" s="37" t="s">
        <v>8027</v>
      </c>
      <c r="D564" s="33">
        <v>1200</v>
      </c>
      <c r="E564" s="94">
        <f t="shared" si="35"/>
        <v>44</v>
      </c>
      <c r="F564" s="94">
        <f t="shared" si="36"/>
        <v>48</v>
      </c>
    </row>
    <row r="565" spans="1:9" ht="20.100000000000001" customHeight="1">
      <c r="A565" s="21" t="s">
        <v>8569</v>
      </c>
      <c r="B565" s="21" t="s">
        <v>8570</v>
      </c>
      <c r="C565" s="28" t="s">
        <v>8571</v>
      </c>
      <c r="D565" s="21">
        <v>990</v>
      </c>
      <c r="E565" s="94">
        <f t="shared" si="35"/>
        <v>36.299999999999997</v>
      </c>
      <c r="F565" s="94">
        <f t="shared" si="36"/>
        <v>39.6</v>
      </c>
      <c r="I565" s="91">
        <v>45507</v>
      </c>
    </row>
    <row r="566" spans="1:9" ht="20.100000000000001" customHeight="1">
      <c r="A566" s="22" t="s">
        <v>7955</v>
      </c>
      <c r="B566" s="22" t="s">
        <v>7954</v>
      </c>
      <c r="C566" s="23" t="s">
        <v>7956</v>
      </c>
      <c r="D566" s="30">
        <v>1040.3</v>
      </c>
      <c r="E566" s="94">
        <f t="shared" si="35"/>
        <v>38.144333333333336</v>
      </c>
      <c r="F566" s="94">
        <f t="shared" si="36"/>
        <v>41.611999999999995</v>
      </c>
    </row>
    <row r="567" spans="1:9" ht="20.100000000000001" customHeight="1">
      <c r="A567" s="22" t="s">
        <v>7982</v>
      </c>
      <c r="B567" s="22" t="s">
        <v>7981</v>
      </c>
      <c r="C567" s="23" t="s">
        <v>7983</v>
      </c>
      <c r="D567" s="30">
        <v>0</v>
      </c>
      <c r="E567" s="94">
        <f t="shared" si="35"/>
        <v>0</v>
      </c>
      <c r="F567" s="94">
        <f t="shared" si="36"/>
        <v>0</v>
      </c>
    </row>
    <row r="568" spans="1:9" ht="20.100000000000001" customHeight="1">
      <c r="A568" s="22" t="s">
        <v>7985</v>
      </c>
      <c r="B568" s="22" t="s">
        <v>7984</v>
      </c>
      <c r="C568" s="23" t="s">
        <v>7986</v>
      </c>
      <c r="D568" s="30">
        <v>565</v>
      </c>
      <c r="E568" s="94">
        <f t="shared" si="35"/>
        <v>20.716666666666665</v>
      </c>
      <c r="F568" s="94">
        <f t="shared" si="36"/>
        <v>22.6</v>
      </c>
    </row>
    <row r="569" spans="1:9" ht="20.100000000000001" customHeight="1">
      <c r="A569" s="22" t="s">
        <v>7988</v>
      </c>
      <c r="B569" s="22" t="s">
        <v>7987</v>
      </c>
      <c r="C569" s="23" t="s">
        <v>7989</v>
      </c>
      <c r="D569" s="30">
        <v>669.5</v>
      </c>
      <c r="E569" s="94">
        <f t="shared" si="35"/>
        <v>24.548333333333336</v>
      </c>
      <c r="F569" s="94">
        <f t="shared" si="36"/>
        <v>26.779999999999998</v>
      </c>
    </row>
    <row r="570" spans="1:9" ht="20.100000000000001" customHeight="1">
      <c r="A570" s="22" t="s">
        <v>7993</v>
      </c>
      <c r="B570" s="22" t="s">
        <v>7992</v>
      </c>
      <c r="C570" s="23" t="s">
        <v>7994</v>
      </c>
      <c r="D570" s="30">
        <v>0</v>
      </c>
      <c r="E570" s="94">
        <f t="shared" si="35"/>
        <v>0</v>
      </c>
      <c r="F570" s="94">
        <f t="shared" si="36"/>
        <v>0</v>
      </c>
    </row>
    <row r="571" spans="1:9" ht="20.100000000000001" customHeight="1">
      <c r="A571" s="36" t="s">
        <v>8035</v>
      </c>
      <c r="B571" s="36" t="s">
        <v>8036</v>
      </c>
      <c r="C571" s="37" t="s">
        <v>8037</v>
      </c>
      <c r="D571" s="33">
        <v>585</v>
      </c>
      <c r="E571" s="94">
        <f t="shared" si="35"/>
        <v>21.45</v>
      </c>
      <c r="F571" s="94">
        <f t="shared" si="36"/>
        <v>23.4</v>
      </c>
    </row>
    <row r="572" spans="1:9" ht="20.100000000000001" customHeight="1">
      <c r="A572" s="36" t="s">
        <v>8056</v>
      </c>
      <c r="B572" s="36" t="s">
        <v>8057</v>
      </c>
      <c r="C572" s="37" t="s">
        <v>8058</v>
      </c>
      <c r="D572" s="33">
        <v>840</v>
      </c>
      <c r="E572" s="94">
        <f t="shared" si="35"/>
        <v>30.800000000000004</v>
      </c>
      <c r="F572" s="94">
        <f t="shared" si="36"/>
        <v>33.6</v>
      </c>
    </row>
    <row r="573" spans="1:9" ht="20.100000000000001" customHeight="1">
      <c r="A573" s="36" t="s">
        <v>8059</v>
      </c>
      <c r="B573" s="36" t="s">
        <v>8060</v>
      </c>
      <c r="C573" s="37" t="s">
        <v>8061</v>
      </c>
      <c r="D573" s="33">
        <v>890</v>
      </c>
      <c r="E573" s="94">
        <f t="shared" si="35"/>
        <v>32.63333333333334</v>
      </c>
      <c r="F573" s="94">
        <f t="shared" si="36"/>
        <v>35.6</v>
      </c>
    </row>
    <row r="574" spans="1:9" ht="20.100000000000001" customHeight="1">
      <c r="A574" s="36" t="s">
        <v>8062</v>
      </c>
      <c r="B574" s="36" t="s">
        <v>8063</v>
      </c>
      <c r="C574" s="37" t="s">
        <v>8064</v>
      </c>
      <c r="D574" s="33">
        <v>860</v>
      </c>
      <c r="E574" s="94">
        <f t="shared" si="35"/>
        <v>31.533333333333339</v>
      </c>
      <c r="F574" s="94">
        <f t="shared" si="36"/>
        <v>34.4</v>
      </c>
    </row>
    <row r="575" spans="1:9" ht="20.100000000000001" customHeight="1">
      <c r="A575" s="36" t="s">
        <v>8198</v>
      </c>
      <c r="B575" s="36" t="s">
        <v>8201</v>
      </c>
      <c r="C575" s="37" t="s">
        <v>8204</v>
      </c>
      <c r="D575" s="33">
        <v>780</v>
      </c>
      <c r="E575" s="94">
        <f t="shared" si="35"/>
        <v>28.600000000000005</v>
      </c>
      <c r="F575" s="94">
        <f t="shared" si="36"/>
        <v>31.2</v>
      </c>
    </row>
    <row r="576" spans="1:9" ht="20.100000000000001" customHeight="1">
      <c r="A576" s="36" t="s">
        <v>8199</v>
      </c>
      <c r="B576" s="36" t="s">
        <v>8202</v>
      </c>
      <c r="C576" s="37" t="s">
        <v>8205</v>
      </c>
      <c r="D576" s="33">
        <v>650</v>
      </c>
      <c r="E576" s="94">
        <f t="shared" si="35"/>
        <v>23.833333333333336</v>
      </c>
      <c r="F576" s="94">
        <f t="shared" si="36"/>
        <v>26</v>
      </c>
    </row>
    <row r="577" spans="1:9" ht="20.100000000000001" customHeight="1">
      <c r="A577" s="36" t="s">
        <v>8200</v>
      </c>
      <c r="B577" s="36" t="s">
        <v>8203</v>
      </c>
      <c r="C577" s="37" t="s">
        <v>8206</v>
      </c>
      <c r="D577" s="33">
        <v>1620</v>
      </c>
      <c r="E577" s="94">
        <f t="shared" si="35"/>
        <v>59.400000000000006</v>
      </c>
      <c r="F577" s="94">
        <f t="shared" si="36"/>
        <v>64.8</v>
      </c>
    </row>
    <row r="578" spans="1:9" ht="20.100000000000001" customHeight="1">
      <c r="A578" s="36" t="s">
        <v>8414</v>
      </c>
      <c r="B578" s="36" t="s">
        <v>8415</v>
      </c>
      <c r="C578" s="37" t="s">
        <v>8416</v>
      </c>
      <c r="D578" s="33">
        <v>770</v>
      </c>
      <c r="E578" s="94">
        <f t="shared" si="35"/>
        <v>28.233333333333338</v>
      </c>
      <c r="F578" s="94">
        <f t="shared" si="36"/>
        <v>30.8</v>
      </c>
      <c r="H578" s="58">
        <v>45033</v>
      </c>
    </row>
    <row r="579" spans="1:9" ht="20.100000000000001" customHeight="1">
      <c r="A579" s="36" t="s">
        <v>8190</v>
      </c>
      <c r="B579" s="36" t="s">
        <v>8191</v>
      </c>
      <c r="C579" s="37" t="s">
        <v>8192</v>
      </c>
      <c r="D579" s="33">
        <v>500</v>
      </c>
      <c r="E579" s="94">
        <f t="shared" si="35"/>
        <v>18.333333333333332</v>
      </c>
      <c r="F579" s="94">
        <f t="shared" si="36"/>
        <v>20</v>
      </c>
    </row>
    <row r="580" spans="1:9" ht="18" hidden="1" customHeight="1">
      <c r="A580" s="22" t="s">
        <v>6943</v>
      </c>
      <c r="B580" s="22" t="s">
        <v>6942</v>
      </c>
      <c r="C580" s="23" t="s">
        <v>6944</v>
      </c>
      <c r="D580" s="30" t="s">
        <v>2</v>
      </c>
      <c r="E580" s="94" t="e">
        <f t="shared" si="35"/>
        <v>#VALUE!</v>
      </c>
      <c r="F580" s="94" t="e">
        <f t="shared" si="36"/>
        <v>#VALUE!</v>
      </c>
    </row>
    <row r="581" spans="1:9" ht="20.100000000000001" hidden="1" customHeight="1">
      <c r="A581" s="22" t="s">
        <v>7884</v>
      </c>
      <c r="B581" s="22" t="s">
        <v>7883</v>
      </c>
      <c r="C581" s="23" t="s">
        <v>7885</v>
      </c>
      <c r="D581" s="30">
        <v>339.90000000000003</v>
      </c>
      <c r="E581" s="94">
        <f t="shared" si="35"/>
        <v>12.463000000000001</v>
      </c>
      <c r="F581" s="94">
        <f t="shared" si="36"/>
        <v>13.596000000000002</v>
      </c>
    </row>
    <row r="582" spans="1:9" ht="20.100000000000001" hidden="1" customHeight="1">
      <c r="A582" s="22" t="s">
        <v>7460</v>
      </c>
      <c r="B582" s="22" t="s">
        <v>7459</v>
      </c>
      <c r="C582" s="23" t="s">
        <v>7449</v>
      </c>
      <c r="D582" s="30">
        <v>654.05000000000007</v>
      </c>
      <c r="E582" s="94">
        <f t="shared" si="35"/>
        <v>23.981833333333338</v>
      </c>
      <c r="F582" s="94">
        <f t="shared" si="36"/>
        <v>26.161999999999999</v>
      </c>
    </row>
    <row r="583" spans="1:9">
      <c r="A583" s="36" t="s">
        <v>8193</v>
      </c>
      <c r="B583" s="36" t="s">
        <v>8194</v>
      </c>
      <c r="C583" s="37" t="s">
        <v>8195</v>
      </c>
      <c r="D583" s="33">
        <v>360</v>
      </c>
      <c r="E583" s="94">
        <f t="shared" si="35"/>
        <v>13.200000000000001</v>
      </c>
      <c r="F583" s="94">
        <f t="shared" si="36"/>
        <v>14.4</v>
      </c>
    </row>
    <row r="584" spans="1:9">
      <c r="A584" s="36" t="s">
        <v>8381</v>
      </c>
      <c r="B584" s="36" t="s">
        <v>8382</v>
      </c>
      <c r="C584" s="37" t="s">
        <v>8383</v>
      </c>
      <c r="D584" s="33">
        <v>720</v>
      </c>
      <c r="E584" s="94">
        <f t="shared" si="35"/>
        <v>26.400000000000002</v>
      </c>
      <c r="F584" s="94">
        <f t="shared" si="36"/>
        <v>28.8</v>
      </c>
      <c r="H584" s="58">
        <v>45054</v>
      </c>
    </row>
    <row r="585" spans="1:9">
      <c r="A585" s="36" t="s">
        <v>8441</v>
      </c>
      <c r="B585" s="36" t="s">
        <v>8442</v>
      </c>
      <c r="C585" s="37" t="s">
        <v>8443</v>
      </c>
      <c r="D585" s="33">
        <v>730</v>
      </c>
      <c r="E585" s="94">
        <f t="shared" si="35"/>
        <v>26.766666666666669</v>
      </c>
      <c r="F585" s="94">
        <f t="shared" si="36"/>
        <v>29.2</v>
      </c>
    </row>
    <row r="586" spans="1:9">
      <c r="A586" s="36" t="s">
        <v>8449</v>
      </c>
      <c r="B586" s="36" t="s">
        <v>8450</v>
      </c>
      <c r="C586" s="37" t="s">
        <v>8453</v>
      </c>
      <c r="D586" s="33">
        <v>4225</v>
      </c>
      <c r="E586" s="94">
        <f t="shared" si="35"/>
        <v>154.91666666666666</v>
      </c>
      <c r="F586" s="94">
        <f t="shared" si="36"/>
        <v>169</v>
      </c>
      <c r="H586" s="58">
        <v>45208</v>
      </c>
    </row>
    <row r="587" spans="1:9">
      <c r="A587" s="36" t="s">
        <v>8438</v>
      </c>
      <c r="B587" s="36" t="s">
        <v>8439</v>
      </c>
      <c r="C587" s="37" t="s">
        <v>8440</v>
      </c>
      <c r="D587" s="33">
        <v>620</v>
      </c>
      <c r="E587" s="94">
        <f t="shared" si="35"/>
        <v>22.733333333333334</v>
      </c>
      <c r="F587" s="94">
        <f t="shared" si="36"/>
        <v>24.8</v>
      </c>
    </row>
    <row r="588" spans="1:9">
      <c r="A588" s="36" t="s">
        <v>8451</v>
      </c>
      <c r="B588" s="36" t="s">
        <v>8452</v>
      </c>
      <c r="C588" s="37" t="s">
        <v>8454</v>
      </c>
      <c r="D588" s="33">
        <v>600</v>
      </c>
      <c r="E588" s="94">
        <f t="shared" si="35"/>
        <v>22</v>
      </c>
      <c r="F588" s="94">
        <f t="shared" si="36"/>
        <v>24</v>
      </c>
      <c r="H588" s="58">
        <v>45208</v>
      </c>
    </row>
    <row r="589" spans="1:9">
      <c r="A589" s="36" t="s">
        <v>8460</v>
      </c>
      <c r="B589" s="36" t="s">
        <v>8461</v>
      </c>
      <c r="C589" s="37" t="s">
        <v>8462</v>
      </c>
      <c r="D589" s="33">
        <v>560</v>
      </c>
      <c r="E589" s="94">
        <f t="shared" si="35"/>
        <v>20.533333333333335</v>
      </c>
      <c r="F589" s="94">
        <f t="shared" si="36"/>
        <v>22.4</v>
      </c>
    </row>
    <row r="590" spans="1:9">
      <c r="A590" s="21" t="s">
        <v>8603</v>
      </c>
      <c r="B590" s="21" t="s">
        <v>8604</v>
      </c>
      <c r="C590" s="28" t="s">
        <v>8605</v>
      </c>
      <c r="D590" s="21">
        <v>1130</v>
      </c>
      <c r="E590" s="94">
        <f t="shared" si="35"/>
        <v>41.43333333333333</v>
      </c>
      <c r="F590" s="94">
        <f t="shared" si="36"/>
        <v>45.2</v>
      </c>
      <c r="I590" s="91">
        <v>45615</v>
      </c>
    </row>
    <row r="591" spans="1:9">
      <c r="A591" s="21" t="s">
        <v>8809</v>
      </c>
      <c r="B591" s="21" t="s">
        <v>8808</v>
      </c>
      <c r="C591" s="28" t="s">
        <v>8840</v>
      </c>
      <c r="D591" s="21">
        <v>820</v>
      </c>
      <c r="E591" s="94">
        <f t="shared" si="35"/>
        <v>30.06666666666667</v>
      </c>
      <c r="F591" s="94">
        <f t="shared" si="36"/>
        <v>32.799999999999997</v>
      </c>
      <c r="I591" s="91">
        <v>45920</v>
      </c>
    </row>
    <row r="592" spans="1:9">
      <c r="A592" s="21" t="s">
        <v>8812</v>
      </c>
      <c r="B592" s="21" t="s">
        <v>8810</v>
      </c>
      <c r="C592" s="28" t="s">
        <v>8841</v>
      </c>
      <c r="D592" s="21">
        <v>785</v>
      </c>
      <c r="E592" s="94">
        <f t="shared" si="35"/>
        <v>28.783333333333339</v>
      </c>
      <c r="F592" s="94">
        <f t="shared" si="36"/>
        <v>31.4</v>
      </c>
    </row>
    <row r="593" spans="1:9">
      <c r="A593" s="21" t="s">
        <v>8813</v>
      </c>
      <c r="B593" s="21" t="s">
        <v>8811</v>
      </c>
      <c r="C593" s="28" t="s">
        <v>8842</v>
      </c>
      <c r="D593" s="21">
        <v>1100</v>
      </c>
      <c r="E593" s="94">
        <f t="shared" si="35"/>
        <v>40.333333333333336</v>
      </c>
      <c r="F593" s="94">
        <f t="shared" si="36"/>
        <v>44</v>
      </c>
    </row>
    <row r="594" spans="1:9">
      <c r="A594" s="21" t="s">
        <v>8818</v>
      </c>
      <c r="B594" s="21" t="s">
        <v>8819</v>
      </c>
      <c r="C594" s="28" t="s">
        <v>8843</v>
      </c>
      <c r="D594" s="21">
        <v>1320</v>
      </c>
      <c r="E594" s="94">
        <f t="shared" si="35"/>
        <v>48.400000000000006</v>
      </c>
      <c r="F594" s="94">
        <f t="shared" si="36"/>
        <v>52.8</v>
      </c>
      <c r="I594" s="91">
        <v>45936</v>
      </c>
    </row>
    <row r="595" spans="1:9">
      <c r="A595" s="21" t="s">
        <v>8816</v>
      </c>
      <c r="B595" s="21" t="s">
        <v>8817</v>
      </c>
      <c r="C595" s="28" t="s">
        <v>8844</v>
      </c>
      <c r="D595" s="21">
        <v>710</v>
      </c>
      <c r="E595" s="94">
        <f t="shared" si="35"/>
        <v>26.033333333333339</v>
      </c>
      <c r="F595" s="94">
        <f t="shared" si="36"/>
        <v>28.4</v>
      </c>
    </row>
    <row r="596" spans="1:9">
      <c r="A596" s="21" t="s">
        <v>8815</v>
      </c>
      <c r="B596" s="21" t="s">
        <v>8814</v>
      </c>
      <c r="C596" s="28" t="s">
        <v>8845</v>
      </c>
      <c r="D596" s="21">
        <v>520</v>
      </c>
      <c r="E596" s="94">
        <f t="shared" si="35"/>
        <v>19.066666666666666</v>
      </c>
      <c r="F596" s="94">
        <f t="shared" si="36"/>
        <v>20.8</v>
      </c>
    </row>
    <row r="597" spans="1:9">
      <c r="A597" s="21" t="s">
        <v>8826</v>
      </c>
      <c r="B597" s="21" t="s">
        <v>8827</v>
      </c>
      <c r="C597" s="28" t="s">
        <v>8828</v>
      </c>
      <c r="D597" s="21">
        <v>2900</v>
      </c>
      <c r="E597" s="94">
        <f t="shared" si="35"/>
        <v>106.33333333333334</v>
      </c>
      <c r="F597" s="94">
        <f t="shared" si="36"/>
        <v>116</v>
      </c>
    </row>
    <row r="598" spans="1:9">
      <c r="A598" s="21" t="s">
        <v>8857</v>
      </c>
      <c r="B598" s="21" t="s">
        <v>8860</v>
      </c>
      <c r="C598" s="28" t="s">
        <v>8863</v>
      </c>
      <c r="D598" s="21">
        <v>800</v>
      </c>
      <c r="E598" s="94">
        <f t="shared" si="35"/>
        <v>29.333333333333336</v>
      </c>
      <c r="F598" s="94">
        <f t="shared" si="36"/>
        <v>32</v>
      </c>
      <c r="I598" s="1" t="s">
        <v>8866</v>
      </c>
    </row>
    <row r="599" spans="1:9">
      <c r="A599" s="21" t="s">
        <v>8858</v>
      </c>
      <c r="B599" s="21" t="s">
        <v>8861</v>
      </c>
      <c r="C599" s="28" t="s">
        <v>8864</v>
      </c>
      <c r="D599" s="21">
        <v>665</v>
      </c>
      <c r="E599" s="94">
        <f t="shared" si="35"/>
        <v>24.383333333333336</v>
      </c>
      <c r="F599" s="94">
        <f t="shared" si="36"/>
        <v>26.6</v>
      </c>
      <c r="I599" s="1" t="s">
        <v>8866</v>
      </c>
    </row>
    <row r="600" spans="1:9">
      <c r="A600" s="21" t="s">
        <v>8859</v>
      </c>
      <c r="B600" s="21" t="s">
        <v>8862</v>
      </c>
      <c r="C600" s="28" t="s">
        <v>8865</v>
      </c>
      <c r="D600" s="21">
        <v>803</v>
      </c>
      <c r="E600" s="94">
        <f t="shared" si="35"/>
        <v>29.443333333333335</v>
      </c>
      <c r="F600" s="94">
        <f t="shared" si="36"/>
        <v>32.119999999999997</v>
      </c>
      <c r="I600" s="1" t="s">
        <v>8866</v>
      </c>
    </row>
    <row r="601" spans="1:9">
      <c r="A601" s="21" t="s">
        <v>8608</v>
      </c>
      <c r="B601" s="21" t="s">
        <v>8607</v>
      </c>
      <c r="C601" s="28" t="s">
        <v>8609</v>
      </c>
      <c r="D601" s="21">
        <v>1120</v>
      </c>
      <c r="E601" s="94">
        <f t="shared" si="35"/>
        <v>41.06666666666667</v>
      </c>
      <c r="F601" s="94">
        <f t="shared" si="36"/>
        <v>44.8</v>
      </c>
      <c r="I601" s="91">
        <v>45660</v>
      </c>
    </row>
    <row r="602" spans="1:9">
      <c r="E602" s="94">
        <f t="shared" si="35"/>
        <v>0</v>
      </c>
      <c r="F602" s="94">
        <f t="shared" si="36"/>
        <v>0</v>
      </c>
      <c r="I602" s="91"/>
    </row>
  </sheetData>
  <sortState xmlns:xlrd2="http://schemas.microsoft.com/office/spreadsheetml/2017/richdata2" ref="A2:J603">
    <sortCondition ref="A2:A603" customList="1-9"/>
  </sortState>
  <phoneticPr fontId="12" type="noConversion"/>
  <pageMargins left="0.39370078740157483" right="0.31496062992125984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2"/>
  <sheetViews>
    <sheetView workbookViewId="0">
      <selection activeCell="F5" sqref="F5"/>
    </sheetView>
  </sheetViews>
  <sheetFormatPr defaultColWidth="9" defaultRowHeight="21.75"/>
  <cols>
    <col min="1" max="1" width="15.7109375" style="28" customWidth="1"/>
    <col min="2" max="2" width="20.7109375" style="28" customWidth="1"/>
    <col min="3" max="3" width="57.140625" style="28" customWidth="1"/>
    <col min="4" max="4" width="12.7109375" style="28" customWidth="1"/>
    <col min="5" max="5" width="17.5703125" style="28" hidden="1" customWidth="1"/>
    <col min="6" max="6" width="15.7109375" style="95" customWidth="1"/>
    <col min="7" max="7" width="19.5703125" style="101" customWidth="1"/>
    <col min="8" max="8" width="15.7109375" style="52" customWidth="1"/>
    <col min="9" max="16384" width="9" style="1"/>
  </cols>
  <sheetData>
    <row r="1" spans="1:8" ht="23.25" customHeight="1">
      <c r="A1" s="59" t="s">
        <v>1</v>
      </c>
      <c r="B1" s="59" t="s">
        <v>0</v>
      </c>
      <c r="C1" s="59" t="s">
        <v>6168</v>
      </c>
      <c r="D1" s="59" t="s">
        <v>2291</v>
      </c>
      <c r="E1" s="59" t="s">
        <v>11</v>
      </c>
      <c r="F1" s="99" t="s">
        <v>8101</v>
      </c>
      <c r="G1" s="99" t="s">
        <v>8102</v>
      </c>
      <c r="H1" s="60" t="s">
        <v>8564</v>
      </c>
    </row>
    <row r="2" spans="1:8" ht="20.100000000000001" customHeight="1">
      <c r="A2" s="62" t="s">
        <v>6835</v>
      </c>
      <c r="B2" s="62" t="s">
        <v>6834</v>
      </c>
      <c r="C2" s="63" t="s">
        <v>6836</v>
      </c>
      <c r="D2" s="64" t="s">
        <v>2</v>
      </c>
      <c r="E2" s="65" t="s">
        <v>2</v>
      </c>
    </row>
    <row r="3" spans="1:8" ht="20.100000000000001" customHeight="1">
      <c r="A3" s="62" t="s">
        <v>6889</v>
      </c>
      <c r="B3" s="62" t="s">
        <v>6888</v>
      </c>
      <c r="C3" s="63" t="s">
        <v>6890</v>
      </c>
      <c r="D3" s="64">
        <v>1246</v>
      </c>
      <c r="E3" s="63">
        <v>1209</v>
      </c>
      <c r="F3" s="95">
        <f>+(D3*1.1/30)</f>
        <v>45.686666666666675</v>
      </c>
      <c r="G3" s="101">
        <f>+(D3*1.2/30)</f>
        <v>49.84</v>
      </c>
    </row>
    <row r="4" spans="1:8" ht="20.100000000000001" customHeight="1">
      <c r="A4" s="62" t="s">
        <v>6238</v>
      </c>
      <c r="B4" s="62" t="s">
        <v>6237</v>
      </c>
      <c r="C4" s="63" t="s">
        <v>6239</v>
      </c>
      <c r="D4" s="64">
        <v>1094</v>
      </c>
      <c r="E4" s="66">
        <v>1062</v>
      </c>
      <c r="F4" s="95">
        <f t="shared" ref="F4:F68" si="0">+(D4*1.1/30)</f>
        <v>40.113333333333337</v>
      </c>
      <c r="G4" s="101">
        <f t="shared" ref="G4:G68" si="1">+(D4*1.2/30)</f>
        <v>43.76</v>
      </c>
    </row>
    <row r="5" spans="1:8" ht="20.100000000000001" customHeight="1">
      <c r="A5" s="62" t="s">
        <v>6241</v>
      </c>
      <c r="B5" s="62" t="s">
        <v>6240</v>
      </c>
      <c r="C5" s="63" t="s">
        <v>6242</v>
      </c>
      <c r="D5" s="64">
        <v>1081.5</v>
      </c>
      <c r="E5" s="67">
        <v>1050</v>
      </c>
      <c r="F5" s="95">
        <f t="shared" si="0"/>
        <v>39.655000000000001</v>
      </c>
      <c r="G5" s="101">
        <f t="shared" si="1"/>
        <v>43.26</v>
      </c>
    </row>
    <row r="6" spans="1:8" ht="20.100000000000001" customHeight="1">
      <c r="A6" s="62" t="s">
        <v>6427</v>
      </c>
      <c r="B6" s="62" t="s">
        <v>6426</v>
      </c>
      <c r="C6" s="63" t="s">
        <v>6428</v>
      </c>
      <c r="D6" s="64">
        <v>1498.7632999999998</v>
      </c>
      <c r="E6" s="68">
        <v>1455.11</v>
      </c>
      <c r="F6" s="95">
        <f t="shared" si="0"/>
        <v>54.95465433333333</v>
      </c>
      <c r="G6" s="101">
        <f t="shared" si="1"/>
        <v>59.950531999999988</v>
      </c>
    </row>
    <row r="7" spans="1:8" ht="20.100000000000001" customHeight="1">
      <c r="A7" s="62" t="s">
        <v>6244</v>
      </c>
      <c r="B7" s="62" t="s">
        <v>6243</v>
      </c>
      <c r="C7" s="63" t="s">
        <v>6245</v>
      </c>
      <c r="D7" s="64">
        <v>1886</v>
      </c>
      <c r="E7" s="67">
        <v>1831</v>
      </c>
      <c r="F7" s="95">
        <f t="shared" si="0"/>
        <v>69.15333333333335</v>
      </c>
      <c r="G7" s="101">
        <f t="shared" si="1"/>
        <v>75.44</v>
      </c>
    </row>
    <row r="8" spans="1:8" ht="20.100000000000001" customHeight="1">
      <c r="A8" s="62" t="s">
        <v>6271</v>
      </c>
      <c r="B8" s="62" t="s">
        <v>6270</v>
      </c>
      <c r="C8" s="63" t="s">
        <v>6272</v>
      </c>
      <c r="D8" s="64" t="s">
        <v>2</v>
      </c>
      <c r="E8" s="69" t="s">
        <v>2</v>
      </c>
      <c r="F8" s="95" t="e">
        <f t="shared" si="0"/>
        <v>#VALUE!</v>
      </c>
      <c r="G8" s="101" t="e">
        <f t="shared" si="1"/>
        <v>#VALUE!</v>
      </c>
    </row>
    <row r="9" spans="1:8" ht="20.100000000000001" customHeight="1">
      <c r="A9" s="62" t="s">
        <v>6891</v>
      </c>
      <c r="B9" s="62" t="s">
        <v>6237</v>
      </c>
      <c r="C9" s="63" t="s">
        <v>6239</v>
      </c>
      <c r="D9" s="64">
        <v>1090</v>
      </c>
      <c r="E9" s="63">
        <v>1058</v>
      </c>
      <c r="F9" s="95">
        <f t="shared" si="0"/>
        <v>39.966666666666669</v>
      </c>
      <c r="G9" s="101">
        <f t="shared" si="1"/>
        <v>43.6</v>
      </c>
    </row>
    <row r="10" spans="1:8" ht="20.100000000000001" customHeight="1">
      <c r="A10" s="62" t="s">
        <v>6558</v>
      </c>
      <c r="B10" s="62" t="s">
        <v>6557</v>
      </c>
      <c r="C10" s="63" t="s">
        <v>6559</v>
      </c>
      <c r="D10" s="64" t="s">
        <v>2</v>
      </c>
      <c r="E10" s="65" t="s">
        <v>2</v>
      </c>
      <c r="F10" s="95" t="e">
        <f t="shared" si="0"/>
        <v>#VALUE!</v>
      </c>
      <c r="G10" s="101" t="e">
        <f t="shared" si="1"/>
        <v>#VALUE!</v>
      </c>
    </row>
    <row r="11" spans="1:8" ht="20.100000000000001" customHeight="1">
      <c r="A11" s="62" t="s">
        <v>6555</v>
      </c>
      <c r="B11" s="62" t="s">
        <v>6554</v>
      </c>
      <c r="C11" s="63" t="s">
        <v>6556</v>
      </c>
      <c r="D11" s="64">
        <v>1263</v>
      </c>
      <c r="E11" s="63">
        <v>1226</v>
      </c>
      <c r="F11" s="95">
        <f t="shared" si="0"/>
        <v>46.310000000000009</v>
      </c>
      <c r="G11" s="101">
        <f t="shared" si="1"/>
        <v>50.519999999999996</v>
      </c>
    </row>
    <row r="12" spans="1:8" ht="20.100000000000001" customHeight="1">
      <c r="A12" s="62" t="s">
        <v>6220</v>
      </c>
      <c r="B12" s="62" t="s">
        <v>6219</v>
      </c>
      <c r="C12" s="63" t="s">
        <v>6221</v>
      </c>
      <c r="D12" s="64" t="s">
        <v>2</v>
      </c>
      <c r="E12" s="69" t="s">
        <v>2</v>
      </c>
      <c r="F12" s="95" t="e">
        <f t="shared" si="0"/>
        <v>#VALUE!</v>
      </c>
      <c r="G12" s="101" t="e">
        <f t="shared" si="1"/>
        <v>#VALUE!</v>
      </c>
    </row>
    <row r="13" spans="1:8" ht="20.100000000000001" customHeight="1">
      <c r="A13" s="62" t="s">
        <v>6193</v>
      </c>
      <c r="B13" s="62" t="s">
        <v>6192</v>
      </c>
      <c r="C13" s="63" t="s">
        <v>6194</v>
      </c>
      <c r="D13" s="64" t="s">
        <v>2</v>
      </c>
      <c r="E13" s="69" t="s">
        <v>2</v>
      </c>
      <c r="F13" s="95" t="e">
        <f t="shared" si="0"/>
        <v>#VALUE!</v>
      </c>
      <c r="G13" s="101" t="e">
        <f t="shared" si="1"/>
        <v>#VALUE!</v>
      </c>
    </row>
    <row r="14" spans="1:8" ht="20.100000000000001" customHeight="1">
      <c r="A14" s="62" t="s">
        <v>6665</v>
      </c>
      <c r="B14" s="62" t="s">
        <v>6664</v>
      </c>
      <c r="C14" s="63" t="s">
        <v>6666</v>
      </c>
      <c r="D14" s="64" t="s">
        <v>2</v>
      </c>
      <c r="E14" s="65" t="s">
        <v>2</v>
      </c>
      <c r="F14" s="95" t="e">
        <f t="shared" si="0"/>
        <v>#VALUE!</v>
      </c>
      <c r="G14" s="101" t="e">
        <f t="shared" si="1"/>
        <v>#VALUE!</v>
      </c>
    </row>
    <row r="15" spans="1:8" ht="20.100000000000001" customHeight="1">
      <c r="A15" s="62" t="s">
        <v>7384</v>
      </c>
      <c r="B15" s="62" t="s">
        <v>7383</v>
      </c>
      <c r="C15" s="63" t="s">
        <v>7385</v>
      </c>
      <c r="D15" s="64" t="s">
        <v>2</v>
      </c>
      <c r="E15" s="65" t="s">
        <v>2</v>
      </c>
      <c r="F15" s="95" t="e">
        <f t="shared" si="0"/>
        <v>#VALUE!</v>
      </c>
      <c r="G15" s="101" t="e">
        <f t="shared" si="1"/>
        <v>#VALUE!</v>
      </c>
    </row>
    <row r="16" spans="1:8" ht="20.100000000000001" customHeight="1">
      <c r="A16" s="62" t="s">
        <v>6202</v>
      </c>
      <c r="B16" s="62" t="s">
        <v>6201</v>
      </c>
      <c r="C16" s="63" t="s">
        <v>6203</v>
      </c>
      <c r="D16" s="64">
        <v>6712.2628000000004</v>
      </c>
      <c r="E16" s="70">
        <v>6516.76</v>
      </c>
      <c r="F16" s="95">
        <f t="shared" si="0"/>
        <v>246.11630266666671</v>
      </c>
      <c r="G16" s="101">
        <f t="shared" si="1"/>
        <v>268.49051200000002</v>
      </c>
    </row>
    <row r="17" spans="1:7" ht="20.100000000000001" customHeight="1">
      <c r="A17" s="62" t="s">
        <v>6324</v>
      </c>
      <c r="B17" s="62" t="s">
        <v>6323</v>
      </c>
      <c r="C17" s="63" t="s">
        <v>6325</v>
      </c>
      <c r="D17" s="64">
        <v>1427.6932999999999</v>
      </c>
      <c r="E17" s="70">
        <v>1386.11</v>
      </c>
      <c r="F17" s="95">
        <f t="shared" si="0"/>
        <v>52.348754333333332</v>
      </c>
      <c r="G17" s="101">
        <f t="shared" si="1"/>
        <v>57.107731999999992</v>
      </c>
    </row>
    <row r="18" spans="1:7" ht="20.100000000000001" customHeight="1">
      <c r="A18" s="62" t="s">
        <v>6196</v>
      </c>
      <c r="B18" s="62" t="s">
        <v>6195</v>
      </c>
      <c r="C18" s="63" t="s">
        <v>6197</v>
      </c>
      <c r="D18" s="64" t="s">
        <v>2</v>
      </c>
      <c r="E18" s="69" t="s">
        <v>2</v>
      </c>
      <c r="F18" s="95" t="e">
        <f t="shared" si="0"/>
        <v>#VALUE!</v>
      </c>
      <c r="G18" s="101" t="e">
        <f t="shared" si="1"/>
        <v>#VALUE!</v>
      </c>
    </row>
    <row r="19" spans="1:7" ht="20.100000000000001" customHeight="1">
      <c r="A19" s="62" t="s">
        <v>6333</v>
      </c>
      <c r="B19" s="62" t="s">
        <v>6332</v>
      </c>
      <c r="C19" s="63" t="s">
        <v>6334</v>
      </c>
      <c r="D19" s="64">
        <v>2165.0806000000002</v>
      </c>
      <c r="E19" s="70">
        <v>2102.02</v>
      </c>
      <c r="F19" s="95">
        <f t="shared" si="0"/>
        <v>79.386288666666672</v>
      </c>
      <c r="G19" s="101">
        <f t="shared" si="1"/>
        <v>86.603223999999997</v>
      </c>
    </row>
    <row r="20" spans="1:7" ht="20.100000000000001" customHeight="1">
      <c r="A20" s="62" t="s">
        <v>7943</v>
      </c>
      <c r="B20" s="62" t="s">
        <v>7942</v>
      </c>
      <c r="C20" s="63" t="s">
        <v>7944</v>
      </c>
      <c r="D20" s="64">
        <v>0</v>
      </c>
      <c r="E20" s="63"/>
      <c r="F20" s="95">
        <f t="shared" si="0"/>
        <v>0</v>
      </c>
      <c r="G20" s="101">
        <f t="shared" si="1"/>
        <v>0</v>
      </c>
    </row>
    <row r="21" spans="1:7" ht="20.100000000000001" customHeight="1">
      <c r="A21" s="62" t="s">
        <v>6694</v>
      </c>
      <c r="B21" s="62" t="s">
        <v>6693</v>
      </c>
      <c r="C21" s="63" t="s">
        <v>6695</v>
      </c>
      <c r="D21" s="64" t="s">
        <v>2</v>
      </c>
      <c r="E21" s="65" t="s">
        <v>2</v>
      </c>
      <c r="F21" s="95" t="e">
        <f t="shared" si="0"/>
        <v>#VALUE!</v>
      </c>
      <c r="G21" s="101" t="e">
        <f t="shared" si="1"/>
        <v>#VALUE!</v>
      </c>
    </row>
    <row r="22" spans="1:7" ht="20.100000000000001" customHeight="1">
      <c r="A22" s="62" t="s">
        <v>6173</v>
      </c>
      <c r="B22" s="62" t="s">
        <v>6172</v>
      </c>
      <c r="C22" s="63" t="s">
        <v>6174</v>
      </c>
      <c r="D22" s="64">
        <v>3219</v>
      </c>
      <c r="E22" s="71">
        <v>3125</v>
      </c>
      <c r="F22" s="95">
        <f t="shared" si="0"/>
        <v>118.03</v>
      </c>
      <c r="G22" s="101">
        <f t="shared" si="1"/>
        <v>128.76</v>
      </c>
    </row>
    <row r="23" spans="1:7" ht="20.100000000000001" customHeight="1">
      <c r="A23" s="62" t="s">
        <v>6176</v>
      </c>
      <c r="B23" s="62" t="s">
        <v>6175</v>
      </c>
      <c r="C23" s="63" t="s">
        <v>6177</v>
      </c>
      <c r="D23" s="64" t="s">
        <v>2</v>
      </c>
      <c r="E23" s="69" t="s">
        <v>2</v>
      </c>
      <c r="F23" s="95" t="e">
        <f t="shared" si="0"/>
        <v>#VALUE!</v>
      </c>
      <c r="G23" s="101" t="e">
        <f t="shared" si="1"/>
        <v>#VALUE!</v>
      </c>
    </row>
    <row r="24" spans="1:7" ht="20.100000000000001" customHeight="1">
      <c r="A24" s="62" t="s">
        <v>6217</v>
      </c>
      <c r="B24" s="62" t="s">
        <v>6216</v>
      </c>
      <c r="C24" s="63" t="s">
        <v>6218</v>
      </c>
      <c r="D24" s="64" t="s">
        <v>2</v>
      </c>
      <c r="E24" s="69" t="s">
        <v>2</v>
      </c>
      <c r="F24" s="95" t="e">
        <f t="shared" si="0"/>
        <v>#VALUE!</v>
      </c>
      <c r="G24" s="101" t="e">
        <f t="shared" si="1"/>
        <v>#VALUE!</v>
      </c>
    </row>
    <row r="25" spans="1:7" ht="20.100000000000001" customHeight="1">
      <c r="A25" s="62" t="s">
        <v>6182</v>
      </c>
      <c r="B25" s="62" t="s">
        <v>6181</v>
      </c>
      <c r="C25" s="63" t="s">
        <v>6183</v>
      </c>
      <c r="D25" s="64" t="s">
        <v>2</v>
      </c>
      <c r="E25" s="69" t="s">
        <v>2</v>
      </c>
      <c r="F25" s="95" t="e">
        <f t="shared" si="0"/>
        <v>#VALUE!</v>
      </c>
      <c r="G25" s="101" t="e">
        <f t="shared" si="1"/>
        <v>#VALUE!</v>
      </c>
    </row>
    <row r="26" spans="1:7" ht="20.100000000000001" customHeight="1">
      <c r="A26" s="62" t="s">
        <v>6619</v>
      </c>
      <c r="B26" s="62" t="s">
        <v>6618</v>
      </c>
      <c r="C26" s="63" t="s">
        <v>6620</v>
      </c>
      <c r="D26" s="64" t="s">
        <v>2</v>
      </c>
      <c r="E26" s="65" t="s">
        <v>2</v>
      </c>
      <c r="F26" s="95" t="e">
        <f t="shared" si="0"/>
        <v>#VALUE!</v>
      </c>
      <c r="G26" s="101" t="e">
        <f t="shared" si="1"/>
        <v>#VALUE!</v>
      </c>
    </row>
    <row r="27" spans="1:7" ht="20.100000000000001" customHeight="1">
      <c r="A27" s="62" t="s">
        <v>6622</v>
      </c>
      <c r="B27" s="62" t="s">
        <v>6621</v>
      </c>
      <c r="C27" s="63" t="s">
        <v>6623</v>
      </c>
      <c r="D27" s="64" t="s">
        <v>2</v>
      </c>
      <c r="E27" s="65" t="s">
        <v>2</v>
      </c>
      <c r="F27" s="95" t="e">
        <f t="shared" si="0"/>
        <v>#VALUE!</v>
      </c>
      <c r="G27" s="101" t="e">
        <f t="shared" si="1"/>
        <v>#VALUE!</v>
      </c>
    </row>
    <row r="28" spans="1:7" ht="20.100000000000001" customHeight="1">
      <c r="A28" s="62" t="s">
        <v>7940</v>
      </c>
      <c r="B28" s="62" t="s">
        <v>7939</v>
      </c>
      <c r="C28" s="63" t="s">
        <v>7941</v>
      </c>
      <c r="D28" s="64">
        <v>0</v>
      </c>
      <c r="E28" s="63"/>
      <c r="F28" s="95">
        <f t="shared" si="0"/>
        <v>0</v>
      </c>
      <c r="G28" s="101">
        <f t="shared" si="1"/>
        <v>0</v>
      </c>
    </row>
    <row r="29" spans="1:7" ht="20.100000000000001" customHeight="1">
      <c r="A29" s="62" t="s">
        <v>7937</v>
      </c>
      <c r="B29" s="62" t="s">
        <v>7936</v>
      </c>
      <c r="C29" s="63" t="s">
        <v>7938</v>
      </c>
      <c r="D29" s="64">
        <v>0</v>
      </c>
      <c r="E29" s="63"/>
      <c r="F29" s="95">
        <f t="shared" si="0"/>
        <v>0</v>
      </c>
      <c r="G29" s="101">
        <f t="shared" si="1"/>
        <v>0</v>
      </c>
    </row>
    <row r="30" spans="1:7" ht="20.100000000000001" customHeight="1">
      <c r="A30" s="62" t="s">
        <v>6235</v>
      </c>
      <c r="B30" s="62" t="s">
        <v>6234</v>
      </c>
      <c r="C30" s="63" t="s">
        <v>6236</v>
      </c>
      <c r="D30" s="64">
        <v>1289</v>
      </c>
      <c r="E30" s="70">
        <v>1251</v>
      </c>
      <c r="F30" s="95">
        <f t="shared" si="0"/>
        <v>47.263333333333335</v>
      </c>
      <c r="G30" s="101">
        <f t="shared" si="1"/>
        <v>51.559999999999995</v>
      </c>
    </row>
    <row r="31" spans="1:7" ht="20.100000000000001" customHeight="1">
      <c r="A31" s="62" t="s">
        <v>6283</v>
      </c>
      <c r="B31" s="62" t="s">
        <v>6282</v>
      </c>
      <c r="C31" s="63" t="s">
        <v>6284</v>
      </c>
      <c r="D31" s="64" t="s">
        <v>2</v>
      </c>
      <c r="E31" s="69" t="s">
        <v>2</v>
      </c>
      <c r="F31" s="95" t="e">
        <f t="shared" si="0"/>
        <v>#VALUE!</v>
      </c>
      <c r="G31" s="101" t="e">
        <f t="shared" si="1"/>
        <v>#VALUE!</v>
      </c>
    </row>
    <row r="32" spans="1:7" ht="20.100000000000001" customHeight="1">
      <c r="A32" s="62" t="s">
        <v>6286</v>
      </c>
      <c r="B32" s="62" t="s">
        <v>6285</v>
      </c>
      <c r="C32" s="63" t="s">
        <v>6287</v>
      </c>
      <c r="D32" s="64" t="s">
        <v>2</v>
      </c>
      <c r="E32" s="69" t="s">
        <v>2</v>
      </c>
      <c r="F32" s="95" t="e">
        <f t="shared" si="0"/>
        <v>#VALUE!</v>
      </c>
      <c r="G32" s="101" t="e">
        <f t="shared" si="1"/>
        <v>#VALUE!</v>
      </c>
    </row>
    <row r="33" spans="1:7" ht="20.100000000000001" customHeight="1">
      <c r="A33" s="62" t="s">
        <v>6336</v>
      </c>
      <c r="B33" s="62" t="s">
        <v>6335</v>
      </c>
      <c r="C33" s="63" t="s">
        <v>6337</v>
      </c>
      <c r="D33" s="64">
        <v>2350</v>
      </c>
      <c r="E33" s="72">
        <v>2281</v>
      </c>
      <c r="F33" s="95">
        <f t="shared" si="0"/>
        <v>86.166666666666671</v>
      </c>
      <c r="G33" s="101">
        <f t="shared" si="1"/>
        <v>94</v>
      </c>
    </row>
    <row r="34" spans="1:7" ht="20.100000000000001" customHeight="1">
      <c r="A34" s="62" t="s">
        <v>7818</v>
      </c>
      <c r="B34" s="62" t="s">
        <v>7817</v>
      </c>
      <c r="C34" s="63" t="s">
        <v>8456</v>
      </c>
      <c r="D34" s="64"/>
      <c r="E34" s="72">
        <v>2050</v>
      </c>
      <c r="F34" s="95">
        <v>91</v>
      </c>
      <c r="G34" s="101">
        <v>93</v>
      </c>
    </row>
    <row r="35" spans="1:7" ht="20.100000000000001" customHeight="1">
      <c r="A35" s="62" t="s">
        <v>6598</v>
      </c>
      <c r="B35" s="62" t="s">
        <v>6597</v>
      </c>
      <c r="C35" s="63" t="s">
        <v>6599</v>
      </c>
      <c r="D35" s="64" t="s">
        <v>2</v>
      </c>
      <c r="E35" s="65" t="s">
        <v>2</v>
      </c>
      <c r="F35" s="95" t="e">
        <f t="shared" si="0"/>
        <v>#VALUE!</v>
      </c>
      <c r="G35" s="101" t="e">
        <f t="shared" si="1"/>
        <v>#VALUE!</v>
      </c>
    </row>
    <row r="36" spans="1:7" ht="20.100000000000001" customHeight="1">
      <c r="A36" s="62" t="s">
        <v>6917</v>
      </c>
      <c r="B36" s="62" t="s">
        <v>6916</v>
      </c>
      <c r="C36" s="63" t="s">
        <v>6918</v>
      </c>
      <c r="D36" s="64" t="s">
        <v>2</v>
      </c>
      <c r="E36" s="65" t="s">
        <v>2</v>
      </c>
      <c r="F36" s="95" t="e">
        <f t="shared" si="0"/>
        <v>#VALUE!</v>
      </c>
      <c r="G36" s="101" t="e">
        <f t="shared" si="1"/>
        <v>#VALUE!</v>
      </c>
    </row>
    <row r="37" spans="1:7" ht="20.100000000000001" customHeight="1">
      <c r="A37" s="62" t="s">
        <v>6858</v>
      </c>
      <c r="B37" s="62" t="s">
        <v>6857</v>
      </c>
      <c r="C37" s="63" t="s">
        <v>6859</v>
      </c>
      <c r="D37" s="64">
        <v>525</v>
      </c>
      <c r="E37" s="63">
        <v>509</v>
      </c>
      <c r="F37" s="95">
        <f t="shared" si="0"/>
        <v>19.25</v>
      </c>
      <c r="G37" s="101">
        <f t="shared" si="1"/>
        <v>21</v>
      </c>
    </row>
    <row r="38" spans="1:7" ht="20.100000000000001" customHeight="1">
      <c r="A38" s="22" t="s">
        <v>6997</v>
      </c>
      <c r="B38" s="22" t="s">
        <v>6996</v>
      </c>
      <c r="C38" s="23" t="s">
        <v>6998</v>
      </c>
      <c r="D38" s="64">
        <v>1383</v>
      </c>
      <c r="E38" s="23">
        <v>1342</v>
      </c>
      <c r="F38" s="95">
        <f t="shared" si="0"/>
        <v>50.710000000000008</v>
      </c>
      <c r="G38" s="101">
        <f t="shared" si="1"/>
        <v>55.32</v>
      </c>
    </row>
    <row r="39" spans="1:7" ht="20.100000000000001" customHeight="1">
      <c r="A39" s="62" t="s">
        <v>6952</v>
      </c>
      <c r="B39" s="62" t="s">
        <v>6951</v>
      </c>
      <c r="C39" s="63" t="s">
        <v>6953</v>
      </c>
      <c r="D39" s="64" t="s">
        <v>2</v>
      </c>
      <c r="E39" s="65" t="s">
        <v>2</v>
      </c>
      <c r="F39" s="95" t="e">
        <f t="shared" si="0"/>
        <v>#VALUE!</v>
      </c>
      <c r="G39" s="101" t="e">
        <f t="shared" si="1"/>
        <v>#VALUE!</v>
      </c>
    </row>
    <row r="40" spans="1:7" ht="20.100000000000001" customHeight="1">
      <c r="A40" s="62" t="s">
        <v>6955</v>
      </c>
      <c r="B40" s="62" t="s">
        <v>6954</v>
      </c>
      <c r="C40" s="63" t="s">
        <v>6956</v>
      </c>
      <c r="D40" s="64" t="s">
        <v>2</v>
      </c>
      <c r="E40" s="65" t="s">
        <v>2</v>
      </c>
      <c r="F40" s="95" t="e">
        <f t="shared" si="0"/>
        <v>#VALUE!</v>
      </c>
      <c r="G40" s="101" t="e">
        <f t="shared" si="1"/>
        <v>#VALUE!</v>
      </c>
    </row>
    <row r="41" spans="1:7" ht="20.100000000000001" customHeight="1">
      <c r="A41" s="62" t="s">
        <v>7033</v>
      </c>
      <c r="B41" s="62" t="s">
        <v>7032</v>
      </c>
      <c r="C41" s="63" t="s">
        <v>7034</v>
      </c>
      <c r="D41" s="64">
        <v>2171</v>
      </c>
      <c r="E41" s="63">
        <v>2107</v>
      </c>
      <c r="F41" s="95">
        <f t="shared" si="0"/>
        <v>79.603333333333339</v>
      </c>
      <c r="G41" s="101">
        <f t="shared" si="1"/>
        <v>86.839999999999989</v>
      </c>
    </row>
    <row r="42" spans="1:7" ht="20.100000000000001" customHeight="1">
      <c r="A42" s="62" t="s">
        <v>6958</v>
      </c>
      <c r="B42" s="62" t="s">
        <v>6957</v>
      </c>
      <c r="C42" s="63" t="s">
        <v>6959</v>
      </c>
      <c r="D42" s="64" t="s">
        <v>2</v>
      </c>
      <c r="E42" s="65" t="s">
        <v>2</v>
      </c>
      <c r="F42" s="95" t="e">
        <f t="shared" si="0"/>
        <v>#VALUE!</v>
      </c>
      <c r="G42" s="101" t="e">
        <f t="shared" si="1"/>
        <v>#VALUE!</v>
      </c>
    </row>
    <row r="43" spans="1:7" ht="20.100000000000001" customHeight="1">
      <c r="A43" s="62" t="s">
        <v>7000</v>
      </c>
      <c r="B43" s="62" t="s">
        <v>6999</v>
      </c>
      <c r="C43" s="63" t="s">
        <v>7001</v>
      </c>
      <c r="D43" s="64" t="s">
        <v>2</v>
      </c>
      <c r="E43" s="65" t="s">
        <v>2</v>
      </c>
      <c r="F43" s="95" t="e">
        <f t="shared" si="0"/>
        <v>#VALUE!</v>
      </c>
      <c r="G43" s="101" t="e">
        <f t="shared" si="1"/>
        <v>#VALUE!</v>
      </c>
    </row>
    <row r="44" spans="1:7" ht="20.100000000000001" customHeight="1">
      <c r="A44" s="62" t="s">
        <v>6925</v>
      </c>
      <c r="B44" s="62" t="s">
        <v>6924</v>
      </c>
      <c r="C44" s="63" t="s">
        <v>6926</v>
      </c>
      <c r="D44" s="64" t="s">
        <v>2</v>
      </c>
      <c r="E44" s="65" t="s">
        <v>2</v>
      </c>
      <c r="F44" s="95" t="e">
        <f t="shared" si="0"/>
        <v>#VALUE!</v>
      </c>
      <c r="G44" s="101" t="e">
        <f t="shared" si="1"/>
        <v>#VALUE!</v>
      </c>
    </row>
    <row r="45" spans="1:7" ht="20.100000000000001" customHeight="1">
      <c r="A45" s="62" t="s">
        <v>6896</v>
      </c>
      <c r="B45" s="62" t="s">
        <v>6895</v>
      </c>
      <c r="C45" s="63" t="s">
        <v>6897</v>
      </c>
      <c r="D45" s="64">
        <v>1361</v>
      </c>
      <c r="E45" s="63">
        <v>1321</v>
      </c>
      <c r="F45" s="95">
        <f t="shared" si="0"/>
        <v>49.903333333333336</v>
      </c>
      <c r="G45" s="101">
        <f t="shared" si="1"/>
        <v>54.440000000000005</v>
      </c>
    </row>
    <row r="46" spans="1:7" ht="20.100000000000001" customHeight="1">
      <c r="A46" s="62" t="s">
        <v>6928</v>
      </c>
      <c r="B46" s="62" t="s">
        <v>6927</v>
      </c>
      <c r="C46" s="63" t="s">
        <v>6929</v>
      </c>
      <c r="D46" s="64">
        <v>1478</v>
      </c>
      <c r="E46" s="63">
        <v>1434</v>
      </c>
      <c r="F46" s="95">
        <f t="shared" si="0"/>
        <v>54.193333333333342</v>
      </c>
      <c r="G46" s="101">
        <f t="shared" si="1"/>
        <v>59.12</v>
      </c>
    </row>
    <row r="47" spans="1:7" ht="20.100000000000001" customHeight="1">
      <c r="A47" s="62" t="s">
        <v>7900</v>
      </c>
      <c r="B47" s="62" t="s">
        <v>7899</v>
      </c>
      <c r="C47" s="63" t="s">
        <v>7901</v>
      </c>
      <c r="D47" s="64">
        <v>0</v>
      </c>
      <c r="E47" s="63"/>
      <c r="F47" s="95">
        <f t="shared" si="0"/>
        <v>0</v>
      </c>
      <c r="G47" s="101">
        <f t="shared" si="1"/>
        <v>0</v>
      </c>
    </row>
    <row r="48" spans="1:7" ht="20.100000000000001" customHeight="1">
      <c r="A48" s="62" t="s">
        <v>6964</v>
      </c>
      <c r="B48" s="62" t="s">
        <v>6963</v>
      </c>
      <c r="C48" s="63" t="s">
        <v>6965</v>
      </c>
      <c r="D48" s="64">
        <v>1708</v>
      </c>
      <c r="E48" s="63">
        <v>1658</v>
      </c>
      <c r="F48" s="95">
        <f t="shared" si="0"/>
        <v>62.626666666666672</v>
      </c>
      <c r="G48" s="101">
        <f t="shared" si="1"/>
        <v>68.319999999999993</v>
      </c>
    </row>
    <row r="49" spans="1:7" ht="20.100000000000001" customHeight="1">
      <c r="A49" s="62" t="s">
        <v>7100</v>
      </c>
      <c r="B49" s="62" t="s">
        <v>7099</v>
      </c>
      <c r="C49" s="63" t="s">
        <v>7101</v>
      </c>
      <c r="D49" s="64" t="s">
        <v>2</v>
      </c>
      <c r="E49" s="65" t="s">
        <v>2</v>
      </c>
      <c r="F49" s="95" t="e">
        <f t="shared" si="0"/>
        <v>#VALUE!</v>
      </c>
      <c r="G49" s="101" t="e">
        <f t="shared" si="1"/>
        <v>#VALUE!</v>
      </c>
    </row>
    <row r="50" spans="1:7" ht="20.100000000000001" customHeight="1">
      <c r="A50" s="62" t="s">
        <v>7200</v>
      </c>
      <c r="B50" s="62" t="s">
        <v>7199</v>
      </c>
      <c r="C50" s="63" t="s">
        <v>7201</v>
      </c>
      <c r="D50" s="64">
        <v>1550</v>
      </c>
      <c r="E50" s="73">
        <v>1504</v>
      </c>
      <c r="F50" s="95">
        <f t="shared" si="0"/>
        <v>56.833333333333343</v>
      </c>
      <c r="G50" s="101">
        <f t="shared" si="1"/>
        <v>62</v>
      </c>
    </row>
    <row r="51" spans="1:7" ht="20.100000000000001" customHeight="1">
      <c r="A51" s="62" t="s">
        <v>7304</v>
      </c>
      <c r="B51" s="62" t="s">
        <v>7303</v>
      </c>
      <c r="C51" s="63" t="s">
        <v>7305</v>
      </c>
      <c r="D51" s="64" t="s">
        <v>2</v>
      </c>
      <c r="E51" s="65" t="s">
        <v>2</v>
      </c>
      <c r="F51" s="95" t="e">
        <f t="shared" si="0"/>
        <v>#VALUE!</v>
      </c>
      <c r="G51" s="101" t="e">
        <f t="shared" si="1"/>
        <v>#VALUE!</v>
      </c>
    </row>
    <row r="52" spans="1:7" ht="20.100000000000001" customHeight="1">
      <c r="A52" s="62" t="s">
        <v>7307</v>
      </c>
      <c r="B52" s="62" t="s">
        <v>7306</v>
      </c>
      <c r="C52" s="63" t="s">
        <v>7308</v>
      </c>
      <c r="D52" s="64" t="s">
        <v>2</v>
      </c>
      <c r="E52" s="65" t="s">
        <v>2</v>
      </c>
      <c r="F52" s="95" t="e">
        <f t="shared" si="0"/>
        <v>#VALUE!</v>
      </c>
      <c r="G52" s="101" t="e">
        <f t="shared" si="1"/>
        <v>#VALUE!</v>
      </c>
    </row>
    <row r="53" spans="1:7" ht="20.100000000000001" customHeight="1">
      <c r="A53" s="62" t="s">
        <v>7405</v>
      </c>
      <c r="B53" s="62" t="s">
        <v>7404</v>
      </c>
      <c r="C53" s="63" t="s">
        <v>7406</v>
      </c>
      <c r="D53" s="64">
        <v>2100</v>
      </c>
      <c r="E53" s="65" t="s">
        <v>2</v>
      </c>
      <c r="F53" s="95">
        <f t="shared" si="0"/>
        <v>77</v>
      </c>
      <c r="G53" s="101">
        <f t="shared" si="1"/>
        <v>84</v>
      </c>
    </row>
    <row r="54" spans="1:7" ht="20.100000000000001" customHeight="1">
      <c r="A54" s="62" t="s">
        <v>7402</v>
      </c>
      <c r="B54" s="62" t="s">
        <v>7401</v>
      </c>
      <c r="C54" s="63" t="s">
        <v>7403</v>
      </c>
      <c r="D54" s="64">
        <v>1920</v>
      </c>
      <c r="E54" s="65" t="s">
        <v>2</v>
      </c>
      <c r="F54" s="95">
        <f t="shared" si="0"/>
        <v>70.400000000000006</v>
      </c>
      <c r="G54" s="101">
        <f t="shared" si="1"/>
        <v>76.8</v>
      </c>
    </row>
    <row r="55" spans="1:7" ht="20.100000000000001" customHeight="1">
      <c r="A55" s="62" t="s">
        <v>7399</v>
      </c>
      <c r="B55" s="62" t="s">
        <v>7398</v>
      </c>
      <c r="C55" s="63" t="s">
        <v>7400</v>
      </c>
      <c r="D55" s="64">
        <v>1650</v>
      </c>
      <c r="E55" s="65" t="s">
        <v>2</v>
      </c>
      <c r="F55" s="95">
        <f t="shared" si="0"/>
        <v>60.500000000000007</v>
      </c>
      <c r="G55" s="101">
        <f t="shared" si="1"/>
        <v>66</v>
      </c>
    </row>
    <row r="56" spans="1:7" ht="20.100000000000001" customHeight="1">
      <c r="A56" s="62" t="s">
        <v>7396</v>
      </c>
      <c r="B56" s="62" t="s">
        <v>7395</v>
      </c>
      <c r="C56" s="63" t="s">
        <v>7397</v>
      </c>
      <c r="D56" s="64">
        <v>1400</v>
      </c>
      <c r="E56" s="65" t="s">
        <v>2</v>
      </c>
      <c r="F56" s="95">
        <f t="shared" si="0"/>
        <v>51.333333333333343</v>
      </c>
      <c r="G56" s="101">
        <f t="shared" si="1"/>
        <v>56</v>
      </c>
    </row>
    <row r="57" spans="1:7" ht="20.100000000000001" customHeight="1">
      <c r="A57" s="62" t="s">
        <v>7393</v>
      </c>
      <c r="B57" s="62" t="s">
        <v>7392</v>
      </c>
      <c r="C57" s="63" t="s">
        <v>7394</v>
      </c>
      <c r="D57" s="64">
        <v>1800</v>
      </c>
      <c r="E57" s="65" t="s">
        <v>2</v>
      </c>
      <c r="F57" s="95">
        <f t="shared" si="0"/>
        <v>66.000000000000014</v>
      </c>
      <c r="G57" s="101">
        <f t="shared" si="1"/>
        <v>72</v>
      </c>
    </row>
    <row r="58" spans="1:7" ht="20.100000000000001" customHeight="1">
      <c r="A58" s="62" t="s">
        <v>7379</v>
      </c>
      <c r="B58" s="62" t="s">
        <v>7378</v>
      </c>
      <c r="C58" s="63" t="s">
        <v>7380</v>
      </c>
      <c r="D58" s="64">
        <v>1650</v>
      </c>
      <c r="E58" s="65" t="s">
        <v>2</v>
      </c>
      <c r="F58" s="95">
        <f t="shared" si="0"/>
        <v>60.500000000000007</v>
      </c>
      <c r="G58" s="101">
        <f t="shared" si="1"/>
        <v>66</v>
      </c>
    </row>
    <row r="59" spans="1:7" ht="20.100000000000001" customHeight="1">
      <c r="A59" s="62" t="s">
        <v>7564</v>
      </c>
      <c r="B59" s="62" t="s">
        <v>7563</v>
      </c>
      <c r="C59" s="63" t="s">
        <v>7565</v>
      </c>
      <c r="D59" s="64" t="s">
        <v>2</v>
      </c>
      <c r="E59" s="65" t="s">
        <v>2</v>
      </c>
      <c r="F59" s="95" t="e">
        <f t="shared" si="0"/>
        <v>#VALUE!</v>
      </c>
      <c r="G59" s="101" t="e">
        <f t="shared" si="1"/>
        <v>#VALUE!</v>
      </c>
    </row>
    <row r="60" spans="1:7" ht="20.100000000000001" customHeight="1">
      <c r="A60" s="62" t="s">
        <v>6289</v>
      </c>
      <c r="B60" s="62" t="s">
        <v>6288</v>
      </c>
      <c r="C60" s="63" t="s">
        <v>6290</v>
      </c>
      <c r="D60" s="64">
        <v>1250</v>
      </c>
      <c r="E60" s="70">
        <v>1213</v>
      </c>
      <c r="F60" s="95">
        <f t="shared" si="0"/>
        <v>45.833333333333336</v>
      </c>
      <c r="G60" s="101">
        <f t="shared" si="1"/>
        <v>50</v>
      </c>
    </row>
    <row r="61" spans="1:7" ht="20.100000000000001" customHeight="1">
      <c r="A61" s="62" t="s">
        <v>7570</v>
      </c>
      <c r="B61" s="62" t="s">
        <v>7569</v>
      </c>
      <c r="C61" s="63" t="s">
        <v>7571</v>
      </c>
      <c r="D61" s="64">
        <v>2343</v>
      </c>
      <c r="E61" s="73">
        <v>2274</v>
      </c>
      <c r="F61" s="95">
        <f t="shared" si="0"/>
        <v>85.910000000000011</v>
      </c>
      <c r="G61" s="101">
        <f t="shared" si="1"/>
        <v>93.72</v>
      </c>
    </row>
    <row r="62" spans="1:7" ht="20.100000000000001" customHeight="1">
      <c r="A62" s="62" t="s">
        <v>7674</v>
      </c>
      <c r="B62" s="62" t="s">
        <v>7673</v>
      </c>
      <c r="C62" s="63" t="s">
        <v>7675</v>
      </c>
      <c r="D62" s="64">
        <v>4291</v>
      </c>
      <c r="E62" s="73">
        <v>4166</v>
      </c>
      <c r="F62" s="95">
        <f t="shared" si="0"/>
        <v>157.33666666666667</v>
      </c>
      <c r="G62" s="101">
        <f t="shared" si="1"/>
        <v>171.64</v>
      </c>
    </row>
    <row r="63" spans="1:7" ht="20.100000000000001" customHeight="1">
      <c r="A63" s="62" t="s">
        <v>7680</v>
      </c>
      <c r="B63" s="62" t="s">
        <v>7679</v>
      </c>
      <c r="C63" s="63" t="s">
        <v>7681</v>
      </c>
      <c r="D63" s="64">
        <v>3346</v>
      </c>
      <c r="E63" s="73">
        <v>3248</v>
      </c>
      <c r="F63" s="95">
        <f t="shared" si="0"/>
        <v>122.68666666666668</v>
      </c>
      <c r="G63" s="101">
        <f t="shared" si="1"/>
        <v>133.84</v>
      </c>
    </row>
    <row r="64" spans="1:7" ht="20.100000000000001" customHeight="1">
      <c r="A64" s="62" t="s">
        <v>7863</v>
      </c>
      <c r="B64" s="62" t="s">
        <v>7862</v>
      </c>
      <c r="C64" s="63" t="s">
        <v>7864</v>
      </c>
      <c r="D64" s="64" t="s">
        <v>2</v>
      </c>
      <c r="E64" s="65" t="s">
        <v>2</v>
      </c>
      <c r="F64" s="95" t="e">
        <f t="shared" si="0"/>
        <v>#VALUE!</v>
      </c>
      <c r="G64" s="101" t="e">
        <f t="shared" si="1"/>
        <v>#VALUE!</v>
      </c>
    </row>
    <row r="65" spans="1:7" ht="20.100000000000001" customHeight="1">
      <c r="A65" s="62" t="s">
        <v>7964</v>
      </c>
      <c r="B65" s="62" t="s">
        <v>7963</v>
      </c>
      <c r="C65" s="63" t="s">
        <v>7965</v>
      </c>
      <c r="D65" s="64">
        <v>1519</v>
      </c>
      <c r="E65" s="63">
        <v>1474</v>
      </c>
      <c r="F65" s="95">
        <f t="shared" si="0"/>
        <v>55.696666666666673</v>
      </c>
      <c r="G65" s="101">
        <f t="shared" si="1"/>
        <v>60.76</v>
      </c>
    </row>
    <row r="66" spans="1:7" ht="20.100000000000001" customHeight="1">
      <c r="A66" s="62" t="s">
        <v>7967</v>
      </c>
      <c r="B66" s="62" t="s">
        <v>7966</v>
      </c>
      <c r="C66" s="63" t="s">
        <v>7968</v>
      </c>
      <c r="D66" s="64">
        <v>1888</v>
      </c>
      <c r="E66" s="63">
        <v>1833</v>
      </c>
      <c r="F66" s="95">
        <f t="shared" si="0"/>
        <v>69.226666666666674</v>
      </c>
      <c r="G66" s="101">
        <f t="shared" si="1"/>
        <v>75.52</v>
      </c>
    </row>
    <row r="67" spans="1:7" ht="20.100000000000001" customHeight="1">
      <c r="A67" s="62" t="s">
        <v>7970</v>
      </c>
      <c r="B67" s="62" t="s">
        <v>7969</v>
      </c>
      <c r="C67" s="63" t="s">
        <v>7971</v>
      </c>
      <c r="D67" s="64">
        <v>2464</v>
      </c>
      <c r="E67" s="63">
        <v>2392</v>
      </c>
      <c r="F67" s="95">
        <f t="shared" si="0"/>
        <v>90.346666666666664</v>
      </c>
      <c r="G67" s="101">
        <f t="shared" si="1"/>
        <v>98.559999999999988</v>
      </c>
    </row>
    <row r="68" spans="1:7" ht="20.100000000000001" customHeight="1">
      <c r="A68" s="62" t="s">
        <v>7973</v>
      </c>
      <c r="B68" s="62" t="s">
        <v>7972</v>
      </c>
      <c r="C68" s="63" t="s">
        <v>7974</v>
      </c>
      <c r="D68" s="64">
        <v>1946</v>
      </c>
      <c r="E68" s="63">
        <v>1889</v>
      </c>
      <c r="F68" s="95">
        <f t="shared" si="0"/>
        <v>71.353333333333339</v>
      </c>
      <c r="G68" s="101">
        <f t="shared" si="1"/>
        <v>77.839999999999989</v>
      </c>
    </row>
    <row r="69" spans="1:7" ht="20.100000000000001" customHeight="1">
      <c r="A69" s="62" t="s">
        <v>7976</v>
      </c>
      <c r="B69" s="62" t="s">
        <v>7975</v>
      </c>
      <c r="C69" s="63" t="s">
        <v>7977</v>
      </c>
      <c r="D69" s="64">
        <v>2461</v>
      </c>
      <c r="E69" s="63">
        <v>2389</v>
      </c>
      <c r="F69" s="95">
        <f t="shared" ref="F69:F89" si="2">+(D69*1.1/30)</f>
        <v>90.236666666666679</v>
      </c>
      <c r="G69" s="101">
        <f t="shared" ref="G69:G85" si="3">+(D69*1.2/30)</f>
        <v>98.44</v>
      </c>
    </row>
    <row r="70" spans="1:7" ht="20.100000000000001" customHeight="1">
      <c r="A70" s="62" t="s">
        <v>7979</v>
      </c>
      <c r="B70" s="62" t="s">
        <v>7978</v>
      </c>
      <c r="C70" s="63" t="s">
        <v>7980</v>
      </c>
      <c r="D70" s="64">
        <v>2398</v>
      </c>
      <c r="E70" s="63">
        <v>2328</v>
      </c>
      <c r="F70" s="95">
        <f t="shared" si="2"/>
        <v>87.926666666666677</v>
      </c>
      <c r="G70" s="101">
        <f t="shared" si="3"/>
        <v>95.92</v>
      </c>
    </row>
    <row r="71" spans="1:7" ht="20.100000000000001" customHeight="1">
      <c r="A71" s="62" t="s">
        <v>7991</v>
      </c>
      <c r="B71" s="62" t="s">
        <v>7990</v>
      </c>
      <c r="C71" s="63" t="s">
        <v>7950</v>
      </c>
      <c r="D71" s="64">
        <v>1268</v>
      </c>
      <c r="E71" s="63">
        <v>1231</v>
      </c>
      <c r="F71" s="95">
        <f t="shared" si="2"/>
        <v>46.493333333333339</v>
      </c>
      <c r="G71" s="101">
        <f t="shared" si="3"/>
        <v>50.72</v>
      </c>
    </row>
    <row r="72" spans="1:7" ht="20.100000000000001" customHeight="1">
      <c r="A72" s="62" t="s">
        <v>6383</v>
      </c>
      <c r="B72" s="62" t="s">
        <v>6382</v>
      </c>
      <c r="C72" s="63" t="s">
        <v>6384</v>
      </c>
      <c r="D72" s="64">
        <v>1384</v>
      </c>
      <c r="E72" s="67">
        <v>1343</v>
      </c>
      <c r="F72" s="95">
        <f t="shared" si="2"/>
        <v>50.74666666666667</v>
      </c>
      <c r="G72" s="101">
        <f t="shared" si="3"/>
        <v>55.36</v>
      </c>
    </row>
    <row r="73" spans="1:7" ht="20.100000000000001" customHeight="1">
      <c r="A73" s="62" t="s">
        <v>6482</v>
      </c>
      <c r="B73" s="62" t="s">
        <v>6481</v>
      </c>
      <c r="C73" s="63" t="s">
        <v>6483</v>
      </c>
      <c r="D73" s="64">
        <v>3343.0297999999998</v>
      </c>
      <c r="E73" s="63">
        <v>3245.66</v>
      </c>
      <c r="F73" s="95">
        <f t="shared" si="2"/>
        <v>122.57775933333333</v>
      </c>
      <c r="G73" s="101">
        <f t="shared" si="3"/>
        <v>133.721192</v>
      </c>
    </row>
    <row r="74" spans="1:7" ht="20.100000000000001" customHeight="1">
      <c r="A74" s="62" t="s">
        <v>6973</v>
      </c>
      <c r="B74" s="62" t="s">
        <v>6972</v>
      </c>
      <c r="C74" s="63" t="s">
        <v>6974</v>
      </c>
      <c r="D74" s="64">
        <v>1596</v>
      </c>
      <c r="E74" s="63">
        <v>1549</v>
      </c>
      <c r="F74" s="95">
        <f t="shared" si="2"/>
        <v>58.52</v>
      </c>
      <c r="G74" s="101">
        <f t="shared" si="3"/>
        <v>63.839999999999996</v>
      </c>
    </row>
    <row r="75" spans="1:7" ht="20.100000000000001" customHeight="1">
      <c r="A75" s="62" t="s">
        <v>6416</v>
      </c>
      <c r="B75" s="62" t="s">
        <v>6415</v>
      </c>
      <c r="C75" s="63" t="s">
        <v>6417</v>
      </c>
      <c r="D75" s="64">
        <v>1402</v>
      </c>
      <c r="E75" s="67">
        <v>1361</v>
      </c>
      <c r="F75" s="95">
        <f t="shared" si="2"/>
        <v>51.406666666666666</v>
      </c>
      <c r="G75" s="101">
        <f t="shared" si="3"/>
        <v>56.08</v>
      </c>
    </row>
    <row r="76" spans="1:7" ht="20.100000000000001" customHeight="1">
      <c r="A76" s="62" t="s">
        <v>6526</v>
      </c>
      <c r="B76" s="62" t="s">
        <v>6525</v>
      </c>
      <c r="C76" s="63" t="s">
        <v>6527</v>
      </c>
      <c r="D76" s="64">
        <v>1398</v>
      </c>
      <c r="E76" s="66">
        <v>1357</v>
      </c>
      <c r="F76" s="95">
        <f t="shared" si="2"/>
        <v>51.260000000000005</v>
      </c>
      <c r="G76" s="101">
        <f t="shared" si="3"/>
        <v>55.919999999999995</v>
      </c>
    </row>
    <row r="77" spans="1:7" ht="20.100000000000001" customHeight="1">
      <c r="A77" s="62" t="s">
        <v>6878</v>
      </c>
      <c r="B77" s="62" t="s">
        <v>6877</v>
      </c>
      <c r="C77" s="63" t="s">
        <v>6879</v>
      </c>
      <c r="D77" s="64" t="s">
        <v>2</v>
      </c>
      <c r="E77" s="65" t="s">
        <v>2</v>
      </c>
      <c r="F77" s="95" t="e">
        <f t="shared" si="2"/>
        <v>#VALUE!</v>
      </c>
      <c r="G77" s="101" t="e">
        <f t="shared" si="3"/>
        <v>#VALUE!</v>
      </c>
    </row>
    <row r="78" spans="1:7" ht="20.100000000000001" customHeight="1">
      <c r="A78" s="62" t="s">
        <v>7767</v>
      </c>
      <c r="B78" s="62" t="s">
        <v>7766</v>
      </c>
      <c r="C78" s="63" t="s">
        <v>7768</v>
      </c>
      <c r="D78" s="64" t="s">
        <v>2</v>
      </c>
      <c r="E78" s="65" t="s">
        <v>2</v>
      </c>
      <c r="F78" s="95" t="e">
        <f t="shared" si="2"/>
        <v>#VALUE!</v>
      </c>
      <c r="G78" s="101" t="e">
        <f t="shared" si="3"/>
        <v>#VALUE!</v>
      </c>
    </row>
    <row r="79" spans="1:7" ht="20.100000000000001" customHeight="1">
      <c r="A79" s="62" t="s">
        <v>6367</v>
      </c>
      <c r="B79" s="62" t="s">
        <v>6366</v>
      </c>
      <c r="C79" s="63" t="s">
        <v>6368</v>
      </c>
      <c r="D79" s="64">
        <v>1490</v>
      </c>
      <c r="E79" s="68">
        <v>1446</v>
      </c>
      <c r="F79" s="95">
        <f t="shared" si="2"/>
        <v>54.63333333333334</v>
      </c>
      <c r="G79" s="101">
        <f t="shared" si="3"/>
        <v>59.6</v>
      </c>
    </row>
    <row r="80" spans="1:7" ht="20.100000000000001" customHeight="1">
      <c r="A80" s="62" t="s">
        <v>6485</v>
      </c>
      <c r="B80" s="62" t="s">
        <v>6484</v>
      </c>
      <c r="C80" s="63" t="s">
        <v>6486</v>
      </c>
      <c r="D80" s="64">
        <v>866</v>
      </c>
      <c r="E80" s="63">
        <v>840</v>
      </c>
      <c r="F80" s="95">
        <f t="shared" si="2"/>
        <v>31.753333333333334</v>
      </c>
      <c r="G80" s="101">
        <f t="shared" si="3"/>
        <v>34.64</v>
      </c>
    </row>
    <row r="81" spans="1:7" ht="20.100000000000001" customHeight="1">
      <c r="A81" s="62" t="s">
        <v>6769</v>
      </c>
      <c r="B81" s="62" t="s">
        <v>6768</v>
      </c>
      <c r="C81" s="63" t="s">
        <v>6491</v>
      </c>
      <c r="D81" s="64">
        <v>1379</v>
      </c>
      <c r="E81" s="67">
        <v>1338</v>
      </c>
      <c r="F81" s="95">
        <f t="shared" si="2"/>
        <v>50.56333333333334</v>
      </c>
      <c r="G81" s="101">
        <f t="shared" si="3"/>
        <v>55.16</v>
      </c>
    </row>
    <row r="82" spans="1:7" ht="20.100000000000001" customHeight="1">
      <c r="A82" s="62" t="s">
        <v>6902</v>
      </c>
      <c r="B82" s="62" t="s">
        <v>6901</v>
      </c>
      <c r="C82" s="63" t="s">
        <v>6903</v>
      </c>
      <c r="D82" s="64">
        <v>1639.76</v>
      </c>
      <c r="E82" s="67">
        <v>1592</v>
      </c>
      <c r="F82" s="95">
        <f t="shared" si="2"/>
        <v>60.124533333333339</v>
      </c>
      <c r="G82" s="101">
        <f t="shared" si="3"/>
        <v>65.590400000000002</v>
      </c>
    </row>
    <row r="83" spans="1:7" ht="20.100000000000001" customHeight="1">
      <c r="A83" s="62" t="s">
        <v>6905</v>
      </c>
      <c r="B83" s="62" t="s">
        <v>6904</v>
      </c>
      <c r="C83" s="63" t="s">
        <v>6906</v>
      </c>
      <c r="D83" s="64">
        <v>1876</v>
      </c>
      <c r="E83" s="66">
        <v>1821</v>
      </c>
      <c r="F83" s="95">
        <f t="shared" si="2"/>
        <v>68.786666666666676</v>
      </c>
      <c r="G83" s="101">
        <f t="shared" si="3"/>
        <v>75.039999999999992</v>
      </c>
    </row>
    <row r="84" spans="1:7" ht="20.100000000000001" customHeight="1">
      <c r="A84" s="62" t="s">
        <v>6223</v>
      </c>
      <c r="B84" s="62" t="s">
        <v>6222</v>
      </c>
      <c r="C84" s="63" t="s">
        <v>6224</v>
      </c>
      <c r="D84" s="64">
        <v>2538</v>
      </c>
      <c r="E84" s="70">
        <v>2464</v>
      </c>
      <c r="F84" s="95">
        <f t="shared" si="2"/>
        <v>93.06</v>
      </c>
      <c r="G84" s="101">
        <f t="shared" si="3"/>
        <v>101.52</v>
      </c>
    </row>
    <row r="85" spans="1:7" ht="20.100000000000001" customHeight="1">
      <c r="A85" s="62" t="s">
        <v>6226</v>
      </c>
      <c r="B85" s="62" t="s">
        <v>6225</v>
      </c>
      <c r="C85" s="63" t="s">
        <v>6227</v>
      </c>
      <c r="D85" s="64">
        <v>2536</v>
      </c>
      <c r="E85" s="70">
        <v>2462</v>
      </c>
      <c r="F85" s="95">
        <f t="shared" si="2"/>
        <v>92.986666666666679</v>
      </c>
      <c r="G85" s="101">
        <f t="shared" si="3"/>
        <v>101.44</v>
      </c>
    </row>
    <row r="86" spans="1:7" ht="20.100000000000001" customHeight="1">
      <c r="A86" s="38" t="s">
        <v>6697</v>
      </c>
      <c r="B86" s="38" t="s">
        <v>6696</v>
      </c>
      <c r="C86" s="39" t="s">
        <v>6698</v>
      </c>
      <c r="D86" s="74">
        <v>2596</v>
      </c>
      <c r="E86" s="75">
        <v>2520</v>
      </c>
      <c r="F86" s="95">
        <f t="shared" si="2"/>
        <v>95.186666666666682</v>
      </c>
      <c r="G86" s="102" t="s">
        <v>8006</v>
      </c>
    </row>
    <row r="87" spans="1:7" ht="20.100000000000001" customHeight="1">
      <c r="A87" s="38" t="s">
        <v>6373</v>
      </c>
      <c r="B87" s="38" t="s">
        <v>6372</v>
      </c>
      <c r="C87" s="39" t="s">
        <v>6374</v>
      </c>
      <c r="D87" s="74">
        <v>2596</v>
      </c>
      <c r="E87" s="76">
        <v>2520</v>
      </c>
      <c r="F87" s="95">
        <f t="shared" si="2"/>
        <v>95.186666666666682</v>
      </c>
      <c r="G87" s="102" t="s">
        <v>8006</v>
      </c>
    </row>
    <row r="88" spans="1:7" ht="20.100000000000001" customHeight="1">
      <c r="A88" s="38" t="s">
        <v>6376</v>
      </c>
      <c r="B88" s="38" t="s">
        <v>6375</v>
      </c>
      <c r="C88" s="39" t="s">
        <v>6377</v>
      </c>
      <c r="D88" s="74">
        <v>2472</v>
      </c>
      <c r="E88" s="76">
        <v>2400</v>
      </c>
      <c r="F88" s="95">
        <f t="shared" si="2"/>
        <v>90.640000000000015</v>
      </c>
      <c r="G88" s="102" t="s">
        <v>8006</v>
      </c>
    </row>
    <row r="89" spans="1:7" ht="20.100000000000001" customHeight="1">
      <c r="A89" s="38" t="s">
        <v>6674</v>
      </c>
      <c r="B89" s="38" t="s">
        <v>6673</v>
      </c>
      <c r="C89" s="39" t="s">
        <v>6675</v>
      </c>
      <c r="D89" s="74">
        <v>2595</v>
      </c>
      <c r="E89" s="75">
        <v>2519</v>
      </c>
      <c r="F89" s="95">
        <f t="shared" si="2"/>
        <v>95.15000000000002</v>
      </c>
      <c r="G89" s="102" t="s">
        <v>8006</v>
      </c>
    </row>
    <row r="90" spans="1:7" ht="20.100000000000001" customHeight="1">
      <c r="A90" s="62" t="s">
        <v>7376</v>
      </c>
      <c r="B90" s="62" t="s">
        <v>7375</v>
      </c>
      <c r="C90" s="63" t="s">
        <v>7377</v>
      </c>
      <c r="D90" s="64" t="s">
        <v>2</v>
      </c>
      <c r="E90" s="65" t="s">
        <v>2</v>
      </c>
    </row>
    <row r="91" spans="1:7" ht="20.100000000000001" customHeight="1">
      <c r="A91" s="62" t="s">
        <v>6700</v>
      </c>
      <c r="B91" s="62" t="s">
        <v>6699</v>
      </c>
      <c r="C91" s="63" t="s">
        <v>6701</v>
      </c>
      <c r="D91" s="64">
        <v>2669</v>
      </c>
      <c r="E91" s="73">
        <v>2591</v>
      </c>
      <c r="F91" s="95">
        <f>+(D91*1.1/30)</f>
        <v>97.86333333333333</v>
      </c>
      <c r="G91" s="101">
        <f>+(D91*1.2/30)</f>
        <v>106.75999999999999</v>
      </c>
    </row>
    <row r="92" spans="1:7" ht="20.100000000000001" customHeight="1">
      <c r="A92" s="62" t="s">
        <v>6521</v>
      </c>
      <c r="B92" s="62" t="s">
        <v>6520</v>
      </c>
      <c r="C92" s="63" t="s">
        <v>6522</v>
      </c>
      <c r="D92" s="64" t="s">
        <v>2</v>
      </c>
      <c r="E92" s="65" t="s">
        <v>2</v>
      </c>
      <c r="F92" s="95" t="e">
        <f t="shared" ref="F92:F121" si="4">+(D92*1.1/30)</f>
        <v>#VALUE!</v>
      </c>
      <c r="G92" s="101" t="e">
        <f t="shared" ref="G92:G122" si="5">+(D92*1.2/30)</f>
        <v>#VALUE!</v>
      </c>
    </row>
    <row r="93" spans="1:7" ht="20.100000000000001" customHeight="1">
      <c r="A93" s="62" t="s">
        <v>6908</v>
      </c>
      <c r="B93" s="62" t="s">
        <v>6907</v>
      </c>
      <c r="C93" s="63" t="s">
        <v>6909</v>
      </c>
      <c r="D93" s="64">
        <v>2560</v>
      </c>
      <c r="E93" s="67">
        <v>2485</v>
      </c>
      <c r="F93" s="95">
        <f t="shared" si="4"/>
        <v>93.86666666666666</v>
      </c>
      <c r="G93" s="101">
        <f t="shared" si="5"/>
        <v>102.4</v>
      </c>
    </row>
    <row r="94" spans="1:7" ht="20.100000000000001" customHeight="1">
      <c r="A94" s="62" t="s">
        <v>6934</v>
      </c>
      <c r="B94" s="62" t="s">
        <v>6933</v>
      </c>
      <c r="C94" s="63" t="s">
        <v>6935</v>
      </c>
      <c r="D94" s="64">
        <v>2555</v>
      </c>
      <c r="E94" s="67">
        <v>2480</v>
      </c>
      <c r="F94" s="95">
        <f t="shared" si="4"/>
        <v>93.683333333333337</v>
      </c>
      <c r="G94" s="101">
        <f t="shared" si="5"/>
        <v>102.2</v>
      </c>
    </row>
    <row r="95" spans="1:7" ht="20.100000000000001" customHeight="1">
      <c r="A95" s="62" t="s">
        <v>6937</v>
      </c>
      <c r="B95" s="62" t="s">
        <v>6936</v>
      </c>
      <c r="C95" s="63" t="s">
        <v>6938</v>
      </c>
      <c r="D95" s="64">
        <v>2130</v>
      </c>
      <c r="E95" s="67">
        <v>2067</v>
      </c>
      <c r="F95" s="95">
        <f t="shared" si="4"/>
        <v>78.099999999999994</v>
      </c>
      <c r="G95" s="101">
        <f t="shared" si="5"/>
        <v>85.2</v>
      </c>
    </row>
    <row r="96" spans="1:7" ht="20.100000000000001" customHeight="1">
      <c r="A96" s="62" t="s">
        <v>6946</v>
      </c>
      <c r="B96" s="62" t="s">
        <v>6945</v>
      </c>
      <c r="C96" s="63" t="s">
        <v>6947</v>
      </c>
      <c r="D96" s="64">
        <v>1729</v>
      </c>
      <c r="E96" s="67">
        <v>1678</v>
      </c>
      <c r="F96" s="95">
        <f t="shared" si="4"/>
        <v>63.396666666666668</v>
      </c>
      <c r="G96" s="101">
        <f t="shared" si="5"/>
        <v>69.16</v>
      </c>
    </row>
    <row r="97" spans="1:7" ht="20.100000000000001" customHeight="1">
      <c r="A97" s="62" t="s">
        <v>6642</v>
      </c>
      <c r="B97" s="62" t="s">
        <v>6641</v>
      </c>
      <c r="C97" s="63" t="s">
        <v>6461</v>
      </c>
      <c r="D97" s="64">
        <v>1887</v>
      </c>
      <c r="E97" s="63">
        <v>1832</v>
      </c>
      <c r="F97" s="95">
        <f t="shared" si="4"/>
        <v>69.190000000000012</v>
      </c>
      <c r="G97" s="101">
        <f t="shared" si="5"/>
        <v>75.48</v>
      </c>
    </row>
    <row r="98" spans="1:7" ht="20.100000000000001" customHeight="1">
      <c r="A98" s="62" t="s">
        <v>6976</v>
      </c>
      <c r="B98" s="62" t="s">
        <v>6975</v>
      </c>
      <c r="C98" s="63" t="s">
        <v>6977</v>
      </c>
      <c r="D98" s="64">
        <v>1673</v>
      </c>
      <c r="E98" s="67">
        <v>1624</v>
      </c>
      <c r="F98" s="95">
        <f t="shared" si="4"/>
        <v>61.343333333333341</v>
      </c>
      <c r="G98" s="101">
        <f t="shared" si="5"/>
        <v>66.92</v>
      </c>
    </row>
    <row r="99" spans="1:7" ht="20.100000000000001" customHeight="1">
      <c r="A99" s="62" t="s">
        <v>6810</v>
      </c>
      <c r="B99" s="62" t="s">
        <v>6809</v>
      </c>
      <c r="C99" s="63" t="s">
        <v>6811</v>
      </c>
      <c r="D99" s="64">
        <v>1733</v>
      </c>
      <c r="E99" s="63">
        <v>1682</v>
      </c>
      <c r="F99" s="95">
        <f t="shared" si="4"/>
        <v>63.543333333333337</v>
      </c>
      <c r="G99" s="101">
        <f t="shared" si="5"/>
        <v>69.319999999999993</v>
      </c>
    </row>
    <row r="100" spans="1:7" ht="20.100000000000001" customHeight="1">
      <c r="A100" s="62" t="s">
        <v>6810</v>
      </c>
      <c r="B100" s="62" t="s">
        <v>6809</v>
      </c>
      <c r="C100" s="63" t="s">
        <v>6885</v>
      </c>
      <c r="D100" s="64">
        <v>1639</v>
      </c>
      <c r="E100" s="63">
        <v>1591</v>
      </c>
      <c r="F100" s="95">
        <f t="shared" si="4"/>
        <v>60.096666666666671</v>
      </c>
      <c r="G100" s="101">
        <f t="shared" si="5"/>
        <v>65.56</v>
      </c>
    </row>
    <row r="101" spans="1:7" ht="20.100000000000001" customHeight="1">
      <c r="A101" s="62" t="s">
        <v>7009</v>
      </c>
      <c r="B101" s="62" t="s">
        <v>7008</v>
      </c>
      <c r="C101" s="63" t="s">
        <v>7010</v>
      </c>
      <c r="D101" s="64">
        <v>1081</v>
      </c>
      <c r="E101" s="67">
        <v>1049</v>
      </c>
      <c r="F101" s="95">
        <f t="shared" si="4"/>
        <v>39.63666666666667</v>
      </c>
      <c r="G101" s="101">
        <f t="shared" si="5"/>
        <v>43.24</v>
      </c>
    </row>
    <row r="102" spans="1:7" ht="20.100000000000001" customHeight="1">
      <c r="A102" s="62" t="s">
        <v>6639</v>
      </c>
      <c r="B102" s="62" t="s">
        <v>6638</v>
      </c>
      <c r="C102" s="63" t="s">
        <v>6640</v>
      </c>
      <c r="D102" s="64">
        <v>1489</v>
      </c>
      <c r="E102" s="63">
        <v>1445</v>
      </c>
      <c r="F102" s="95">
        <f t="shared" si="4"/>
        <v>54.596666666666671</v>
      </c>
      <c r="G102" s="101">
        <f t="shared" si="5"/>
        <v>59.559999999999995</v>
      </c>
    </row>
    <row r="103" spans="1:7" ht="20.100000000000001" customHeight="1">
      <c r="A103" s="62" t="s">
        <v>7176</v>
      </c>
      <c r="B103" s="62" t="s">
        <v>7175</v>
      </c>
      <c r="C103" s="63" t="s">
        <v>6527</v>
      </c>
      <c r="D103" s="64">
        <v>1377</v>
      </c>
      <c r="E103" s="67">
        <v>1336</v>
      </c>
      <c r="F103" s="95">
        <f t="shared" si="4"/>
        <v>50.49</v>
      </c>
      <c r="G103" s="101">
        <f t="shared" si="5"/>
        <v>55.08</v>
      </c>
    </row>
    <row r="104" spans="1:7" ht="20.100000000000001" customHeight="1">
      <c r="A104" s="62" t="s">
        <v>7770</v>
      </c>
      <c r="B104" s="62" t="s">
        <v>7769</v>
      </c>
      <c r="C104" s="63" t="s">
        <v>6354</v>
      </c>
      <c r="D104" s="64">
        <v>2389.0644000000002</v>
      </c>
      <c r="E104" s="63">
        <v>2319.48</v>
      </c>
      <c r="F104" s="95">
        <f t="shared" si="4"/>
        <v>87.599028000000018</v>
      </c>
      <c r="G104" s="101">
        <f t="shared" si="5"/>
        <v>95.562576000000007</v>
      </c>
    </row>
    <row r="105" spans="1:7" ht="20.100000000000001" customHeight="1">
      <c r="A105" s="62" t="s">
        <v>7764</v>
      </c>
      <c r="B105" s="62" t="s">
        <v>7763</v>
      </c>
      <c r="C105" s="63" t="s">
        <v>7765</v>
      </c>
      <c r="D105" s="64">
        <v>1360</v>
      </c>
      <c r="E105" s="63">
        <v>1320</v>
      </c>
      <c r="F105" s="95">
        <f t="shared" si="4"/>
        <v>49.866666666666674</v>
      </c>
      <c r="G105" s="101">
        <f t="shared" si="5"/>
        <v>54.4</v>
      </c>
    </row>
    <row r="106" spans="1:7" ht="20.100000000000001" customHeight="1">
      <c r="A106" s="62" t="s">
        <v>6405</v>
      </c>
      <c r="B106" s="62" t="s">
        <v>6404</v>
      </c>
      <c r="C106" s="63" t="s">
        <v>6406</v>
      </c>
      <c r="D106" s="64">
        <v>1380</v>
      </c>
      <c r="E106" s="70">
        <v>1339</v>
      </c>
      <c r="F106" s="95">
        <f t="shared" si="4"/>
        <v>50.600000000000009</v>
      </c>
      <c r="G106" s="101">
        <f t="shared" si="5"/>
        <v>55.2</v>
      </c>
    </row>
    <row r="107" spans="1:7" ht="20.100000000000001" customHeight="1">
      <c r="A107" s="62" t="s">
        <v>7132</v>
      </c>
      <c r="B107" s="62" t="s">
        <v>7131</v>
      </c>
      <c r="C107" s="63" t="s">
        <v>7133</v>
      </c>
      <c r="D107" s="64" t="s">
        <v>2</v>
      </c>
      <c r="E107" s="65" t="s">
        <v>2</v>
      </c>
      <c r="F107" s="95" t="e">
        <f t="shared" si="4"/>
        <v>#VALUE!</v>
      </c>
      <c r="G107" s="101" t="e">
        <f t="shared" si="5"/>
        <v>#VALUE!</v>
      </c>
    </row>
    <row r="108" spans="1:7" ht="20.100000000000001" customHeight="1">
      <c r="A108" s="62" t="s">
        <v>7014</v>
      </c>
      <c r="B108" s="62" t="s">
        <v>7013</v>
      </c>
      <c r="C108" s="63" t="s">
        <v>7015</v>
      </c>
      <c r="D108" s="64">
        <v>1800</v>
      </c>
      <c r="E108" s="65" t="s">
        <v>2</v>
      </c>
      <c r="F108" s="95">
        <f t="shared" si="4"/>
        <v>66.000000000000014</v>
      </c>
      <c r="G108" s="101">
        <f t="shared" si="5"/>
        <v>72</v>
      </c>
    </row>
    <row r="109" spans="1:7" ht="20.100000000000001" customHeight="1">
      <c r="A109" s="62" t="s">
        <v>6813</v>
      </c>
      <c r="B109" s="62" t="s">
        <v>6812</v>
      </c>
      <c r="C109" s="63" t="s">
        <v>6814</v>
      </c>
      <c r="D109" s="64">
        <v>2528.8045000000002</v>
      </c>
      <c r="E109" s="63">
        <v>2455.15</v>
      </c>
      <c r="F109" s="95">
        <f t="shared" si="4"/>
        <v>92.722831666666679</v>
      </c>
      <c r="G109" s="101">
        <f t="shared" si="5"/>
        <v>101.15218</v>
      </c>
    </row>
    <row r="110" spans="1:7" ht="20.100000000000001" customHeight="1">
      <c r="A110" s="62" t="s">
        <v>7772</v>
      </c>
      <c r="B110" s="62" t="s">
        <v>7771</v>
      </c>
      <c r="C110" s="63" t="s">
        <v>6278</v>
      </c>
      <c r="D110" s="64">
        <v>1644</v>
      </c>
      <c r="E110" s="63">
        <v>1596</v>
      </c>
      <c r="F110" s="95">
        <f t="shared" si="4"/>
        <v>60.28</v>
      </c>
      <c r="G110" s="101">
        <f t="shared" si="5"/>
        <v>65.760000000000005</v>
      </c>
    </row>
    <row r="111" spans="1:7" ht="20.100000000000001" customHeight="1">
      <c r="A111" s="62" t="s">
        <v>7347</v>
      </c>
      <c r="B111" s="62" t="s">
        <v>7346</v>
      </c>
      <c r="C111" s="63" t="s">
        <v>7348</v>
      </c>
      <c r="D111" s="64">
        <v>546</v>
      </c>
      <c r="E111" s="63">
        <v>530</v>
      </c>
      <c r="F111" s="95">
        <f t="shared" si="4"/>
        <v>20.02</v>
      </c>
      <c r="G111" s="101">
        <f t="shared" si="5"/>
        <v>21.839999999999996</v>
      </c>
    </row>
    <row r="112" spans="1:7" ht="20.100000000000001" customHeight="1">
      <c r="A112" s="62" t="s">
        <v>7229</v>
      </c>
      <c r="B112" s="62" t="s">
        <v>7228</v>
      </c>
      <c r="C112" s="63" t="s">
        <v>7230</v>
      </c>
      <c r="D112" s="64">
        <v>1561</v>
      </c>
      <c r="E112" s="67">
        <v>1515</v>
      </c>
      <c r="F112" s="95">
        <f t="shared" si="4"/>
        <v>57.236666666666672</v>
      </c>
      <c r="G112" s="101">
        <f t="shared" si="5"/>
        <v>62.439999999999991</v>
      </c>
    </row>
    <row r="113" spans="1:7" ht="20.100000000000001" customHeight="1">
      <c r="A113" s="62" t="s">
        <v>7887</v>
      </c>
      <c r="B113" s="62" t="s">
        <v>7886</v>
      </c>
      <c r="C113" s="63" t="s">
        <v>7888</v>
      </c>
      <c r="D113" s="64">
        <v>1863</v>
      </c>
      <c r="E113" s="67">
        <v>1808</v>
      </c>
      <c r="F113" s="95">
        <f t="shared" si="4"/>
        <v>68.31</v>
      </c>
      <c r="G113" s="101">
        <f t="shared" si="5"/>
        <v>74.52</v>
      </c>
    </row>
    <row r="114" spans="1:7" ht="20.100000000000001" customHeight="1">
      <c r="A114" s="62" t="s">
        <v>6940</v>
      </c>
      <c r="B114" s="62" t="s">
        <v>6939</v>
      </c>
      <c r="C114" s="63" t="s">
        <v>6941</v>
      </c>
      <c r="D114" s="64" t="s">
        <v>2</v>
      </c>
      <c r="E114" s="65" t="s">
        <v>2</v>
      </c>
      <c r="F114" s="95" t="e">
        <f t="shared" si="4"/>
        <v>#VALUE!</v>
      </c>
      <c r="G114" s="101" t="e">
        <f t="shared" si="5"/>
        <v>#VALUE!</v>
      </c>
    </row>
    <row r="115" spans="1:7" ht="20.100000000000001" customHeight="1">
      <c r="A115" s="62" t="s">
        <v>6883</v>
      </c>
      <c r="B115" s="62" t="s">
        <v>6882</v>
      </c>
      <c r="C115" s="63" t="s">
        <v>6884</v>
      </c>
      <c r="D115" s="64">
        <v>545</v>
      </c>
      <c r="E115" s="63">
        <v>529</v>
      </c>
      <c r="F115" s="95">
        <f t="shared" si="4"/>
        <v>19.983333333333334</v>
      </c>
      <c r="G115" s="101">
        <f t="shared" si="5"/>
        <v>21.8</v>
      </c>
    </row>
    <row r="116" spans="1:7" ht="20.100000000000001" customHeight="1">
      <c r="A116" s="62" t="s">
        <v>6466</v>
      </c>
      <c r="B116" s="62" t="s">
        <v>6465</v>
      </c>
      <c r="C116" s="63" t="s">
        <v>6467</v>
      </c>
      <c r="D116" s="64">
        <v>1685</v>
      </c>
      <c r="E116" s="63">
        <v>1636</v>
      </c>
      <c r="F116" s="95">
        <f t="shared" si="4"/>
        <v>61.783333333333339</v>
      </c>
      <c r="G116" s="101">
        <f t="shared" si="5"/>
        <v>67.400000000000006</v>
      </c>
    </row>
    <row r="117" spans="1:7" ht="20.100000000000001" customHeight="1">
      <c r="A117" s="62" t="s">
        <v>7371</v>
      </c>
      <c r="B117" s="62" t="s">
        <v>7370</v>
      </c>
      <c r="C117" s="63" t="s">
        <v>7339</v>
      </c>
      <c r="D117" s="64" t="s">
        <v>2</v>
      </c>
      <c r="E117" s="65" t="s">
        <v>2</v>
      </c>
      <c r="F117" s="95" t="e">
        <f t="shared" si="4"/>
        <v>#VALUE!</v>
      </c>
      <c r="G117" s="101" t="e">
        <f t="shared" si="5"/>
        <v>#VALUE!</v>
      </c>
    </row>
    <row r="118" spans="1:7" ht="20.100000000000001" customHeight="1">
      <c r="A118" s="62" t="s">
        <v>7368</v>
      </c>
      <c r="B118" s="62" t="s">
        <v>7367</v>
      </c>
      <c r="C118" s="63" t="s">
        <v>7369</v>
      </c>
      <c r="D118" s="64" t="s">
        <v>2</v>
      </c>
      <c r="E118" s="65" t="s">
        <v>2</v>
      </c>
      <c r="F118" s="95" t="e">
        <f t="shared" si="4"/>
        <v>#VALUE!</v>
      </c>
      <c r="G118" s="101" t="e">
        <f t="shared" si="5"/>
        <v>#VALUE!</v>
      </c>
    </row>
    <row r="119" spans="1:7" ht="20.100000000000001" customHeight="1">
      <c r="A119" s="62" t="s">
        <v>6979</v>
      </c>
      <c r="B119" s="62" t="s">
        <v>6978</v>
      </c>
      <c r="C119" s="63" t="s">
        <v>6980</v>
      </c>
      <c r="D119" s="64" t="s">
        <v>2</v>
      </c>
      <c r="E119" s="65" t="s">
        <v>2</v>
      </c>
      <c r="F119" s="95" t="e">
        <f t="shared" si="4"/>
        <v>#VALUE!</v>
      </c>
      <c r="G119" s="101" t="e">
        <f t="shared" si="5"/>
        <v>#VALUE!</v>
      </c>
    </row>
    <row r="120" spans="1:7" ht="20.100000000000001" customHeight="1">
      <c r="A120" s="62" t="s">
        <v>7892</v>
      </c>
      <c r="B120" s="62" t="s">
        <v>7891</v>
      </c>
      <c r="C120" s="63" t="s">
        <v>7893</v>
      </c>
      <c r="D120" s="64">
        <v>1344.15</v>
      </c>
      <c r="E120" s="67">
        <v>1305</v>
      </c>
      <c r="F120" s="95">
        <f t="shared" si="4"/>
        <v>49.285500000000006</v>
      </c>
      <c r="G120" s="101">
        <f t="shared" si="5"/>
        <v>53.765999999999998</v>
      </c>
    </row>
    <row r="121" spans="1:7" ht="20.100000000000001" customHeight="1">
      <c r="A121" s="62" t="s">
        <v>7895</v>
      </c>
      <c r="B121" s="62" t="s">
        <v>7894</v>
      </c>
      <c r="C121" s="63" t="s">
        <v>7896</v>
      </c>
      <c r="D121" s="64">
        <v>1689</v>
      </c>
      <c r="E121" s="67">
        <v>1640</v>
      </c>
      <c r="F121" s="95">
        <f t="shared" si="4"/>
        <v>61.93</v>
      </c>
      <c r="G121" s="101">
        <f t="shared" si="5"/>
        <v>67.56</v>
      </c>
    </row>
    <row r="122" spans="1:7" ht="20.100000000000001" customHeight="1">
      <c r="A122" s="62" t="s">
        <v>6982</v>
      </c>
      <c r="B122" s="62" t="s">
        <v>6981</v>
      </c>
      <c r="C122" s="63" t="s">
        <v>6983</v>
      </c>
      <c r="D122" s="64" t="s">
        <v>2</v>
      </c>
      <c r="E122" s="65" t="s">
        <v>2</v>
      </c>
      <c r="F122" s="95" t="e">
        <f>+(D122*1.1/30)</f>
        <v>#VALUE!</v>
      </c>
      <c r="G122" s="101" t="e">
        <f t="shared" si="5"/>
        <v>#VALUE!</v>
      </c>
    </row>
    <row r="123" spans="1:7" ht="20.100000000000001" customHeight="1">
      <c r="A123" s="62" t="s">
        <v>8610</v>
      </c>
      <c r="B123" s="62" t="s">
        <v>8607</v>
      </c>
      <c r="C123" s="63" t="s">
        <v>8611</v>
      </c>
      <c r="D123" s="64">
        <v>1120</v>
      </c>
      <c r="E123" s="65"/>
      <c r="F123" s="95">
        <f>+(D123*1.1/30)</f>
        <v>41.06666666666667</v>
      </c>
      <c r="G123" s="101">
        <f t="shared" ref="G123" si="6">+(D123*1.2/30)</f>
        <v>44.8</v>
      </c>
    </row>
    <row r="124" spans="1:7" ht="20.100000000000001" customHeight="1">
      <c r="A124" s="62"/>
      <c r="B124" s="62"/>
      <c r="C124" s="63"/>
      <c r="D124" s="64"/>
      <c r="E124" s="65"/>
      <c r="F124" s="95">
        <f t="shared" ref="F124:F129" si="7">+(D124*1.1/30)</f>
        <v>0</v>
      </c>
      <c r="G124" s="101">
        <f t="shared" ref="G124:G129" si="8">+(D124*1.2/30)</f>
        <v>0</v>
      </c>
    </row>
    <row r="125" spans="1:7" ht="20.100000000000001" customHeight="1">
      <c r="A125" s="62" t="s">
        <v>7442</v>
      </c>
      <c r="B125" s="62" t="s">
        <v>7441</v>
      </c>
      <c r="C125" s="63" t="s">
        <v>8168</v>
      </c>
      <c r="D125" s="64">
        <v>1500</v>
      </c>
      <c r="E125" s="65"/>
      <c r="F125" s="95">
        <f t="shared" si="7"/>
        <v>55.000000000000007</v>
      </c>
      <c r="G125" s="101">
        <f t="shared" si="8"/>
        <v>60</v>
      </c>
    </row>
    <row r="126" spans="1:7">
      <c r="A126" s="62" t="s">
        <v>8166</v>
      </c>
      <c r="B126" s="21" t="s">
        <v>8167</v>
      </c>
      <c r="C126" s="28" t="s">
        <v>8165</v>
      </c>
      <c r="D126" s="28">
        <v>2900</v>
      </c>
      <c r="F126" s="95">
        <f t="shared" si="7"/>
        <v>106.33333333333334</v>
      </c>
      <c r="G126" s="101">
        <f t="shared" si="8"/>
        <v>116</v>
      </c>
    </row>
    <row r="127" spans="1:7">
      <c r="A127" s="21" t="s">
        <v>8144</v>
      </c>
      <c r="B127" s="21" t="s">
        <v>8143</v>
      </c>
      <c r="C127" s="28" t="s">
        <v>8145</v>
      </c>
      <c r="D127" s="28">
        <v>500</v>
      </c>
      <c r="F127" s="95">
        <f t="shared" si="7"/>
        <v>18.333333333333332</v>
      </c>
      <c r="G127" s="101">
        <f t="shared" si="8"/>
        <v>20</v>
      </c>
    </row>
    <row r="128" spans="1:7">
      <c r="B128" s="21" t="s">
        <v>8143</v>
      </c>
      <c r="C128" s="28" t="s">
        <v>8146</v>
      </c>
      <c r="D128" s="28">
        <v>535</v>
      </c>
      <c r="F128" s="95">
        <f t="shared" si="7"/>
        <v>19.616666666666667</v>
      </c>
      <c r="G128" s="101">
        <f t="shared" si="8"/>
        <v>21.4</v>
      </c>
    </row>
    <row r="129" spans="2:7">
      <c r="B129" s="21" t="s">
        <v>8143</v>
      </c>
      <c r="C129" s="28" t="s">
        <v>8147</v>
      </c>
      <c r="D129" s="28">
        <v>560</v>
      </c>
      <c r="F129" s="95">
        <f t="shared" si="7"/>
        <v>20.533333333333335</v>
      </c>
      <c r="G129" s="101">
        <f t="shared" si="8"/>
        <v>22.4</v>
      </c>
    </row>
    <row r="130" spans="2:7">
      <c r="B130" s="21"/>
    </row>
    <row r="131" spans="2:7">
      <c r="B131" s="21"/>
    </row>
    <row r="132" spans="2:7">
      <c r="B132" s="21"/>
    </row>
  </sheetData>
  <sortState xmlns:xlrd2="http://schemas.microsoft.com/office/spreadsheetml/2017/richdata2" ref="A2:E122">
    <sortCondition ref="A2:A122"/>
  </sortState>
  <phoneticPr fontId="12" type="noConversion"/>
  <pageMargins left="0.7" right="0.7" top="0.4" bottom="0.43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856"/>
  <sheetViews>
    <sheetView tabSelected="1" topLeftCell="A791" workbookViewId="0">
      <selection activeCell="C810" sqref="C810"/>
    </sheetView>
  </sheetViews>
  <sheetFormatPr defaultColWidth="9" defaultRowHeight="23.25"/>
  <cols>
    <col min="1" max="1" width="11" style="2" customWidth="1"/>
    <col min="2" max="2" width="13.85546875" style="2" customWidth="1"/>
    <col min="3" max="3" width="29.7109375" style="2" customWidth="1"/>
    <col min="4" max="4" width="51.42578125" style="3" customWidth="1"/>
    <col min="5" max="5" width="15.7109375" style="14" customWidth="1"/>
    <col min="6" max="9" width="15.7109375" style="107" customWidth="1"/>
    <col min="10" max="10" width="5.7109375" style="10" customWidth="1"/>
    <col min="11" max="11" width="15.7109375" style="112" customWidth="1"/>
    <col min="12" max="12" width="15.7109375" style="90" customWidth="1"/>
    <col min="13" max="13" width="26" style="11" customWidth="1"/>
    <col min="14" max="14" width="9" style="10" customWidth="1"/>
    <col min="15" max="16384" width="9" style="10"/>
  </cols>
  <sheetData>
    <row r="1" spans="1:13" s="18" customFormat="1">
      <c r="A1" s="77" t="s">
        <v>8054</v>
      </c>
      <c r="B1" s="77" t="s">
        <v>8055</v>
      </c>
      <c r="C1" s="77" t="s">
        <v>8629</v>
      </c>
      <c r="D1" s="77" t="s">
        <v>8014</v>
      </c>
      <c r="E1" s="78" t="s">
        <v>8105</v>
      </c>
      <c r="F1" s="103" t="s">
        <v>8101</v>
      </c>
      <c r="G1" s="103" t="s">
        <v>8100</v>
      </c>
      <c r="H1" s="103" t="s">
        <v>8103</v>
      </c>
      <c r="I1" s="103" t="s">
        <v>8102</v>
      </c>
      <c r="J1" s="131"/>
      <c r="K1" s="108" t="s">
        <v>8013</v>
      </c>
      <c r="L1" s="87" t="s">
        <v>8564</v>
      </c>
      <c r="M1" s="77"/>
    </row>
    <row r="2" spans="1:13" s="11" customFormat="1">
      <c r="A2" s="2" t="s">
        <v>14</v>
      </c>
      <c r="B2" s="2" t="s">
        <v>13</v>
      </c>
      <c r="C2" s="2"/>
      <c r="D2" s="13" t="s">
        <v>15</v>
      </c>
      <c r="E2" s="14">
        <v>834.46479999999997</v>
      </c>
      <c r="F2" s="104">
        <f t="shared" ref="F2:F65" si="0">+(E2*1.1/30)</f>
        <v>30.597042666666667</v>
      </c>
      <c r="G2" s="104">
        <f t="shared" ref="G2:G65" si="1">+(F2*100/103)</f>
        <v>29.705866666666665</v>
      </c>
      <c r="H2" s="104">
        <f t="shared" ref="H2:H65" si="2">+(F2*100/105)</f>
        <v>29.140040634920634</v>
      </c>
      <c r="I2" s="104">
        <f t="shared" ref="I2:I65" si="3">+(E2*1.2/30)</f>
        <v>33.378591999999998</v>
      </c>
      <c r="J2" s="132"/>
      <c r="K2" s="109">
        <f t="shared" ref="K2:K65" si="4">+(E2*1.2/33)</f>
        <v>30.344174545454543</v>
      </c>
      <c r="L2" s="88"/>
      <c r="M2" s="2"/>
    </row>
    <row r="3" spans="1:13" ht="22.5" customHeight="1">
      <c r="A3" s="2" t="s">
        <v>17</v>
      </c>
      <c r="B3" s="2" t="s">
        <v>16</v>
      </c>
      <c r="D3" s="13" t="s">
        <v>18</v>
      </c>
      <c r="E3" s="14">
        <v>760.55200000000002</v>
      </c>
      <c r="F3" s="104">
        <f t="shared" si="0"/>
        <v>27.886906666666668</v>
      </c>
      <c r="G3" s="104">
        <f t="shared" si="1"/>
        <v>27.074666666666669</v>
      </c>
      <c r="H3" s="104">
        <f t="shared" si="2"/>
        <v>26.558958730158732</v>
      </c>
      <c r="I3" s="104">
        <f t="shared" si="3"/>
        <v>30.422080000000001</v>
      </c>
      <c r="J3" s="133"/>
      <c r="K3" s="110">
        <f t="shared" si="4"/>
        <v>27.656436363636367</v>
      </c>
      <c r="L3" s="88"/>
      <c r="M3" s="2"/>
    </row>
    <row r="4" spans="1:13" ht="22.5" customHeight="1">
      <c r="A4" s="2" t="s">
        <v>20</v>
      </c>
      <c r="B4" s="2" t="s">
        <v>19</v>
      </c>
      <c r="D4" s="13" t="s">
        <v>21</v>
      </c>
      <c r="E4" s="14">
        <v>824.82400000000007</v>
      </c>
      <c r="F4" s="104">
        <f t="shared" si="0"/>
        <v>30.243546666666671</v>
      </c>
      <c r="G4" s="104">
        <f t="shared" si="1"/>
        <v>29.362666666666669</v>
      </c>
      <c r="H4" s="104">
        <f t="shared" si="2"/>
        <v>28.803377777777783</v>
      </c>
      <c r="I4" s="104">
        <f t="shared" si="3"/>
        <v>32.992960000000004</v>
      </c>
      <c r="J4" s="133"/>
      <c r="K4" s="110">
        <f t="shared" si="4"/>
        <v>29.993600000000001</v>
      </c>
      <c r="L4" s="88"/>
      <c r="M4" s="2"/>
    </row>
    <row r="5" spans="1:13" ht="22.5" customHeight="1">
      <c r="A5" s="2" t="s">
        <v>23</v>
      </c>
      <c r="B5" s="2" t="s">
        <v>22</v>
      </c>
      <c r="D5" s="13" t="s">
        <v>21</v>
      </c>
      <c r="E5" s="14">
        <v>824.82400000000007</v>
      </c>
      <c r="F5" s="104">
        <f t="shared" si="0"/>
        <v>30.243546666666671</v>
      </c>
      <c r="G5" s="104">
        <f t="shared" si="1"/>
        <v>29.362666666666669</v>
      </c>
      <c r="H5" s="104">
        <f t="shared" si="2"/>
        <v>28.803377777777783</v>
      </c>
      <c r="I5" s="104">
        <f t="shared" si="3"/>
        <v>32.992960000000004</v>
      </c>
      <c r="J5" s="133"/>
      <c r="K5" s="110">
        <f t="shared" si="4"/>
        <v>29.993600000000001</v>
      </c>
      <c r="L5" s="88"/>
      <c r="M5" s="2"/>
    </row>
    <row r="6" spans="1:13" ht="22.5" customHeight="1">
      <c r="A6" s="2" t="s">
        <v>25</v>
      </c>
      <c r="B6" s="2" t="s">
        <v>24</v>
      </c>
      <c r="D6" s="13" t="s">
        <v>26</v>
      </c>
      <c r="E6" s="14">
        <v>803.4</v>
      </c>
      <c r="F6" s="104">
        <f t="shared" si="0"/>
        <v>29.458000000000002</v>
      </c>
      <c r="G6" s="104">
        <f t="shared" si="1"/>
        <v>28.6</v>
      </c>
      <c r="H6" s="104">
        <f t="shared" si="2"/>
        <v>28.055238095238096</v>
      </c>
      <c r="I6" s="104">
        <f t="shared" si="3"/>
        <v>32.135999999999996</v>
      </c>
      <c r="J6" s="133"/>
      <c r="K6" s="110">
        <f t="shared" si="4"/>
        <v>29.214545454545451</v>
      </c>
      <c r="L6" s="88"/>
      <c r="M6" s="2"/>
    </row>
    <row r="7" spans="1:13" ht="22.5" customHeight="1">
      <c r="A7" s="2" t="s">
        <v>28</v>
      </c>
      <c r="B7" s="2" t="s">
        <v>27</v>
      </c>
      <c r="D7" s="13" t="s">
        <v>29</v>
      </c>
      <c r="E7" s="14">
        <v>664.14400000000001</v>
      </c>
      <c r="F7" s="104">
        <f t="shared" si="0"/>
        <v>24.35194666666667</v>
      </c>
      <c r="G7" s="104">
        <f t="shared" si="1"/>
        <v>23.64266666666667</v>
      </c>
      <c r="H7" s="104">
        <f t="shared" si="2"/>
        <v>23.192330158730165</v>
      </c>
      <c r="I7" s="104">
        <f t="shared" si="3"/>
        <v>26.565760000000001</v>
      </c>
      <c r="J7" s="133"/>
      <c r="K7" s="110">
        <f t="shared" si="4"/>
        <v>24.150690909090908</v>
      </c>
      <c r="L7" s="88"/>
      <c r="M7" s="2"/>
    </row>
    <row r="8" spans="1:13" ht="22.5" customHeight="1">
      <c r="A8" s="2" t="s">
        <v>31</v>
      </c>
      <c r="B8" s="2" t="s">
        <v>30</v>
      </c>
      <c r="D8" s="13" t="s">
        <v>32</v>
      </c>
      <c r="E8" s="14">
        <v>760.55200000000002</v>
      </c>
      <c r="F8" s="104">
        <f t="shared" si="0"/>
        <v>27.886906666666668</v>
      </c>
      <c r="G8" s="104">
        <f t="shared" si="1"/>
        <v>27.074666666666669</v>
      </c>
      <c r="H8" s="104">
        <f t="shared" si="2"/>
        <v>26.558958730158732</v>
      </c>
      <c r="I8" s="104">
        <f t="shared" si="3"/>
        <v>30.422080000000001</v>
      </c>
      <c r="J8" s="133"/>
      <c r="K8" s="110">
        <f t="shared" si="4"/>
        <v>27.656436363636367</v>
      </c>
      <c r="L8" s="88"/>
      <c r="M8" s="2"/>
    </row>
    <row r="9" spans="1:13" ht="22.5" customHeight="1">
      <c r="A9" s="2" t="s">
        <v>34</v>
      </c>
      <c r="B9" s="2" t="s">
        <v>33</v>
      </c>
      <c r="D9" s="13" t="s">
        <v>35</v>
      </c>
      <c r="E9" s="14">
        <v>664.14400000000001</v>
      </c>
      <c r="F9" s="104">
        <f t="shared" si="0"/>
        <v>24.35194666666667</v>
      </c>
      <c r="G9" s="104">
        <f t="shared" si="1"/>
        <v>23.64266666666667</v>
      </c>
      <c r="H9" s="104">
        <f t="shared" si="2"/>
        <v>23.192330158730165</v>
      </c>
      <c r="I9" s="104">
        <f t="shared" si="3"/>
        <v>26.565760000000001</v>
      </c>
      <c r="J9" s="133"/>
      <c r="K9" s="110">
        <f t="shared" si="4"/>
        <v>24.150690909090908</v>
      </c>
      <c r="L9" s="88"/>
      <c r="M9" s="2"/>
    </row>
    <row r="10" spans="1:13" ht="22.5" customHeight="1">
      <c r="A10" s="2" t="s">
        <v>37</v>
      </c>
      <c r="B10" s="2" t="s">
        <v>36</v>
      </c>
      <c r="D10" s="13" t="s">
        <v>38</v>
      </c>
      <c r="E10" s="14">
        <v>792.6880000000001</v>
      </c>
      <c r="F10" s="104">
        <f t="shared" si="0"/>
        <v>29.065226666666671</v>
      </c>
      <c r="G10" s="104">
        <f t="shared" si="1"/>
        <v>28.218666666666671</v>
      </c>
      <c r="H10" s="104">
        <f t="shared" si="2"/>
        <v>27.681168253968259</v>
      </c>
      <c r="I10" s="104">
        <f t="shared" si="3"/>
        <v>31.707520000000002</v>
      </c>
      <c r="J10" s="133"/>
      <c r="K10" s="110">
        <f t="shared" si="4"/>
        <v>28.825018181818184</v>
      </c>
      <c r="L10" s="88"/>
      <c r="M10" s="2"/>
    </row>
    <row r="11" spans="1:13" ht="22.5" customHeight="1">
      <c r="A11" s="2" t="s">
        <v>40</v>
      </c>
      <c r="B11" s="2" t="s">
        <v>39</v>
      </c>
      <c r="D11" s="13" t="s">
        <v>41</v>
      </c>
      <c r="E11" s="14">
        <v>674.85599999999999</v>
      </c>
      <c r="F11" s="104">
        <f t="shared" si="0"/>
        <v>24.744720000000004</v>
      </c>
      <c r="G11" s="104">
        <f t="shared" si="1"/>
        <v>24.024000000000008</v>
      </c>
      <c r="H11" s="104">
        <f t="shared" si="2"/>
        <v>23.566400000000005</v>
      </c>
      <c r="I11" s="104">
        <f t="shared" si="3"/>
        <v>26.994239999999998</v>
      </c>
      <c r="J11" s="133"/>
      <c r="K11" s="110">
        <f t="shared" si="4"/>
        <v>24.540218181818179</v>
      </c>
      <c r="L11" s="88"/>
      <c r="M11" s="2"/>
    </row>
    <row r="12" spans="1:13" ht="22.5" customHeight="1">
      <c r="A12" s="2" t="s">
        <v>43</v>
      </c>
      <c r="B12" s="2" t="s">
        <v>42</v>
      </c>
      <c r="D12" s="13" t="s">
        <v>44</v>
      </c>
      <c r="E12" s="14">
        <v>674.85599999999999</v>
      </c>
      <c r="F12" s="104">
        <f t="shared" si="0"/>
        <v>24.744720000000004</v>
      </c>
      <c r="G12" s="104">
        <f t="shared" si="1"/>
        <v>24.024000000000008</v>
      </c>
      <c r="H12" s="104">
        <f t="shared" si="2"/>
        <v>23.566400000000005</v>
      </c>
      <c r="I12" s="104">
        <f t="shared" si="3"/>
        <v>26.994239999999998</v>
      </c>
      <c r="J12" s="133"/>
      <c r="K12" s="110">
        <f t="shared" si="4"/>
        <v>24.540218181818179</v>
      </c>
      <c r="L12" s="88"/>
      <c r="M12" s="2"/>
    </row>
    <row r="13" spans="1:13" ht="22.5" customHeight="1">
      <c r="A13" s="2" t="s">
        <v>46</v>
      </c>
      <c r="B13" s="2" t="s">
        <v>45</v>
      </c>
      <c r="D13" s="13" t="s">
        <v>47</v>
      </c>
      <c r="E13" s="14">
        <v>632.00800000000004</v>
      </c>
      <c r="F13" s="104">
        <f t="shared" si="0"/>
        <v>23.173626666666671</v>
      </c>
      <c r="G13" s="104">
        <f t="shared" si="1"/>
        <v>22.498666666666669</v>
      </c>
      <c r="H13" s="104">
        <f t="shared" si="2"/>
        <v>22.070120634920638</v>
      </c>
      <c r="I13" s="104">
        <f t="shared" si="3"/>
        <v>25.280320000000003</v>
      </c>
      <c r="J13" s="133"/>
      <c r="K13" s="110">
        <f t="shared" si="4"/>
        <v>22.982109090909091</v>
      </c>
      <c r="L13" s="88"/>
      <c r="M13" s="2"/>
    </row>
    <row r="14" spans="1:13" ht="22.5" customHeight="1">
      <c r="A14" s="2" t="s">
        <v>49</v>
      </c>
      <c r="B14" s="2" t="s">
        <v>48</v>
      </c>
      <c r="D14" s="13" t="s">
        <v>50</v>
      </c>
      <c r="E14" s="14">
        <v>664.14400000000001</v>
      </c>
      <c r="F14" s="104">
        <f t="shared" si="0"/>
        <v>24.35194666666667</v>
      </c>
      <c r="G14" s="104">
        <f t="shared" si="1"/>
        <v>23.64266666666667</v>
      </c>
      <c r="H14" s="104">
        <f t="shared" si="2"/>
        <v>23.192330158730165</v>
      </c>
      <c r="I14" s="104">
        <f t="shared" si="3"/>
        <v>26.565760000000001</v>
      </c>
      <c r="J14" s="133"/>
      <c r="K14" s="110">
        <f t="shared" si="4"/>
        <v>24.150690909090908</v>
      </c>
      <c r="L14" s="88"/>
      <c r="M14" s="2"/>
    </row>
    <row r="15" spans="1:13" ht="22.5" customHeight="1">
      <c r="A15" s="2" t="s">
        <v>52</v>
      </c>
      <c r="B15" s="2" t="s">
        <v>51</v>
      </c>
      <c r="D15" s="13" t="s">
        <v>53</v>
      </c>
      <c r="E15" s="14">
        <v>674.85599999999999</v>
      </c>
      <c r="F15" s="104">
        <f t="shared" si="0"/>
        <v>24.744720000000004</v>
      </c>
      <c r="G15" s="104">
        <f t="shared" si="1"/>
        <v>24.024000000000008</v>
      </c>
      <c r="H15" s="104">
        <f t="shared" si="2"/>
        <v>23.566400000000005</v>
      </c>
      <c r="I15" s="104">
        <f t="shared" si="3"/>
        <v>26.994239999999998</v>
      </c>
      <c r="J15" s="133"/>
      <c r="K15" s="110">
        <f t="shared" si="4"/>
        <v>24.540218181818179</v>
      </c>
      <c r="L15" s="88"/>
      <c r="M15" s="79" t="s">
        <v>8178</v>
      </c>
    </row>
    <row r="16" spans="1:13" ht="22.5" customHeight="1">
      <c r="A16" s="2" t="s">
        <v>55</v>
      </c>
      <c r="B16" s="2" t="s">
        <v>54</v>
      </c>
      <c r="D16" s="13" t="s">
        <v>56</v>
      </c>
      <c r="E16" s="14">
        <v>674.85599999999999</v>
      </c>
      <c r="F16" s="104">
        <f t="shared" si="0"/>
        <v>24.744720000000004</v>
      </c>
      <c r="G16" s="104">
        <f t="shared" si="1"/>
        <v>24.024000000000008</v>
      </c>
      <c r="H16" s="104">
        <f t="shared" si="2"/>
        <v>23.566400000000005</v>
      </c>
      <c r="I16" s="104">
        <f t="shared" si="3"/>
        <v>26.994239999999998</v>
      </c>
      <c r="J16" s="133"/>
      <c r="K16" s="110">
        <f t="shared" si="4"/>
        <v>24.540218181818179</v>
      </c>
      <c r="L16" s="88"/>
      <c r="M16" s="2"/>
    </row>
    <row r="17" spans="1:13" ht="22.5" customHeight="1">
      <c r="A17" s="2" t="s">
        <v>58</v>
      </c>
      <c r="B17" s="2" t="s">
        <v>57</v>
      </c>
      <c r="D17" s="13" t="s">
        <v>59</v>
      </c>
      <c r="E17" s="14">
        <v>674.85599999999999</v>
      </c>
      <c r="F17" s="104">
        <f t="shared" si="0"/>
        <v>24.744720000000004</v>
      </c>
      <c r="G17" s="104">
        <f t="shared" si="1"/>
        <v>24.024000000000008</v>
      </c>
      <c r="H17" s="104">
        <f t="shared" si="2"/>
        <v>23.566400000000005</v>
      </c>
      <c r="I17" s="104">
        <f t="shared" si="3"/>
        <v>26.994239999999998</v>
      </c>
      <c r="J17" s="133"/>
      <c r="K17" s="110">
        <f t="shared" si="4"/>
        <v>24.540218181818179</v>
      </c>
      <c r="L17" s="88"/>
      <c r="M17" s="2"/>
    </row>
    <row r="18" spans="1:13" ht="22.5" customHeight="1">
      <c r="A18" s="2" t="s">
        <v>61</v>
      </c>
      <c r="B18" s="2" t="s">
        <v>60</v>
      </c>
      <c r="D18" s="13" t="s">
        <v>62</v>
      </c>
      <c r="E18" s="14">
        <v>674.85599999999999</v>
      </c>
      <c r="F18" s="104">
        <f t="shared" si="0"/>
        <v>24.744720000000004</v>
      </c>
      <c r="G18" s="104">
        <f t="shared" si="1"/>
        <v>24.024000000000008</v>
      </c>
      <c r="H18" s="104">
        <f t="shared" si="2"/>
        <v>23.566400000000005</v>
      </c>
      <c r="I18" s="104">
        <f t="shared" si="3"/>
        <v>26.994239999999998</v>
      </c>
      <c r="J18" s="133"/>
      <c r="K18" s="110">
        <f t="shared" si="4"/>
        <v>24.540218181818179</v>
      </c>
      <c r="L18" s="88"/>
      <c r="M18" s="2"/>
    </row>
    <row r="19" spans="1:13" ht="22.5" customHeight="1">
      <c r="A19" s="2" t="s">
        <v>64</v>
      </c>
      <c r="B19" s="2" t="s">
        <v>63</v>
      </c>
      <c r="D19" s="13" t="s">
        <v>65</v>
      </c>
      <c r="E19" s="14">
        <v>851.60400000000004</v>
      </c>
      <c r="F19" s="104">
        <f t="shared" si="0"/>
        <v>31.225480000000005</v>
      </c>
      <c r="G19" s="104">
        <f t="shared" si="1"/>
        <v>30.316000000000006</v>
      </c>
      <c r="H19" s="104">
        <f t="shared" si="2"/>
        <v>29.738552380952388</v>
      </c>
      <c r="I19" s="104">
        <f t="shared" si="3"/>
        <v>34.064160000000001</v>
      </c>
      <c r="J19" s="133"/>
      <c r="K19" s="110">
        <f t="shared" si="4"/>
        <v>30.967418181818182</v>
      </c>
      <c r="L19" s="88"/>
      <c r="M19" s="2"/>
    </row>
    <row r="20" spans="1:13" ht="22.5" customHeight="1">
      <c r="A20" s="2" t="s">
        <v>67</v>
      </c>
      <c r="B20" s="2" t="s">
        <v>66</v>
      </c>
      <c r="D20" s="13" t="s">
        <v>68</v>
      </c>
      <c r="E20" s="14">
        <v>749.84</v>
      </c>
      <c r="F20" s="104">
        <f t="shared" si="0"/>
        <v>27.494133333333334</v>
      </c>
      <c r="G20" s="104">
        <f t="shared" si="1"/>
        <v>26.693333333333335</v>
      </c>
      <c r="H20" s="104">
        <f t="shared" si="2"/>
        <v>26.184888888888889</v>
      </c>
      <c r="I20" s="104">
        <f t="shared" si="3"/>
        <v>29.993600000000001</v>
      </c>
      <c r="J20" s="133"/>
      <c r="K20" s="110">
        <f t="shared" si="4"/>
        <v>27.266909090909092</v>
      </c>
      <c r="L20" s="88"/>
      <c r="M20" s="2"/>
    </row>
    <row r="21" spans="1:13" ht="22.5" customHeight="1">
      <c r="A21" s="2" t="s">
        <v>70</v>
      </c>
      <c r="B21" s="2" t="s">
        <v>69</v>
      </c>
      <c r="D21" s="13" t="s">
        <v>71</v>
      </c>
      <c r="E21" s="14">
        <v>674.85599999999999</v>
      </c>
      <c r="F21" s="104">
        <f t="shared" si="0"/>
        <v>24.744720000000004</v>
      </c>
      <c r="G21" s="104">
        <f t="shared" si="1"/>
        <v>24.024000000000008</v>
      </c>
      <c r="H21" s="104">
        <f t="shared" si="2"/>
        <v>23.566400000000005</v>
      </c>
      <c r="I21" s="104">
        <f t="shared" si="3"/>
        <v>26.994239999999998</v>
      </c>
      <c r="J21" s="133"/>
      <c r="K21" s="110">
        <f t="shared" si="4"/>
        <v>24.540218181818179</v>
      </c>
      <c r="L21" s="88"/>
      <c r="M21" s="2"/>
    </row>
    <row r="22" spans="1:13" ht="22.5" customHeight="1">
      <c r="A22" s="2" t="s">
        <v>73</v>
      </c>
      <c r="B22" s="2" t="s">
        <v>72</v>
      </c>
      <c r="D22" s="13" t="s">
        <v>74</v>
      </c>
      <c r="E22" s="14">
        <v>664.14400000000001</v>
      </c>
      <c r="F22" s="104">
        <f t="shared" si="0"/>
        <v>24.35194666666667</v>
      </c>
      <c r="G22" s="104">
        <f t="shared" si="1"/>
        <v>23.64266666666667</v>
      </c>
      <c r="H22" s="104">
        <f t="shared" si="2"/>
        <v>23.192330158730165</v>
      </c>
      <c r="I22" s="104">
        <f t="shared" si="3"/>
        <v>26.565760000000001</v>
      </c>
      <c r="J22" s="133"/>
      <c r="K22" s="110">
        <f t="shared" si="4"/>
        <v>24.150690909090908</v>
      </c>
      <c r="L22" s="88"/>
      <c r="M22" s="2"/>
    </row>
    <row r="23" spans="1:13" ht="22.5" customHeight="1">
      <c r="A23" s="2" t="s">
        <v>76</v>
      </c>
      <c r="B23" s="2" t="s">
        <v>75</v>
      </c>
      <c r="D23" s="13" t="s">
        <v>77</v>
      </c>
      <c r="E23" s="14">
        <v>484.18240000000003</v>
      </c>
      <c r="F23" s="104">
        <f t="shared" si="0"/>
        <v>17.75335466666667</v>
      </c>
      <c r="G23" s="104">
        <f t="shared" si="1"/>
        <v>17.236266666666673</v>
      </c>
      <c r="H23" s="104">
        <f t="shared" si="2"/>
        <v>16.90795682539683</v>
      </c>
      <c r="I23" s="104">
        <f t="shared" si="3"/>
        <v>19.367296</v>
      </c>
      <c r="J23" s="133"/>
      <c r="K23" s="110">
        <f t="shared" si="4"/>
        <v>17.606632727272725</v>
      </c>
      <c r="L23" s="88"/>
      <c r="M23" s="2"/>
    </row>
    <row r="24" spans="1:13" ht="22.5" customHeight="1">
      <c r="A24" s="2" t="s">
        <v>79</v>
      </c>
      <c r="B24" s="2" t="s">
        <v>78</v>
      </c>
      <c r="D24" s="13" t="s">
        <v>80</v>
      </c>
      <c r="E24" s="14">
        <v>461.68720000000002</v>
      </c>
      <c r="F24" s="104">
        <f t="shared" si="0"/>
        <v>16.928530666666671</v>
      </c>
      <c r="G24" s="104">
        <f t="shared" si="1"/>
        <v>16.43546666666667</v>
      </c>
      <c r="H24" s="104">
        <f t="shared" si="2"/>
        <v>16.122410158730162</v>
      </c>
      <c r="I24" s="104">
        <f t="shared" si="3"/>
        <v>18.467487999999999</v>
      </c>
      <c r="J24" s="133"/>
      <c r="K24" s="110">
        <f t="shared" si="4"/>
        <v>16.788625454545453</v>
      </c>
      <c r="L24" s="88"/>
      <c r="M24" s="2"/>
    </row>
    <row r="25" spans="1:13" ht="22.5" customHeight="1">
      <c r="A25" s="2" t="s">
        <v>82</v>
      </c>
      <c r="B25" s="2" t="s">
        <v>81</v>
      </c>
      <c r="D25" s="13" t="s">
        <v>83</v>
      </c>
      <c r="E25" s="14">
        <v>664.14400000000001</v>
      </c>
      <c r="F25" s="104">
        <f t="shared" si="0"/>
        <v>24.35194666666667</v>
      </c>
      <c r="G25" s="104">
        <f t="shared" si="1"/>
        <v>23.64266666666667</v>
      </c>
      <c r="H25" s="104">
        <f t="shared" si="2"/>
        <v>23.192330158730165</v>
      </c>
      <c r="I25" s="104">
        <f t="shared" si="3"/>
        <v>26.565760000000001</v>
      </c>
      <c r="J25" s="133"/>
      <c r="K25" s="110">
        <f t="shared" si="4"/>
        <v>24.150690909090908</v>
      </c>
      <c r="L25" s="88"/>
      <c r="M25" s="2"/>
    </row>
    <row r="26" spans="1:13" ht="22.5" customHeight="1">
      <c r="A26" s="2" t="s">
        <v>85</v>
      </c>
      <c r="B26" s="2" t="s">
        <v>84</v>
      </c>
      <c r="D26" s="13" t="s">
        <v>86</v>
      </c>
      <c r="E26" s="14">
        <v>653.43200000000002</v>
      </c>
      <c r="F26" s="104">
        <f t="shared" si="0"/>
        <v>23.959173333333336</v>
      </c>
      <c r="G26" s="104">
        <f t="shared" si="1"/>
        <v>23.261333333333337</v>
      </c>
      <c r="H26" s="104">
        <f t="shared" si="2"/>
        <v>22.818260317460322</v>
      </c>
      <c r="I26" s="104">
        <f t="shared" si="3"/>
        <v>26.137279999999997</v>
      </c>
      <c r="J26" s="133"/>
      <c r="K26" s="110">
        <f t="shared" si="4"/>
        <v>23.761163636363634</v>
      </c>
      <c r="L26" s="88"/>
      <c r="M26" s="2"/>
    </row>
    <row r="27" spans="1:13" ht="22.5" customHeight="1">
      <c r="A27" s="2" t="s">
        <v>88</v>
      </c>
      <c r="B27" s="2" t="s">
        <v>87</v>
      </c>
      <c r="D27" s="13" t="s">
        <v>89</v>
      </c>
      <c r="E27" s="14">
        <v>664.14400000000001</v>
      </c>
      <c r="F27" s="104">
        <f t="shared" si="0"/>
        <v>24.35194666666667</v>
      </c>
      <c r="G27" s="104">
        <f t="shared" si="1"/>
        <v>23.64266666666667</v>
      </c>
      <c r="H27" s="104">
        <f t="shared" si="2"/>
        <v>23.192330158730165</v>
      </c>
      <c r="I27" s="104">
        <f t="shared" si="3"/>
        <v>26.565760000000001</v>
      </c>
      <c r="J27" s="133"/>
      <c r="K27" s="110">
        <f t="shared" si="4"/>
        <v>24.150690909090908</v>
      </c>
      <c r="L27" s="88"/>
      <c r="M27" s="2"/>
    </row>
    <row r="28" spans="1:13" ht="22.5" customHeight="1">
      <c r="A28" s="2" t="s">
        <v>91</v>
      </c>
      <c r="B28" s="2" t="s">
        <v>90</v>
      </c>
      <c r="D28" s="13" t="s">
        <v>92</v>
      </c>
      <c r="E28" s="14">
        <v>760.55200000000002</v>
      </c>
      <c r="F28" s="104">
        <f t="shared" si="0"/>
        <v>27.886906666666668</v>
      </c>
      <c r="G28" s="104">
        <f t="shared" si="1"/>
        <v>27.074666666666669</v>
      </c>
      <c r="H28" s="104">
        <f t="shared" si="2"/>
        <v>26.558958730158732</v>
      </c>
      <c r="I28" s="104">
        <f t="shared" si="3"/>
        <v>30.422080000000001</v>
      </c>
      <c r="J28" s="133"/>
      <c r="K28" s="110">
        <f t="shared" si="4"/>
        <v>27.656436363636367</v>
      </c>
      <c r="L28" s="88"/>
      <c r="M28" s="2"/>
    </row>
    <row r="29" spans="1:13" ht="22.5" customHeight="1">
      <c r="A29" s="2" t="s">
        <v>94</v>
      </c>
      <c r="B29" s="2" t="s">
        <v>93</v>
      </c>
      <c r="D29" s="13" t="s">
        <v>95</v>
      </c>
      <c r="E29" s="14">
        <v>664.14400000000001</v>
      </c>
      <c r="F29" s="104">
        <f t="shared" si="0"/>
        <v>24.35194666666667</v>
      </c>
      <c r="G29" s="104">
        <f t="shared" si="1"/>
        <v>23.64266666666667</v>
      </c>
      <c r="H29" s="104">
        <f t="shared" si="2"/>
        <v>23.192330158730165</v>
      </c>
      <c r="I29" s="104">
        <f t="shared" si="3"/>
        <v>26.565760000000001</v>
      </c>
      <c r="J29" s="133"/>
      <c r="K29" s="110">
        <f t="shared" si="4"/>
        <v>24.150690909090908</v>
      </c>
      <c r="L29" s="88"/>
      <c r="M29" s="2"/>
    </row>
    <row r="30" spans="1:13" ht="22.5" customHeight="1">
      <c r="A30" s="2" t="s">
        <v>97</v>
      </c>
      <c r="B30" s="2" t="s">
        <v>96</v>
      </c>
      <c r="D30" s="13" t="s">
        <v>98</v>
      </c>
      <c r="E30" s="14">
        <v>641.64880000000005</v>
      </c>
      <c r="F30" s="104">
        <f t="shared" si="0"/>
        <v>23.527122666666671</v>
      </c>
      <c r="G30" s="104">
        <f t="shared" si="1"/>
        <v>22.841866666666668</v>
      </c>
      <c r="H30" s="104">
        <f t="shared" si="2"/>
        <v>22.406783492063493</v>
      </c>
      <c r="I30" s="104">
        <f t="shared" si="3"/>
        <v>25.665952000000001</v>
      </c>
      <c r="J30" s="133"/>
      <c r="K30" s="110">
        <f t="shared" si="4"/>
        <v>23.332683636363637</v>
      </c>
      <c r="L30" s="88"/>
      <c r="M30" s="2"/>
    </row>
    <row r="31" spans="1:13" ht="22.5" customHeight="1">
      <c r="A31" s="2" t="s">
        <v>100</v>
      </c>
      <c r="B31" s="2" t="s">
        <v>99</v>
      </c>
      <c r="D31" s="13" t="s">
        <v>101</v>
      </c>
      <c r="E31" s="14">
        <v>621.29599999999994</v>
      </c>
      <c r="F31" s="104">
        <f t="shared" si="0"/>
        <v>22.780853333333333</v>
      </c>
      <c r="G31" s="104">
        <f t="shared" si="1"/>
        <v>22.117333333333335</v>
      </c>
      <c r="H31" s="104">
        <f t="shared" si="2"/>
        <v>21.696050793650794</v>
      </c>
      <c r="I31" s="104">
        <f t="shared" si="3"/>
        <v>24.851839999999996</v>
      </c>
      <c r="J31" s="133"/>
      <c r="K31" s="110">
        <f t="shared" si="4"/>
        <v>22.592581818181817</v>
      </c>
      <c r="L31" s="88"/>
      <c r="M31" s="2"/>
    </row>
    <row r="32" spans="1:13" ht="22.5" customHeight="1">
      <c r="A32" s="2" t="s">
        <v>103</v>
      </c>
      <c r="B32" s="2" t="s">
        <v>102</v>
      </c>
      <c r="D32" s="13" t="s">
        <v>104</v>
      </c>
      <c r="E32" s="14">
        <v>771.26400000000001</v>
      </c>
      <c r="F32" s="104">
        <f t="shared" si="0"/>
        <v>28.279680000000003</v>
      </c>
      <c r="G32" s="104">
        <f t="shared" si="1"/>
        <v>27.456000000000003</v>
      </c>
      <c r="H32" s="104">
        <f t="shared" si="2"/>
        <v>26.933028571428576</v>
      </c>
      <c r="I32" s="104">
        <f t="shared" si="3"/>
        <v>30.850559999999998</v>
      </c>
      <c r="J32" s="133"/>
      <c r="K32" s="110">
        <f t="shared" si="4"/>
        <v>28.045963636363638</v>
      </c>
      <c r="L32" s="88"/>
      <c r="M32" s="2"/>
    </row>
    <row r="33" spans="1:13" ht="22.5" customHeight="1">
      <c r="A33" s="2" t="s">
        <v>106</v>
      </c>
      <c r="B33" s="2" t="s">
        <v>105</v>
      </c>
      <c r="D33" s="13" t="s">
        <v>107</v>
      </c>
      <c r="E33" s="14">
        <v>674.85599999999999</v>
      </c>
      <c r="F33" s="104">
        <f t="shared" si="0"/>
        <v>24.744720000000004</v>
      </c>
      <c r="G33" s="104">
        <f t="shared" si="1"/>
        <v>24.024000000000008</v>
      </c>
      <c r="H33" s="104">
        <f t="shared" si="2"/>
        <v>23.566400000000005</v>
      </c>
      <c r="I33" s="104">
        <f t="shared" si="3"/>
        <v>26.994239999999998</v>
      </c>
      <c r="J33" s="133"/>
      <c r="K33" s="110">
        <f t="shared" si="4"/>
        <v>24.540218181818179</v>
      </c>
      <c r="L33" s="88"/>
      <c r="M33" s="2"/>
    </row>
    <row r="34" spans="1:13" ht="22.5" customHeight="1">
      <c r="A34" s="2" t="s">
        <v>109</v>
      </c>
      <c r="B34" s="2" t="s">
        <v>108</v>
      </c>
      <c r="D34" s="13" t="s">
        <v>110</v>
      </c>
      <c r="E34" s="14">
        <v>642.72</v>
      </c>
      <c r="F34" s="104">
        <f t="shared" si="0"/>
        <v>23.566400000000002</v>
      </c>
      <c r="G34" s="104">
        <f t="shared" si="1"/>
        <v>22.880000000000003</v>
      </c>
      <c r="H34" s="104">
        <f t="shared" si="2"/>
        <v>22.444190476190478</v>
      </c>
      <c r="I34" s="104">
        <f t="shared" si="3"/>
        <v>25.7088</v>
      </c>
      <c r="J34" s="133"/>
      <c r="K34" s="110">
        <f t="shared" si="4"/>
        <v>23.371636363636362</v>
      </c>
      <c r="L34" s="88"/>
      <c r="M34" s="2"/>
    </row>
    <row r="35" spans="1:13" ht="22.5" customHeight="1">
      <c r="A35" s="2" t="s">
        <v>112</v>
      </c>
      <c r="B35" s="2" t="s">
        <v>111</v>
      </c>
      <c r="D35" s="13" t="s">
        <v>113</v>
      </c>
      <c r="E35" s="14">
        <v>834.46479999999997</v>
      </c>
      <c r="F35" s="104">
        <f t="shared" si="0"/>
        <v>30.597042666666667</v>
      </c>
      <c r="G35" s="104">
        <f t="shared" si="1"/>
        <v>29.705866666666665</v>
      </c>
      <c r="H35" s="104">
        <f t="shared" si="2"/>
        <v>29.140040634920634</v>
      </c>
      <c r="I35" s="104">
        <f t="shared" si="3"/>
        <v>33.378591999999998</v>
      </c>
      <c r="J35" s="133"/>
      <c r="K35" s="110">
        <f t="shared" si="4"/>
        <v>30.344174545454543</v>
      </c>
      <c r="L35" s="88"/>
      <c r="M35" s="2"/>
    </row>
    <row r="36" spans="1:13" ht="22.5" customHeight="1">
      <c r="A36" s="2" t="s">
        <v>115</v>
      </c>
      <c r="B36" s="2" t="s">
        <v>114</v>
      </c>
      <c r="D36" s="13" t="s">
        <v>116</v>
      </c>
      <c r="E36" s="14">
        <v>717.70400000000006</v>
      </c>
      <c r="F36" s="104">
        <f t="shared" si="0"/>
        <v>26.315813333333338</v>
      </c>
      <c r="G36" s="104">
        <f t="shared" si="1"/>
        <v>25.54933333333334</v>
      </c>
      <c r="H36" s="104">
        <f t="shared" si="2"/>
        <v>25.062679365079372</v>
      </c>
      <c r="I36" s="104">
        <f t="shared" si="3"/>
        <v>28.708160000000003</v>
      </c>
      <c r="J36" s="133"/>
      <c r="K36" s="110">
        <f t="shared" si="4"/>
        <v>26.098327272727275</v>
      </c>
      <c r="L36" s="88"/>
      <c r="M36" s="2"/>
    </row>
    <row r="37" spans="1:13" ht="22.5" customHeight="1">
      <c r="A37" s="2" t="s">
        <v>118</v>
      </c>
      <c r="B37" s="2" t="s">
        <v>117</v>
      </c>
      <c r="D37" s="13" t="s">
        <v>119</v>
      </c>
      <c r="E37" s="14">
        <v>632.00800000000004</v>
      </c>
      <c r="F37" s="104">
        <f t="shared" si="0"/>
        <v>23.173626666666671</v>
      </c>
      <c r="G37" s="104">
        <f t="shared" si="1"/>
        <v>22.498666666666669</v>
      </c>
      <c r="H37" s="104">
        <f t="shared" si="2"/>
        <v>22.070120634920638</v>
      </c>
      <c r="I37" s="104">
        <f t="shared" si="3"/>
        <v>25.280320000000003</v>
      </c>
      <c r="J37" s="133"/>
      <c r="K37" s="110">
        <f t="shared" si="4"/>
        <v>22.982109090909091</v>
      </c>
      <c r="L37" s="88"/>
      <c r="M37" s="2"/>
    </row>
    <row r="38" spans="1:13" ht="22.5" customHeight="1">
      <c r="A38" s="2" t="s">
        <v>121</v>
      </c>
      <c r="B38" s="2" t="s">
        <v>120</v>
      </c>
      <c r="D38" s="13" t="s">
        <v>122</v>
      </c>
      <c r="E38" s="14">
        <v>567.73599999999999</v>
      </c>
      <c r="F38" s="104">
        <f t="shared" si="0"/>
        <v>20.816986666666669</v>
      </c>
      <c r="G38" s="104">
        <f t="shared" si="1"/>
        <v>20.210666666666668</v>
      </c>
      <c r="H38" s="104">
        <f t="shared" si="2"/>
        <v>19.825701587301587</v>
      </c>
      <c r="I38" s="104">
        <f t="shared" si="3"/>
        <v>22.709439999999997</v>
      </c>
      <c r="J38" s="133"/>
      <c r="K38" s="110">
        <f t="shared" si="4"/>
        <v>20.644945454545454</v>
      </c>
      <c r="L38" s="88"/>
      <c r="M38" s="2"/>
    </row>
    <row r="39" spans="1:13" ht="22.5" customHeight="1">
      <c r="A39" s="2" t="s">
        <v>124</v>
      </c>
      <c r="B39" s="2" t="s">
        <v>123</v>
      </c>
      <c r="D39" s="13" t="s">
        <v>125</v>
      </c>
      <c r="E39" s="14">
        <v>724.13119999999992</v>
      </c>
      <c r="F39" s="104">
        <f t="shared" si="0"/>
        <v>26.551477333333331</v>
      </c>
      <c r="G39" s="104">
        <f t="shared" si="1"/>
        <v>25.778133333333333</v>
      </c>
      <c r="H39" s="104">
        <f t="shared" si="2"/>
        <v>25.287121269841268</v>
      </c>
      <c r="I39" s="104">
        <f t="shared" si="3"/>
        <v>28.965247999999995</v>
      </c>
      <c r="J39" s="133"/>
      <c r="K39" s="110">
        <f t="shared" si="4"/>
        <v>26.332043636363633</v>
      </c>
      <c r="L39" s="88"/>
      <c r="M39" s="2"/>
    </row>
    <row r="40" spans="1:13" ht="22.5" customHeight="1">
      <c r="A40" s="2" t="s">
        <v>127</v>
      </c>
      <c r="B40" s="2" t="s">
        <v>126</v>
      </c>
      <c r="D40" s="13" t="s">
        <v>128</v>
      </c>
      <c r="E40" s="14">
        <v>760.55200000000002</v>
      </c>
      <c r="F40" s="104">
        <f t="shared" si="0"/>
        <v>27.886906666666668</v>
      </c>
      <c r="G40" s="104">
        <f t="shared" si="1"/>
        <v>27.074666666666669</v>
      </c>
      <c r="H40" s="104">
        <f t="shared" si="2"/>
        <v>26.558958730158732</v>
      </c>
      <c r="I40" s="104">
        <f t="shared" si="3"/>
        <v>30.422080000000001</v>
      </c>
      <c r="J40" s="133"/>
      <c r="K40" s="110">
        <f t="shared" si="4"/>
        <v>27.656436363636367</v>
      </c>
      <c r="L40" s="88"/>
      <c r="M40" s="2"/>
    </row>
    <row r="41" spans="1:13" ht="22.5" customHeight="1">
      <c r="A41" s="2" t="s">
        <v>130</v>
      </c>
      <c r="B41" s="2" t="s">
        <v>129</v>
      </c>
      <c r="D41" s="13" t="s">
        <v>131</v>
      </c>
      <c r="E41" s="14">
        <v>674.85599999999999</v>
      </c>
      <c r="F41" s="104">
        <f t="shared" si="0"/>
        <v>24.744720000000004</v>
      </c>
      <c r="G41" s="104">
        <f t="shared" si="1"/>
        <v>24.024000000000008</v>
      </c>
      <c r="H41" s="104">
        <f t="shared" si="2"/>
        <v>23.566400000000005</v>
      </c>
      <c r="I41" s="104">
        <f t="shared" si="3"/>
        <v>26.994239999999998</v>
      </c>
      <c r="J41" s="133"/>
      <c r="K41" s="110">
        <f t="shared" si="4"/>
        <v>24.540218181818179</v>
      </c>
      <c r="L41" s="88"/>
      <c r="M41" s="2"/>
    </row>
    <row r="42" spans="1:13" ht="22.5" customHeight="1">
      <c r="A42" s="2" t="s">
        <v>133</v>
      </c>
      <c r="B42" s="2" t="s">
        <v>132</v>
      </c>
      <c r="D42" s="13" t="s">
        <v>134</v>
      </c>
      <c r="E42" s="14">
        <v>724.13119999999992</v>
      </c>
      <c r="F42" s="104">
        <f t="shared" si="0"/>
        <v>26.551477333333331</v>
      </c>
      <c r="G42" s="104">
        <f t="shared" si="1"/>
        <v>25.778133333333333</v>
      </c>
      <c r="H42" s="104">
        <f t="shared" si="2"/>
        <v>25.287121269841268</v>
      </c>
      <c r="I42" s="104">
        <f t="shared" si="3"/>
        <v>28.965247999999995</v>
      </c>
      <c r="J42" s="133"/>
      <c r="K42" s="110">
        <f t="shared" si="4"/>
        <v>26.332043636363633</v>
      </c>
      <c r="L42" s="88"/>
      <c r="M42" s="2"/>
    </row>
    <row r="43" spans="1:13" ht="22.5" customHeight="1">
      <c r="A43" s="2" t="s">
        <v>136</v>
      </c>
      <c r="B43" s="2" t="s">
        <v>135</v>
      </c>
      <c r="D43" s="13" t="s">
        <v>137</v>
      </c>
      <c r="E43" s="14">
        <v>738.05680000000007</v>
      </c>
      <c r="F43" s="104">
        <f t="shared" si="0"/>
        <v>27.062082666666672</v>
      </c>
      <c r="G43" s="104">
        <f t="shared" si="1"/>
        <v>26.273866666666674</v>
      </c>
      <c r="H43" s="104">
        <f t="shared" si="2"/>
        <v>25.773412063492071</v>
      </c>
      <c r="I43" s="104">
        <f t="shared" si="3"/>
        <v>29.522272000000001</v>
      </c>
      <c r="J43" s="133"/>
      <c r="K43" s="110">
        <f t="shared" si="4"/>
        <v>26.838429090909091</v>
      </c>
      <c r="L43" s="88"/>
      <c r="M43" s="2"/>
    </row>
    <row r="44" spans="1:13" ht="22.5" customHeight="1">
      <c r="A44" s="2" t="s">
        <v>139</v>
      </c>
      <c r="B44" s="2" t="s">
        <v>138</v>
      </c>
      <c r="D44" s="13" t="s">
        <v>140</v>
      </c>
      <c r="E44" s="14">
        <v>741.2704</v>
      </c>
      <c r="F44" s="104">
        <f t="shared" si="0"/>
        <v>27.179914666666669</v>
      </c>
      <c r="G44" s="104">
        <f t="shared" si="1"/>
        <v>26.38826666666667</v>
      </c>
      <c r="H44" s="104">
        <f t="shared" si="2"/>
        <v>25.885633015873019</v>
      </c>
      <c r="I44" s="104">
        <f t="shared" si="3"/>
        <v>29.650815999999999</v>
      </c>
      <c r="J44" s="133"/>
      <c r="K44" s="110">
        <f t="shared" si="4"/>
        <v>26.955287272727272</v>
      </c>
      <c r="L44" s="88"/>
      <c r="M44" s="2"/>
    </row>
    <row r="45" spans="1:13" ht="22.5" customHeight="1">
      <c r="A45" s="2" t="s">
        <v>142</v>
      </c>
      <c r="B45" s="2" t="s">
        <v>141</v>
      </c>
      <c r="D45" s="13" t="s">
        <v>143</v>
      </c>
      <c r="E45" s="14">
        <v>1378.6344000000001</v>
      </c>
      <c r="F45" s="104">
        <f t="shared" si="0"/>
        <v>50.549928000000008</v>
      </c>
      <c r="G45" s="104">
        <f t="shared" si="1"/>
        <v>49.077600000000011</v>
      </c>
      <c r="H45" s="104">
        <f t="shared" si="2"/>
        <v>48.142788571428582</v>
      </c>
      <c r="I45" s="104">
        <f t="shared" si="3"/>
        <v>55.145376000000006</v>
      </c>
      <c r="J45" s="133"/>
      <c r="K45" s="110">
        <f t="shared" si="4"/>
        <v>50.132159999999999</v>
      </c>
      <c r="L45" s="88"/>
      <c r="M45" s="2"/>
    </row>
    <row r="46" spans="1:13" ht="22.5" customHeight="1">
      <c r="A46" s="2" t="s">
        <v>145</v>
      </c>
      <c r="B46" s="2" t="s">
        <v>144</v>
      </c>
      <c r="D46" s="13" t="s">
        <v>146</v>
      </c>
      <c r="E46" s="14">
        <v>664.14400000000001</v>
      </c>
      <c r="F46" s="104">
        <f t="shared" si="0"/>
        <v>24.35194666666667</v>
      </c>
      <c r="G46" s="104">
        <f t="shared" si="1"/>
        <v>23.64266666666667</v>
      </c>
      <c r="H46" s="104">
        <f t="shared" si="2"/>
        <v>23.192330158730165</v>
      </c>
      <c r="I46" s="104">
        <f t="shared" si="3"/>
        <v>26.565760000000001</v>
      </c>
      <c r="J46" s="133"/>
      <c r="K46" s="110">
        <f t="shared" si="4"/>
        <v>24.150690909090908</v>
      </c>
      <c r="L46" s="88"/>
      <c r="M46" s="2"/>
    </row>
    <row r="47" spans="1:13" ht="22.5" customHeight="1">
      <c r="A47" s="2" t="s">
        <v>148</v>
      </c>
      <c r="B47" s="2" t="s">
        <v>147</v>
      </c>
      <c r="D47" s="13" t="s">
        <v>149</v>
      </c>
      <c r="E47" s="14">
        <v>760.55200000000002</v>
      </c>
      <c r="F47" s="104">
        <f t="shared" si="0"/>
        <v>27.886906666666668</v>
      </c>
      <c r="G47" s="104">
        <f t="shared" si="1"/>
        <v>27.074666666666669</v>
      </c>
      <c r="H47" s="104">
        <f t="shared" si="2"/>
        <v>26.558958730158732</v>
      </c>
      <c r="I47" s="104">
        <f t="shared" si="3"/>
        <v>30.422080000000001</v>
      </c>
      <c r="J47" s="133"/>
      <c r="K47" s="110">
        <f t="shared" si="4"/>
        <v>27.656436363636367</v>
      </c>
      <c r="L47" s="88"/>
      <c r="M47" s="2"/>
    </row>
    <row r="48" spans="1:13" ht="22.5" customHeight="1">
      <c r="A48" s="2" t="s">
        <v>151</v>
      </c>
      <c r="B48" s="2" t="s">
        <v>150</v>
      </c>
      <c r="D48" s="13" t="s">
        <v>152</v>
      </c>
      <c r="E48" s="14">
        <v>674.85599999999999</v>
      </c>
      <c r="F48" s="104">
        <f t="shared" si="0"/>
        <v>24.744720000000004</v>
      </c>
      <c r="G48" s="104">
        <f t="shared" si="1"/>
        <v>24.024000000000008</v>
      </c>
      <c r="H48" s="104">
        <f t="shared" si="2"/>
        <v>23.566400000000005</v>
      </c>
      <c r="I48" s="104">
        <f t="shared" si="3"/>
        <v>26.994239999999998</v>
      </c>
      <c r="J48" s="133"/>
      <c r="K48" s="110">
        <f t="shared" si="4"/>
        <v>24.540218181818179</v>
      </c>
      <c r="L48" s="88"/>
      <c r="M48" s="2"/>
    </row>
    <row r="49" spans="1:13" ht="22.5" customHeight="1">
      <c r="A49" s="2" t="s">
        <v>154</v>
      </c>
      <c r="B49" s="2" t="s">
        <v>153</v>
      </c>
      <c r="D49" s="13" t="s">
        <v>155</v>
      </c>
      <c r="E49" s="14">
        <v>674.85599999999999</v>
      </c>
      <c r="F49" s="104">
        <f t="shared" si="0"/>
        <v>24.744720000000004</v>
      </c>
      <c r="G49" s="104">
        <f t="shared" si="1"/>
        <v>24.024000000000008</v>
      </c>
      <c r="H49" s="104">
        <f t="shared" si="2"/>
        <v>23.566400000000005</v>
      </c>
      <c r="I49" s="104">
        <f t="shared" si="3"/>
        <v>26.994239999999998</v>
      </c>
      <c r="J49" s="133"/>
      <c r="K49" s="110">
        <f t="shared" si="4"/>
        <v>24.540218181818179</v>
      </c>
      <c r="L49" s="88"/>
      <c r="M49" s="2"/>
    </row>
    <row r="50" spans="1:13" ht="22.5" customHeight="1">
      <c r="A50" s="2" t="s">
        <v>157</v>
      </c>
      <c r="B50" s="2" t="s">
        <v>156</v>
      </c>
      <c r="D50" s="13" t="s">
        <v>158</v>
      </c>
      <c r="E50" s="14">
        <v>524.88800000000003</v>
      </c>
      <c r="F50" s="104">
        <f t="shared" si="0"/>
        <v>19.245893333333338</v>
      </c>
      <c r="G50" s="104">
        <f t="shared" si="1"/>
        <v>18.68533333333334</v>
      </c>
      <c r="H50" s="104">
        <f t="shared" si="2"/>
        <v>18.329422222222227</v>
      </c>
      <c r="I50" s="104">
        <f t="shared" si="3"/>
        <v>20.995519999999999</v>
      </c>
      <c r="J50" s="133"/>
      <c r="K50" s="110">
        <f t="shared" si="4"/>
        <v>19.086836363636362</v>
      </c>
      <c r="L50" s="88"/>
      <c r="M50" s="2"/>
    </row>
    <row r="51" spans="1:13" ht="22.5" customHeight="1">
      <c r="A51" s="2" t="s">
        <v>160</v>
      </c>
      <c r="B51" s="2" t="s">
        <v>159</v>
      </c>
      <c r="D51" s="13" t="s">
        <v>161</v>
      </c>
      <c r="E51" s="14">
        <v>724.13119999999992</v>
      </c>
      <c r="F51" s="104">
        <f t="shared" si="0"/>
        <v>26.551477333333331</v>
      </c>
      <c r="G51" s="104">
        <f t="shared" si="1"/>
        <v>25.778133333333333</v>
      </c>
      <c r="H51" s="104">
        <f t="shared" si="2"/>
        <v>25.287121269841268</v>
      </c>
      <c r="I51" s="104">
        <f t="shared" si="3"/>
        <v>28.965247999999995</v>
      </c>
      <c r="J51" s="133"/>
      <c r="K51" s="110">
        <f t="shared" si="4"/>
        <v>26.332043636363633</v>
      </c>
      <c r="L51" s="88"/>
      <c r="M51" s="2"/>
    </row>
    <row r="52" spans="1:13" ht="22.5" customHeight="1">
      <c r="A52" s="2" t="s">
        <v>163</v>
      </c>
      <c r="B52" s="2" t="s">
        <v>162</v>
      </c>
      <c r="D52" s="13" t="s">
        <v>164</v>
      </c>
      <c r="E52" s="14">
        <v>724.13119999999992</v>
      </c>
      <c r="F52" s="104">
        <f t="shared" si="0"/>
        <v>26.551477333333331</v>
      </c>
      <c r="G52" s="104">
        <f t="shared" si="1"/>
        <v>25.778133333333333</v>
      </c>
      <c r="H52" s="104">
        <f t="shared" si="2"/>
        <v>25.287121269841268</v>
      </c>
      <c r="I52" s="104">
        <f t="shared" si="3"/>
        <v>28.965247999999995</v>
      </c>
      <c r="J52" s="133"/>
      <c r="K52" s="110">
        <f t="shared" si="4"/>
        <v>26.332043636363633</v>
      </c>
      <c r="L52" s="88"/>
      <c r="M52" s="2"/>
    </row>
    <row r="53" spans="1:13" ht="22.5" customHeight="1">
      <c r="A53" s="2" t="s">
        <v>166</v>
      </c>
      <c r="B53" s="2" t="s">
        <v>165</v>
      </c>
      <c r="D53" s="13" t="s">
        <v>167</v>
      </c>
      <c r="E53" s="14">
        <v>724.13119999999992</v>
      </c>
      <c r="F53" s="104">
        <f t="shared" si="0"/>
        <v>26.551477333333331</v>
      </c>
      <c r="G53" s="104">
        <f t="shared" si="1"/>
        <v>25.778133333333333</v>
      </c>
      <c r="H53" s="104">
        <f t="shared" si="2"/>
        <v>25.287121269841268</v>
      </c>
      <c r="I53" s="104">
        <f t="shared" si="3"/>
        <v>28.965247999999995</v>
      </c>
      <c r="J53" s="133"/>
      <c r="K53" s="110">
        <f t="shared" si="4"/>
        <v>26.332043636363633</v>
      </c>
      <c r="L53" s="88"/>
      <c r="M53" s="2"/>
    </row>
    <row r="54" spans="1:13" ht="22.5" customHeight="1">
      <c r="A54" s="2" t="s">
        <v>169</v>
      </c>
      <c r="B54" s="2" t="s">
        <v>168</v>
      </c>
      <c r="D54" s="13" t="s">
        <v>170</v>
      </c>
      <c r="E54" s="14">
        <v>674.85599999999999</v>
      </c>
      <c r="F54" s="104">
        <f t="shared" si="0"/>
        <v>24.744720000000004</v>
      </c>
      <c r="G54" s="104">
        <f t="shared" si="1"/>
        <v>24.024000000000008</v>
      </c>
      <c r="H54" s="104">
        <f t="shared" si="2"/>
        <v>23.566400000000005</v>
      </c>
      <c r="I54" s="104">
        <f t="shared" si="3"/>
        <v>26.994239999999998</v>
      </c>
      <c r="J54" s="133"/>
      <c r="K54" s="110">
        <f t="shared" si="4"/>
        <v>24.540218181818179</v>
      </c>
      <c r="L54" s="88"/>
      <c r="M54" s="2"/>
    </row>
    <row r="55" spans="1:13" ht="22.5" customHeight="1">
      <c r="A55" s="2" t="s">
        <v>172</v>
      </c>
      <c r="B55" s="2" t="s">
        <v>171</v>
      </c>
      <c r="D55" s="13" t="s">
        <v>173</v>
      </c>
      <c r="E55" s="14">
        <v>851.60400000000004</v>
      </c>
      <c r="F55" s="104">
        <f t="shared" si="0"/>
        <v>31.225480000000005</v>
      </c>
      <c r="G55" s="104">
        <f t="shared" si="1"/>
        <v>30.316000000000006</v>
      </c>
      <c r="H55" s="104">
        <f t="shared" si="2"/>
        <v>29.738552380952388</v>
      </c>
      <c r="I55" s="104">
        <f t="shared" si="3"/>
        <v>34.064160000000001</v>
      </c>
      <c r="J55" s="133"/>
      <c r="K55" s="110">
        <f t="shared" si="4"/>
        <v>30.967418181818182</v>
      </c>
      <c r="L55" s="88"/>
      <c r="M55" s="2"/>
    </row>
    <row r="56" spans="1:13" ht="22.5" customHeight="1">
      <c r="A56" s="2" t="s">
        <v>175</v>
      </c>
      <c r="B56" s="2" t="s">
        <v>174</v>
      </c>
      <c r="D56" s="13" t="s">
        <v>176</v>
      </c>
      <c r="E56" s="14">
        <v>724.13119999999992</v>
      </c>
      <c r="F56" s="104">
        <f t="shared" si="0"/>
        <v>26.551477333333331</v>
      </c>
      <c r="G56" s="104">
        <f t="shared" si="1"/>
        <v>25.778133333333333</v>
      </c>
      <c r="H56" s="104">
        <f t="shared" si="2"/>
        <v>25.287121269841268</v>
      </c>
      <c r="I56" s="104">
        <f t="shared" si="3"/>
        <v>28.965247999999995</v>
      </c>
      <c r="J56" s="133"/>
      <c r="K56" s="110">
        <f t="shared" si="4"/>
        <v>26.332043636363633</v>
      </c>
      <c r="L56" s="88"/>
      <c r="M56" s="2"/>
    </row>
    <row r="57" spans="1:13" ht="22.5" customHeight="1">
      <c r="A57" s="2" t="s">
        <v>178</v>
      </c>
      <c r="B57" s="2" t="s">
        <v>177</v>
      </c>
      <c r="D57" s="13" t="s">
        <v>8082</v>
      </c>
      <c r="E57" s="14">
        <v>524.88800000000003</v>
      </c>
      <c r="F57" s="104">
        <f t="shared" si="0"/>
        <v>19.245893333333338</v>
      </c>
      <c r="G57" s="104">
        <f t="shared" si="1"/>
        <v>18.68533333333334</v>
      </c>
      <c r="H57" s="104">
        <f t="shared" si="2"/>
        <v>18.329422222222227</v>
      </c>
      <c r="I57" s="104">
        <f t="shared" si="3"/>
        <v>20.995519999999999</v>
      </c>
      <c r="J57" s="133"/>
      <c r="K57" s="110">
        <f t="shared" si="4"/>
        <v>19.086836363636362</v>
      </c>
      <c r="L57" s="88"/>
      <c r="M57" s="2"/>
    </row>
    <row r="58" spans="1:13" ht="22.5" customHeight="1">
      <c r="A58" s="2" t="s">
        <v>180</v>
      </c>
      <c r="B58" s="2" t="s">
        <v>179</v>
      </c>
      <c r="D58" s="13" t="s">
        <v>181</v>
      </c>
      <c r="E58" s="14">
        <v>596.65840000000003</v>
      </c>
      <c r="F58" s="104">
        <f t="shared" si="0"/>
        <v>21.877474666666668</v>
      </c>
      <c r="G58" s="104">
        <f t="shared" si="1"/>
        <v>21.240266666666667</v>
      </c>
      <c r="H58" s="104">
        <f t="shared" si="2"/>
        <v>20.835690158730159</v>
      </c>
      <c r="I58" s="104">
        <f t="shared" si="3"/>
        <v>23.866336</v>
      </c>
      <c r="J58" s="133"/>
      <c r="K58" s="110">
        <f t="shared" si="4"/>
        <v>21.696669090909094</v>
      </c>
      <c r="L58" s="88"/>
      <c r="M58" s="2"/>
    </row>
    <row r="59" spans="1:13" ht="22.5" customHeight="1">
      <c r="A59" s="2" t="s">
        <v>183</v>
      </c>
      <c r="B59" s="2" t="s">
        <v>182</v>
      </c>
      <c r="D59" s="13" t="s">
        <v>184</v>
      </c>
      <c r="E59" s="14">
        <v>596.65840000000003</v>
      </c>
      <c r="F59" s="104">
        <f t="shared" si="0"/>
        <v>21.877474666666668</v>
      </c>
      <c r="G59" s="104">
        <f t="shared" si="1"/>
        <v>21.240266666666667</v>
      </c>
      <c r="H59" s="104">
        <f t="shared" si="2"/>
        <v>20.835690158730159</v>
      </c>
      <c r="I59" s="104">
        <f t="shared" si="3"/>
        <v>23.866336</v>
      </c>
      <c r="J59" s="133"/>
      <c r="K59" s="110">
        <f t="shared" si="4"/>
        <v>21.696669090909094</v>
      </c>
      <c r="L59" s="88"/>
      <c r="M59" s="2"/>
    </row>
    <row r="60" spans="1:13" ht="22.5" customHeight="1">
      <c r="A60" s="2" t="s">
        <v>186</v>
      </c>
      <c r="B60" s="2" t="s">
        <v>185</v>
      </c>
      <c r="D60" s="13" t="s">
        <v>187</v>
      </c>
      <c r="E60" s="14">
        <v>724.13119999999992</v>
      </c>
      <c r="F60" s="104">
        <f t="shared" si="0"/>
        <v>26.551477333333331</v>
      </c>
      <c r="G60" s="104">
        <f t="shared" si="1"/>
        <v>25.778133333333333</v>
      </c>
      <c r="H60" s="104">
        <f t="shared" si="2"/>
        <v>25.287121269841268</v>
      </c>
      <c r="I60" s="104">
        <f t="shared" si="3"/>
        <v>28.965247999999995</v>
      </c>
      <c r="J60" s="133"/>
      <c r="K60" s="110">
        <f t="shared" si="4"/>
        <v>26.332043636363633</v>
      </c>
      <c r="L60" s="88"/>
      <c r="M60" s="2"/>
    </row>
    <row r="61" spans="1:13" ht="22.5" customHeight="1">
      <c r="A61" s="2" t="s">
        <v>189</v>
      </c>
      <c r="B61" s="2" t="s">
        <v>188</v>
      </c>
      <c r="D61" s="13" t="s">
        <v>190</v>
      </c>
      <c r="E61" s="14">
        <v>955.5104</v>
      </c>
      <c r="F61" s="104">
        <f t="shared" si="0"/>
        <v>35.035381333333341</v>
      </c>
      <c r="G61" s="104">
        <f t="shared" si="1"/>
        <v>34.014933333333339</v>
      </c>
      <c r="H61" s="104">
        <f t="shared" si="2"/>
        <v>33.367029841269847</v>
      </c>
      <c r="I61" s="104">
        <f t="shared" si="3"/>
        <v>38.220416</v>
      </c>
      <c r="J61" s="133"/>
      <c r="K61" s="110">
        <f t="shared" si="4"/>
        <v>34.745832727272727</v>
      </c>
      <c r="L61" s="88"/>
      <c r="M61" s="2"/>
    </row>
    <row r="62" spans="1:13" ht="22.5" customHeight="1">
      <c r="A62" s="2" t="s">
        <v>192</v>
      </c>
      <c r="B62" s="2" t="s">
        <v>191</v>
      </c>
      <c r="D62" s="13" t="s">
        <v>193</v>
      </c>
      <c r="E62" s="14">
        <v>964.08</v>
      </c>
      <c r="F62" s="104">
        <f t="shared" si="0"/>
        <v>35.349600000000002</v>
      </c>
      <c r="G62" s="104">
        <f t="shared" si="1"/>
        <v>34.32</v>
      </c>
      <c r="H62" s="104">
        <f t="shared" si="2"/>
        <v>33.666285714285713</v>
      </c>
      <c r="I62" s="104">
        <f t="shared" si="3"/>
        <v>38.563200000000002</v>
      </c>
      <c r="J62" s="133"/>
      <c r="K62" s="110">
        <f t="shared" si="4"/>
        <v>35.057454545454547</v>
      </c>
      <c r="L62" s="88"/>
      <c r="M62" s="2"/>
    </row>
    <row r="63" spans="1:13" ht="22.5" customHeight="1">
      <c r="A63" s="2" t="s">
        <v>195</v>
      </c>
      <c r="B63" s="2" t="s">
        <v>194</v>
      </c>
      <c r="D63" s="13" t="s">
        <v>196</v>
      </c>
      <c r="E63" s="14">
        <v>921.23200000000008</v>
      </c>
      <c r="F63" s="104">
        <f t="shared" si="0"/>
        <v>33.778506666666672</v>
      </c>
      <c r="G63" s="104">
        <f t="shared" si="1"/>
        <v>32.794666666666672</v>
      </c>
      <c r="H63" s="104">
        <f t="shared" si="2"/>
        <v>32.170006349206353</v>
      </c>
      <c r="I63" s="104">
        <f t="shared" si="3"/>
        <v>36.84928</v>
      </c>
      <c r="J63" s="133"/>
      <c r="K63" s="110">
        <f t="shared" si="4"/>
        <v>33.499345454545455</v>
      </c>
      <c r="L63" s="88"/>
      <c r="M63" s="2"/>
    </row>
    <row r="64" spans="1:13" ht="22.5" customHeight="1">
      <c r="A64" s="2" t="s">
        <v>198</v>
      </c>
      <c r="B64" s="2" t="s">
        <v>197</v>
      </c>
      <c r="D64" s="13" t="s">
        <v>199</v>
      </c>
      <c r="E64" s="14">
        <v>878.38400000000001</v>
      </c>
      <c r="F64" s="104">
        <f t="shared" si="0"/>
        <v>32.207413333333335</v>
      </c>
      <c r="G64" s="104">
        <f t="shared" si="1"/>
        <v>31.269333333333332</v>
      </c>
      <c r="H64" s="104">
        <f t="shared" si="2"/>
        <v>30.673726984126986</v>
      </c>
      <c r="I64" s="104">
        <f t="shared" si="3"/>
        <v>35.135359999999999</v>
      </c>
      <c r="J64" s="133"/>
      <c r="K64" s="110">
        <f t="shared" si="4"/>
        <v>31.941236363636364</v>
      </c>
      <c r="L64" s="88"/>
      <c r="M64" s="2"/>
    </row>
    <row r="65" spans="1:13" ht="22.5" customHeight="1">
      <c r="A65" s="2" t="s">
        <v>201</v>
      </c>
      <c r="B65" s="2" t="s">
        <v>200</v>
      </c>
      <c r="D65" s="13" t="s">
        <v>202</v>
      </c>
      <c r="E65" s="14">
        <v>749.84</v>
      </c>
      <c r="F65" s="104">
        <f t="shared" si="0"/>
        <v>27.494133333333334</v>
      </c>
      <c r="G65" s="104">
        <f t="shared" si="1"/>
        <v>26.693333333333335</v>
      </c>
      <c r="H65" s="104">
        <f t="shared" si="2"/>
        <v>26.184888888888889</v>
      </c>
      <c r="I65" s="104">
        <f t="shared" si="3"/>
        <v>29.993600000000001</v>
      </c>
      <c r="J65" s="133"/>
      <c r="K65" s="110">
        <f t="shared" si="4"/>
        <v>27.266909090909092</v>
      </c>
      <c r="L65" s="88"/>
      <c r="M65" s="2"/>
    </row>
    <row r="66" spans="1:13" ht="22.5" customHeight="1">
      <c r="A66" s="2" t="s">
        <v>204</v>
      </c>
      <c r="B66" s="2" t="s">
        <v>203</v>
      </c>
      <c r="D66" s="13" t="s">
        <v>205</v>
      </c>
      <c r="E66" s="14">
        <v>749.84</v>
      </c>
      <c r="F66" s="104">
        <f t="shared" ref="F66:F129" si="5">+(E66*1.1/30)</f>
        <v>27.494133333333334</v>
      </c>
      <c r="G66" s="104">
        <f t="shared" ref="G66:G129" si="6">+(F66*100/103)</f>
        <v>26.693333333333335</v>
      </c>
      <c r="H66" s="104">
        <f t="shared" ref="H66:H129" si="7">+(F66*100/105)</f>
        <v>26.184888888888889</v>
      </c>
      <c r="I66" s="104">
        <f t="shared" ref="I66:I129" si="8">+(E66*1.2/30)</f>
        <v>29.993600000000001</v>
      </c>
      <c r="J66" s="133"/>
      <c r="K66" s="110">
        <f t="shared" ref="K66:K129" si="9">+(E66*1.2/33)</f>
        <v>27.266909090909092</v>
      </c>
      <c r="L66" s="88"/>
      <c r="M66" s="2"/>
    </row>
    <row r="67" spans="1:13" ht="22.5" customHeight="1">
      <c r="A67" s="2" t="s">
        <v>207</v>
      </c>
      <c r="B67" s="2" t="s">
        <v>206</v>
      </c>
      <c r="D67" s="13" t="s">
        <v>208</v>
      </c>
      <c r="E67" s="14">
        <v>792.6880000000001</v>
      </c>
      <c r="F67" s="104">
        <f t="shared" si="5"/>
        <v>29.065226666666671</v>
      </c>
      <c r="G67" s="104">
        <f t="shared" si="6"/>
        <v>28.218666666666671</v>
      </c>
      <c r="H67" s="104">
        <f t="shared" si="7"/>
        <v>27.681168253968259</v>
      </c>
      <c r="I67" s="104">
        <f t="shared" si="8"/>
        <v>31.707520000000002</v>
      </c>
      <c r="J67" s="133"/>
      <c r="K67" s="110">
        <f t="shared" si="9"/>
        <v>28.825018181818184</v>
      </c>
      <c r="L67" s="88"/>
      <c r="M67" s="2"/>
    </row>
    <row r="68" spans="1:13" ht="22.5" customHeight="1">
      <c r="A68" s="2" t="s">
        <v>210</v>
      </c>
      <c r="B68" s="2" t="s">
        <v>209</v>
      </c>
      <c r="D68" s="13" t="s">
        <v>211</v>
      </c>
      <c r="E68" s="14">
        <v>724.13119999999992</v>
      </c>
      <c r="F68" s="104">
        <f t="shared" si="5"/>
        <v>26.551477333333331</v>
      </c>
      <c r="G68" s="104">
        <f t="shared" si="6"/>
        <v>25.778133333333333</v>
      </c>
      <c r="H68" s="104">
        <f t="shared" si="7"/>
        <v>25.287121269841268</v>
      </c>
      <c r="I68" s="104">
        <f t="shared" si="8"/>
        <v>28.965247999999995</v>
      </c>
      <c r="J68" s="133"/>
      <c r="K68" s="110">
        <f t="shared" si="9"/>
        <v>26.332043636363633</v>
      </c>
      <c r="L68" s="88"/>
      <c r="M68" s="2"/>
    </row>
    <row r="69" spans="1:13" ht="22.5" customHeight="1">
      <c r="A69" s="2" t="s">
        <v>213</v>
      </c>
      <c r="B69" s="2" t="s">
        <v>212</v>
      </c>
      <c r="D69" s="13" t="s">
        <v>214</v>
      </c>
      <c r="E69" s="14">
        <v>664.14400000000001</v>
      </c>
      <c r="F69" s="104">
        <f t="shared" si="5"/>
        <v>24.35194666666667</v>
      </c>
      <c r="G69" s="104">
        <f t="shared" si="6"/>
        <v>23.64266666666667</v>
      </c>
      <c r="H69" s="104">
        <f t="shared" si="7"/>
        <v>23.192330158730165</v>
      </c>
      <c r="I69" s="104">
        <f t="shared" si="8"/>
        <v>26.565760000000001</v>
      </c>
      <c r="J69" s="133"/>
      <c r="K69" s="110">
        <f t="shared" si="9"/>
        <v>24.150690909090908</v>
      </c>
      <c r="L69" s="88"/>
      <c r="M69" s="2"/>
    </row>
    <row r="70" spans="1:13" ht="22.5" customHeight="1">
      <c r="A70" s="2" t="s">
        <v>216</v>
      </c>
      <c r="B70" s="2" t="s">
        <v>215</v>
      </c>
      <c r="D70" s="13" t="s">
        <v>217</v>
      </c>
      <c r="E70" s="14">
        <v>653.43200000000002</v>
      </c>
      <c r="F70" s="104">
        <f t="shared" si="5"/>
        <v>23.959173333333336</v>
      </c>
      <c r="G70" s="104">
        <f t="shared" si="6"/>
        <v>23.261333333333337</v>
      </c>
      <c r="H70" s="104">
        <f t="shared" si="7"/>
        <v>22.818260317460322</v>
      </c>
      <c r="I70" s="104">
        <f t="shared" si="8"/>
        <v>26.137279999999997</v>
      </c>
      <c r="J70" s="133"/>
      <c r="K70" s="110">
        <f t="shared" si="9"/>
        <v>23.761163636363634</v>
      </c>
      <c r="L70" s="88"/>
      <c r="M70" s="2"/>
    </row>
    <row r="71" spans="1:13" ht="22.5" customHeight="1">
      <c r="A71" s="2" t="s">
        <v>219</v>
      </c>
      <c r="B71" s="2" t="s">
        <v>218</v>
      </c>
      <c r="D71" s="13" t="s">
        <v>220</v>
      </c>
      <c r="E71" s="14">
        <v>724.13119999999992</v>
      </c>
      <c r="F71" s="104">
        <f t="shared" si="5"/>
        <v>26.551477333333331</v>
      </c>
      <c r="G71" s="104">
        <f t="shared" si="6"/>
        <v>25.778133333333333</v>
      </c>
      <c r="H71" s="104">
        <f t="shared" si="7"/>
        <v>25.287121269841268</v>
      </c>
      <c r="I71" s="104">
        <f t="shared" si="8"/>
        <v>28.965247999999995</v>
      </c>
      <c r="J71" s="133"/>
      <c r="K71" s="110">
        <f t="shared" si="9"/>
        <v>26.332043636363633</v>
      </c>
      <c r="L71" s="88"/>
      <c r="M71" s="2"/>
    </row>
    <row r="72" spans="1:13" ht="22.5" customHeight="1">
      <c r="A72" s="2" t="s">
        <v>222</v>
      </c>
      <c r="B72" s="2" t="s">
        <v>221</v>
      </c>
      <c r="D72" s="13" t="s">
        <v>223</v>
      </c>
      <c r="E72" s="14">
        <v>674.85599999999999</v>
      </c>
      <c r="F72" s="104">
        <f t="shared" si="5"/>
        <v>24.744720000000004</v>
      </c>
      <c r="G72" s="104">
        <f t="shared" si="6"/>
        <v>24.024000000000008</v>
      </c>
      <c r="H72" s="104">
        <f t="shared" si="7"/>
        <v>23.566400000000005</v>
      </c>
      <c r="I72" s="104">
        <f t="shared" si="8"/>
        <v>26.994239999999998</v>
      </c>
      <c r="J72" s="133"/>
      <c r="K72" s="110">
        <f t="shared" si="9"/>
        <v>24.540218181818179</v>
      </c>
      <c r="L72" s="88"/>
      <c r="M72" s="2"/>
    </row>
    <row r="73" spans="1:13" ht="22.5" customHeight="1">
      <c r="A73" s="2" t="s">
        <v>225</v>
      </c>
      <c r="B73" s="2" t="s">
        <v>224</v>
      </c>
      <c r="D73" s="13" t="s">
        <v>226</v>
      </c>
      <c r="E73" s="14">
        <v>664.14400000000001</v>
      </c>
      <c r="F73" s="104">
        <f t="shared" si="5"/>
        <v>24.35194666666667</v>
      </c>
      <c r="G73" s="104">
        <f t="shared" si="6"/>
        <v>23.64266666666667</v>
      </c>
      <c r="H73" s="104">
        <f t="shared" si="7"/>
        <v>23.192330158730165</v>
      </c>
      <c r="I73" s="104">
        <f t="shared" si="8"/>
        <v>26.565760000000001</v>
      </c>
      <c r="J73" s="133"/>
      <c r="K73" s="110">
        <f t="shared" si="9"/>
        <v>24.150690909090908</v>
      </c>
      <c r="L73" s="88"/>
      <c r="M73" s="2"/>
    </row>
    <row r="74" spans="1:13" ht="22.5" customHeight="1">
      <c r="A74" s="2" t="s">
        <v>228</v>
      </c>
      <c r="B74" s="2" t="s">
        <v>227</v>
      </c>
      <c r="D74" s="13" t="s">
        <v>229</v>
      </c>
      <c r="F74" s="104">
        <f t="shared" si="5"/>
        <v>0</v>
      </c>
      <c r="G74" s="104">
        <f t="shared" si="6"/>
        <v>0</v>
      </c>
      <c r="H74" s="104">
        <f t="shared" si="7"/>
        <v>0</v>
      </c>
      <c r="I74" s="104">
        <f t="shared" si="8"/>
        <v>0</v>
      </c>
      <c r="J74" s="133"/>
      <c r="K74" s="110">
        <f t="shared" si="9"/>
        <v>0</v>
      </c>
      <c r="L74" s="88"/>
      <c r="M74" s="2"/>
    </row>
    <row r="75" spans="1:13" ht="22.5" customHeight="1">
      <c r="A75" s="2" t="s">
        <v>231</v>
      </c>
      <c r="B75" s="2" t="s">
        <v>230</v>
      </c>
      <c r="D75" s="13" t="s">
        <v>232</v>
      </c>
      <c r="E75" s="14">
        <v>653.43200000000002</v>
      </c>
      <c r="F75" s="104">
        <f t="shared" si="5"/>
        <v>23.959173333333336</v>
      </c>
      <c r="G75" s="104">
        <f t="shared" si="6"/>
        <v>23.261333333333337</v>
      </c>
      <c r="H75" s="104">
        <f t="shared" si="7"/>
        <v>22.818260317460322</v>
      </c>
      <c r="I75" s="104">
        <f t="shared" si="8"/>
        <v>26.137279999999997</v>
      </c>
      <c r="J75" s="133"/>
      <c r="K75" s="110">
        <f t="shared" si="9"/>
        <v>23.761163636363634</v>
      </c>
      <c r="L75" s="88"/>
      <c r="M75" s="2"/>
    </row>
    <row r="76" spans="1:13" ht="22.5" customHeight="1">
      <c r="A76" s="2" t="s">
        <v>234</v>
      </c>
      <c r="B76" s="2" t="s">
        <v>233</v>
      </c>
      <c r="D76" s="13" t="s">
        <v>235</v>
      </c>
      <c r="E76" s="14">
        <v>664.14400000000001</v>
      </c>
      <c r="F76" s="104">
        <f t="shared" si="5"/>
        <v>24.35194666666667</v>
      </c>
      <c r="G76" s="104">
        <f t="shared" si="6"/>
        <v>23.64266666666667</v>
      </c>
      <c r="H76" s="104">
        <f t="shared" si="7"/>
        <v>23.192330158730165</v>
      </c>
      <c r="I76" s="104">
        <f t="shared" si="8"/>
        <v>26.565760000000001</v>
      </c>
      <c r="J76" s="133"/>
      <c r="K76" s="110">
        <f t="shared" si="9"/>
        <v>24.150690909090908</v>
      </c>
      <c r="L76" s="88"/>
      <c r="M76" s="2"/>
    </row>
    <row r="77" spans="1:13" ht="22.5" customHeight="1">
      <c r="A77" s="2" t="s">
        <v>237</v>
      </c>
      <c r="B77" s="2" t="s">
        <v>236</v>
      </c>
      <c r="D77" s="13" t="s">
        <v>238</v>
      </c>
      <c r="E77" s="14">
        <v>724.13119999999992</v>
      </c>
      <c r="F77" s="104">
        <f t="shared" si="5"/>
        <v>26.551477333333331</v>
      </c>
      <c r="G77" s="104">
        <f t="shared" si="6"/>
        <v>25.778133333333333</v>
      </c>
      <c r="H77" s="104">
        <f t="shared" si="7"/>
        <v>25.287121269841268</v>
      </c>
      <c r="I77" s="104">
        <f t="shared" si="8"/>
        <v>28.965247999999995</v>
      </c>
      <c r="J77" s="133"/>
      <c r="K77" s="110">
        <f t="shared" si="9"/>
        <v>26.332043636363633</v>
      </c>
      <c r="L77" s="88"/>
      <c r="M77" s="2"/>
    </row>
    <row r="78" spans="1:13" ht="22.5" customHeight="1">
      <c r="A78" s="2" t="s">
        <v>240</v>
      </c>
      <c r="B78" s="2" t="s">
        <v>239</v>
      </c>
      <c r="D78" s="13" t="s">
        <v>241</v>
      </c>
      <c r="E78" s="14">
        <v>664.14400000000001</v>
      </c>
      <c r="F78" s="104">
        <f t="shared" si="5"/>
        <v>24.35194666666667</v>
      </c>
      <c r="G78" s="104">
        <f t="shared" si="6"/>
        <v>23.64266666666667</v>
      </c>
      <c r="H78" s="104">
        <f t="shared" si="7"/>
        <v>23.192330158730165</v>
      </c>
      <c r="I78" s="104">
        <f t="shared" si="8"/>
        <v>26.565760000000001</v>
      </c>
      <c r="J78" s="133"/>
      <c r="K78" s="110">
        <f t="shared" si="9"/>
        <v>24.150690909090908</v>
      </c>
      <c r="L78" s="88"/>
      <c r="M78" s="2"/>
    </row>
    <row r="79" spans="1:13" ht="22.5" customHeight="1">
      <c r="A79" s="2" t="s">
        <v>243</v>
      </c>
      <c r="B79" s="2" t="s">
        <v>242</v>
      </c>
      <c r="D79" s="13" t="s">
        <v>244</v>
      </c>
      <c r="E79" s="14">
        <v>724.13119999999992</v>
      </c>
      <c r="F79" s="104">
        <f t="shared" si="5"/>
        <v>26.551477333333331</v>
      </c>
      <c r="G79" s="104">
        <f t="shared" si="6"/>
        <v>25.778133333333333</v>
      </c>
      <c r="H79" s="104">
        <f t="shared" si="7"/>
        <v>25.287121269841268</v>
      </c>
      <c r="I79" s="104">
        <f t="shared" si="8"/>
        <v>28.965247999999995</v>
      </c>
      <c r="J79" s="133"/>
      <c r="K79" s="110">
        <f t="shared" si="9"/>
        <v>26.332043636363633</v>
      </c>
      <c r="L79" s="88"/>
      <c r="M79" s="2"/>
    </row>
    <row r="80" spans="1:13" ht="22.5" customHeight="1">
      <c r="A80" s="2" t="s">
        <v>246</v>
      </c>
      <c r="B80" s="2" t="s">
        <v>245</v>
      </c>
      <c r="D80" s="13" t="s">
        <v>247</v>
      </c>
      <c r="E80" s="14">
        <v>664.14400000000001</v>
      </c>
      <c r="F80" s="104">
        <f t="shared" si="5"/>
        <v>24.35194666666667</v>
      </c>
      <c r="G80" s="104">
        <f t="shared" si="6"/>
        <v>23.64266666666667</v>
      </c>
      <c r="H80" s="104">
        <f t="shared" si="7"/>
        <v>23.192330158730165</v>
      </c>
      <c r="I80" s="104">
        <f t="shared" si="8"/>
        <v>26.565760000000001</v>
      </c>
      <c r="J80" s="133"/>
      <c r="K80" s="110">
        <f t="shared" si="9"/>
        <v>24.150690909090908</v>
      </c>
      <c r="L80" s="88"/>
      <c r="M80" s="2"/>
    </row>
    <row r="81" spans="1:13" ht="22.5" customHeight="1">
      <c r="A81" s="2" t="s">
        <v>249</v>
      </c>
      <c r="B81" s="2" t="s">
        <v>248</v>
      </c>
      <c r="D81" s="13" t="s">
        <v>250</v>
      </c>
      <c r="E81" s="14">
        <v>749.84</v>
      </c>
      <c r="F81" s="104">
        <f t="shared" si="5"/>
        <v>27.494133333333334</v>
      </c>
      <c r="G81" s="104">
        <f t="shared" si="6"/>
        <v>26.693333333333335</v>
      </c>
      <c r="H81" s="104">
        <f t="shared" si="7"/>
        <v>26.184888888888889</v>
      </c>
      <c r="I81" s="104">
        <f t="shared" si="8"/>
        <v>29.993600000000001</v>
      </c>
      <c r="J81" s="133"/>
      <c r="K81" s="110">
        <f t="shared" si="9"/>
        <v>27.266909090909092</v>
      </c>
      <c r="L81" s="88"/>
      <c r="M81" s="2"/>
    </row>
    <row r="82" spans="1:13" ht="22.5" customHeight="1">
      <c r="A82" s="2" t="s">
        <v>252</v>
      </c>
      <c r="B82" s="2" t="s">
        <v>251</v>
      </c>
      <c r="D82" s="13" t="s">
        <v>253</v>
      </c>
      <c r="E82" s="14">
        <v>664.14400000000001</v>
      </c>
      <c r="F82" s="104">
        <f t="shared" si="5"/>
        <v>24.35194666666667</v>
      </c>
      <c r="G82" s="104">
        <f t="shared" si="6"/>
        <v>23.64266666666667</v>
      </c>
      <c r="H82" s="104">
        <f t="shared" si="7"/>
        <v>23.192330158730165</v>
      </c>
      <c r="I82" s="104">
        <f t="shared" si="8"/>
        <v>26.565760000000001</v>
      </c>
      <c r="J82" s="133"/>
      <c r="K82" s="110">
        <f t="shared" si="9"/>
        <v>24.150690909090908</v>
      </c>
      <c r="L82" s="88"/>
      <c r="M82" s="2"/>
    </row>
    <row r="83" spans="1:13" ht="22.5" customHeight="1">
      <c r="A83" s="2" t="s">
        <v>255</v>
      </c>
      <c r="B83" s="2" t="s">
        <v>254</v>
      </c>
      <c r="D83" s="13" t="s">
        <v>256</v>
      </c>
      <c r="E83" s="14">
        <v>760.55200000000002</v>
      </c>
      <c r="F83" s="104">
        <f t="shared" si="5"/>
        <v>27.886906666666668</v>
      </c>
      <c r="G83" s="104">
        <f t="shared" si="6"/>
        <v>27.074666666666669</v>
      </c>
      <c r="H83" s="104">
        <f t="shared" si="7"/>
        <v>26.558958730158732</v>
      </c>
      <c r="I83" s="104">
        <f t="shared" si="8"/>
        <v>30.422080000000001</v>
      </c>
      <c r="J83" s="133"/>
      <c r="K83" s="110">
        <f t="shared" si="9"/>
        <v>27.656436363636367</v>
      </c>
      <c r="L83" s="88"/>
      <c r="M83" s="2"/>
    </row>
    <row r="84" spans="1:13" ht="22.5" customHeight="1">
      <c r="A84" s="2" t="s">
        <v>258</v>
      </c>
      <c r="B84" s="2" t="s">
        <v>257</v>
      </c>
      <c r="D84" s="13" t="s">
        <v>259</v>
      </c>
      <c r="E84" s="14">
        <v>749.84</v>
      </c>
      <c r="F84" s="104">
        <f t="shared" si="5"/>
        <v>27.494133333333334</v>
      </c>
      <c r="G84" s="104">
        <f t="shared" si="6"/>
        <v>26.693333333333335</v>
      </c>
      <c r="H84" s="104">
        <f t="shared" si="7"/>
        <v>26.184888888888889</v>
      </c>
      <c r="I84" s="104">
        <f t="shared" si="8"/>
        <v>29.993600000000001</v>
      </c>
      <c r="J84" s="133"/>
      <c r="K84" s="110">
        <f t="shared" si="9"/>
        <v>27.266909090909092</v>
      </c>
      <c r="L84" s="88"/>
      <c r="M84" s="2"/>
    </row>
    <row r="85" spans="1:13" ht="22.5" customHeight="1">
      <c r="A85" s="2" t="s">
        <v>261</v>
      </c>
      <c r="B85" s="2" t="s">
        <v>260</v>
      </c>
      <c r="D85" s="13" t="s">
        <v>262</v>
      </c>
      <c r="E85" s="14">
        <v>810.89840000000004</v>
      </c>
      <c r="F85" s="104">
        <f t="shared" si="5"/>
        <v>29.732941333333336</v>
      </c>
      <c r="G85" s="104">
        <f t="shared" si="6"/>
        <v>28.866933333333339</v>
      </c>
      <c r="H85" s="104">
        <f t="shared" si="7"/>
        <v>28.317086984126988</v>
      </c>
      <c r="I85" s="104">
        <f t="shared" si="8"/>
        <v>32.435935999999998</v>
      </c>
      <c r="J85" s="133"/>
      <c r="K85" s="110">
        <f t="shared" si="9"/>
        <v>29.487214545454545</v>
      </c>
      <c r="L85" s="88"/>
      <c r="M85" s="2"/>
    </row>
    <row r="86" spans="1:13" ht="22.5" customHeight="1">
      <c r="A86" s="49" t="s">
        <v>264</v>
      </c>
      <c r="B86" s="49" t="s">
        <v>263</v>
      </c>
      <c r="C86" s="49"/>
      <c r="D86" s="50" t="s">
        <v>8563</v>
      </c>
      <c r="E86" s="14">
        <v>696.28</v>
      </c>
      <c r="F86" s="104">
        <f t="shared" si="5"/>
        <v>25.530266666666666</v>
      </c>
      <c r="G86" s="104">
        <f t="shared" si="6"/>
        <v>24.786666666666665</v>
      </c>
      <c r="H86" s="104">
        <f t="shared" si="7"/>
        <v>24.314539682539682</v>
      </c>
      <c r="I86" s="104">
        <f t="shared" si="8"/>
        <v>27.851199999999999</v>
      </c>
      <c r="J86" s="133"/>
      <c r="K86" s="110">
        <f t="shared" si="9"/>
        <v>25.319272727272725</v>
      </c>
      <c r="L86" s="88"/>
      <c r="M86" s="2"/>
    </row>
    <row r="87" spans="1:13" ht="22.5" customHeight="1">
      <c r="A87" s="2" t="s">
        <v>266</v>
      </c>
      <c r="B87" s="2" t="s">
        <v>265</v>
      </c>
      <c r="D87" s="13" t="s">
        <v>267</v>
      </c>
      <c r="E87" s="14">
        <v>851.60400000000004</v>
      </c>
      <c r="F87" s="104">
        <f t="shared" si="5"/>
        <v>31.225480000000005</v>
      </c>
      <c r="G87" s="104">
        <f t="shared" si="6"/>
        <v>30.316000000000006</v>
      </c>
      <c r="H87" s="104">
        <f t="shared" si="7"/>
        <v>29.738552380952388</v>
      </c>
      <c r="I87" s="104">
        <f t="shared" si="8"/>
        <v>34.064160000000001</v>
      </c>
      <c r="J87" s="133"/>
      <c r="K87" s="110">
        <f t="shared" si="9"/>
        <v>30.967418181818182</v>
      </c>
      <c r="L87" s="88"/>
      <c r="M87" s="2"/>
    </row>
    <row r="88" spans="1:13" ht="22.5" customHeight="1">
      <c r="A88" s="2" t="s">
        <v>269</v>
      </c>
      <c r="B88" s="2" t="s">
        <v>268</v>
      </c>
      <c r="D88" s="13" t="s">
        <v>270</v>
      </c>
      <c r="E88" s="14">
        <v>621.29599999999994</v>
      </c>
      <c r="F88" s="104">
        <f t="shared" si="5"/>
        <v>22.780853333333333</v>
      </c>
      <c r="G88" s="104">
        <f t="shared" si="6"/>
        <v>22.117333333333335</v>
      </c>
      <c r="H88" s="104">
        <f t="shared" si="7"/>
        <v>21.696050793650794</v>
      </c>
      <c r="I88" s="104">
        <f t="shared" si="8"/>
        <v>24.851839999999996</v>
      </c>
      <c r="J88" s="133"/>
      <c r="K88" s="110">
        <f t="shared" si="9"/>
        <v>22.592581818181817</v>
      </c>
      <c r="L88" s="88"/>
      <c r="M88" s="2"/>
    </row>
    <row r="89" spans="1:13" ht="22.5" customHeight="1">
      <c r="A89" s="2" t="s">
        <v>272</v>
      </c>
      <c r="B89" s="2" t="s">
        <v>271</v>
      </c>
      <c r="D89" s="13" t="s">
        <v>273</v>
      </c>
      <c r="E89" s="14">
        <v>664.14400000000001</v>
      </c>
      <c r="F89" s="104">
        <f t="shared" si="5"/>
        <v>24.35194666666667</v>
      </c>
      <c r="G89" s="104">
        <f t="shared" si="6"/>
        <v>23.64266666666667</v>
      </c>
      <c r="H89" s="104">
        <f t="shared" si="7"/>
        <v>23.192330158730165</v>
      </c>
      <c r="I89" s="104">
        <f t="shared" si="8"/>
        <v>26.565760000000001</v>
      </c>
      <c r="J89" s="133"/>
      <c r="K89" s="110">
        <f t="shared" si="9"/>
        <v>24.150690909090908</v>
      </c>
      <c r="L89" s="88"/>
      <c r="M89" s="2"/>
    </row>
    <row r="90" spans="1:13" ht="22.5" customHeight="1">
      <c r="A90" s="2" t="s">
        <v>275</v>
      </c>
      <c r="B90" s="2" t="s">
        <v>274</v>
      </c>
      <c r="D90" s="13" t="s">
        <v>6</v>
      </c>
      <c r="E90" s="14">
        <v>664.14400000000001</v>
      </c>
      <c r="F90" s="104">
        <f t="shared" si="5"/>
        <v>24.35194666666667</v>
      </c>
      <c r="G90" s="104">
        <f t="shared" si="6"/>
        <v>23.64266666666667</v>
      </c>
      <c r="H90" s="104">
        <f t="shared" si="7"/>
        <v>23.192330158730165</v>
      </c>
      <c r="I90" s="104">
        <f t="shared" si="8"/>
        <v>26.565760000000001</v>
      </c>
      <c r="J90" s="133"/>
      <c r="K90" s="110">
        <f t="shared" si="9"/>
        <v>24.150690909090908</v>
      </c>
      <c r="L90" s="88"/>
      <c r="M90" s="2"/>
    </row>
    <row r="91" spans="1:13" ht="22.5" customHeight="1">
      <c r="A91" s="2" t="s">
        <v>277</v>
      </c>
      <c r="B91" s="2" t="s">
        <v>276</v>
      </c>
      <c r="D91" s="13" t="s">
        <v>278</v>
      </c>
      <c r="E91" s="14">
        <v>607.37040000000002</v>
      </c>
      <c r="F91" s="104">
        <f t="shared" si="5"/>
        <v>22.270248000000002</v>
      </c>
      <c r="G91" s="104">
        <f t="shared" si="6"/>
        <v>21.621600000000001</v>
      </c>
      <c r="H91" s="104">
        <f t="shared" si="7"/>
        <v>21.209760000000003</v>
      </c>
      <c r="I91" s="104">
        <f t="shared" si="8"/>
        <v>24.294816000000001</v>
      </c>
      <c r="J91" s="133"/>
      <c r="K91" s="110">
        <f t="shared" si="9"/>
        <v>22.086196363636361</v>
      </c>
      <c r="L91" s="88"/>
      <c r="M91" s="2"/>
    </row>
    <row r="92" spans="1:13" ht="22.5" customHeight="1">
      <c r="A92" s="2" t="s">
        <v>280</v>
      </c>
      <c r="B92" s="2" t="s">
        <v>279</v>
      </c>
      <c r="D92" s="13" t="s">
        <v>281</v>
      </c>
      <c r="E92" s="14">
        <v>724.13119999999992</v>
      </c>
      <c r="F92" s="104">
        <f t="shared" si="5"/>
        <v>26.551477333333331</v>
      </c>
      <c r="G92" s="104">
        <f t="shared" si="6"/>
        <v>25.778133333333333</v>
      </c>
      <c r="H92" s="104">
        <f t="shared" si="7"/>
        <v>25.287121269841268</v>
      </c>
      <c r="I92" s="104">
        <f t="shared" si="8"/>
        <v>28.965247999999995</v>
      </c>
      <c r="J92" s="133"/>
      <c r="K92" s="110">
        <f t="shared" si="9"/>
        <v>26.332043636363633</v>
      </c>
      <c r="L92" s="88"/>
      <c r="M92" s="2"/>
    </row>
    <row r="93" spans="1:13" ht="22.5" customHeight="1">
      <c r="A93" s="2" t="s">
        <v>283</v>
      </c>
      <c r="B93" s="2" t="s">
        <v>282</v>
      </c>
      <c r="D93" s="13" t="s">
        <v>284</v>
      </c>
      <c r="E93" s="14">
        <v>768.05039999999997</v>
      </c>
      <c r="F93" s="104">
        <f t="shared" si="5"/>
        <v>28.161848000000003</v>
      </c>
      <c r="G93" s="104">
        <f t="shared" si="6"/>
        <v>27.341600000000003</v>
      </c>
      <c r="H93" s="104">
        <f t="shared" si="7"/>
        <v>26.820807619047624</v>
      </c>
      <c r="I93" s="104">
        <f t="shared" si="8"/>
        <v>30.722015999999996</v>
      </c>
      <c r="J93" s="133"/>
      <c r="K93" s="110">
        <f t="shared" si="9"/>
        <v>27.92910545454545</v>
      </c>
      <c r="L93" s="88"/>
      <c r="M93" s="2"/>
    </row>
    <row r="94" spans="1:13" ht="22.5" customHeight="1">
      <c r="A94" s="2" t="s">
        <v>286</v>
      </c>
      <c r="B94" s="2" t="s">
        <v>285</v>
      </c>
      <c r="D94" s="13" t="s">
        <v>287</v>
      </c>
      <c r="E94" s="14">
        <v>740</v>
      </c>
      <c r="F94" s="104">
        <f t="shared" si="5"/>
        <v>27.133333333333336</v>
      </c>
      <c r="G94" s="104">
        <f t="shared" si="6"/>
        <v>26.343042071197413</v>
      </c>
      <c r="H94" s="104">
        <f t="shared" si="7"/>
        <v>25.841269841269842</v>
      </c>
      <c r="I94" s="104">
        <f t="shared" si="8"/>
        <v>29.6</v>
      </c>
      <c r="J94" s="133"/>
      <c r="K94" s="110">
        <f t="shared" si="9"/>
        <v>26.90909090909091</v>
      </c>
      <c r="L94" s="88"/>
      <c r="M94" s="2"/>
    </row>
    <row r="95" spans="1:13" ht="22.5" customHeight="1">
      <c r="A95" s="2" t="s">
        <v>289</v>
      </c>
      <c r="B95" s="2" t="s">
        <v>288</v>
      </c>
      <c r="D95" s="13" t="s">
        <v>290</v>
      </c>
      <c r="E95" s="14">
        <v>703.77840000000003</v>
      </c>
      <c r="F95" s="104">
        <f t="shared" si="5"/>
        <v>25.805208000000004</v>
      </c>
      <c r="G95" s="104">
        <f t="shared" si="6"/>
        <v>25.053600000000003</v>
      </c>
      <c r="H95" s="104">
        <f t="shared" si="7"/>
        <v>24.576388571428573</v>
      </c>
      <c r="I95" s="104">
        <f t="shared" si="8"/>
        <v>28.151136000000001</v>
      </c>
      <c r="J95" s="133"/>
      <c r="K95" s="110">
        <f t="shared" si="9"/>
        <v>25.591941818181819</v>
      </c>
      <c r="L95" s="88"/>
      <c r="M95" s="2"/>
    </row>
    <row r="96" spans="1:13" ht="22.5" customHeight="1">
      <c r="A96" s="49" t="s">
        <v>292</v>
      </c>
      <c r="B96" s="49" t="s">
        <v>291</v>
      </c>
      <c r="C96" s="49"/>
      <c r="D96" s="50" t="s">
        <v>8530</v>
      </c>
      <c r="E96" s="14">
        <v>664.14400000000001</v>
      </c>
      <c r="F96" s="104">
        <f t="shared" si="5"/>
        <v>24.35194666666667</v>
      </c>
      <c r="G96" s="104">
        <f t="shared" si="6"/>
        <v>23.64266666666667</v>
      </c>
      <c r="H96" s="104">
        <f t="shared" si="7"/>
        <v>23.192330158730165</v>
      </c>
      <c r="I96" s="104">
        <f t="shared" si="8"/>
        <v>26.565760000000001</v>
      </c>
      <c r="J96" s="133"/>
      <c r="K96" s="110">
        <f t="shared" si="9"/>
        <v>24.150690909090908</v>
      </c>
      <c r="L96" s="88"/>
      <c r="M96" s="2"/>
    </row>
    <row r="97" spans="1:13" ht="22.5" customHeight="1">
      <c r="A97" s="2" t="s">
        <v>294</v>
      </c>
      <c r="B97" s="2" t="s">
        <v>293</v>
      </c>
      <c r="D97" s="13" t="s">
        <v>8590</v>
      </c>
      <c r="E97" s="14">
        <v>810.89840000000004</v>
      </c>
      <c r="F97" s="104">
        <f t="shared" si="5"/>
        <v>29.732941333333336</v>
      </c>
      <c r="G97" s="104">
        <f t="shared" si="6"/>
        <v>28.866933333333339</v>
      </c>
      <c r="H97" s="104">
        <f t="shared" si="7"/>
        <v>28.317086984126988</v>
      </c>
      <c r="I97" s="104">
        <f t="shared" si="8"/>
        <v>32.435935999999998</v>
      </c>
      <c r="J97" s="133"/>
      <c r="K97" s="110">
        <f t="shared" si="9"/>
        <v>29.487214545454545</v>
      </c>
      <c r="L97" s="88"/>
      <c r="M97" s="2"/>
    </row>
    <row r="98" spans="1:13" ht="22.5" customHeight="1">
      <c r="A98" s="2" t="s">
        <v>296</v>
      </c>
      <c r="B98" s="2" t="s">
        <v>295</v>
      </c>
      <c r="D98" s="13" t="s">
        <v>8080</v>
      </c>
      <c r="E98" s="14">
        <v>535.6</v>
      </c>
      <c r="F98" s="104">
        <f t="shared" si="5"/>
        <v>19.638666666666669</v>
      </c>
      <c r="G98" s="104">
        <f t="shared" si="6"/>
        <v>19.06666666666667</v>
      </c>
      <c r="H98" s="104">
        <f t="shared" si="7"/>
        <v>18.703492063492067</v>
      </c>
      <c r="I98" s="104">
        <f t="shared" si="8"/>
        <v>21.423999999999999</v>
      </c>
      <c r="J98" s="133"/>
      <c r="K98" s="110">
        <f t="shared" si="9"/>
        <v>19.476363636363637</v>
      </c>
      <c r="L98" s="88"/>
      <c r="M98" s="2"/>
    </row>
    <row r="99" spans="1:13" ht="22.5" customHeight="1">
      <c r="A99" s="2" t="s">
        <v>298</v>
      </c>
      <c r="B99" s="2" t="s">
        <v>297</v>
      </c>
      <c r="D99" s="13" t="s">
        <v>8081</v>
      </c>
      <c r="E99" s="14">
        <v>535.6</v>
      </c>
      <c r="F99" s="104">
        <f t="shared" si="5"/>
        <v>19.638666666666669</v>
      </c>
      <c r="G99" s="104">
        <f t="shared" si="6"/>
        <v>19.06666666666667</v>
      </c>
      <c r="H99" s="104">
        <f t="shared" si="7"/>
        <v>18.703492063492067</v>
      </c>
      <c r="I99" s="104">
        <f t="shared" si="8"/>
        <v>21.423999999999999</v>
      </c>
      <c r="J99" s="133"/>
      <c r="K99" s="110">
        <f t="shared" si="9"/>
        <v>19.476363636363637</v>
      </c>
      <c r="L99" s="88"/>
      <c r="M99" s="2"/>
    </row>
    <row r="100" spans="1:13" ht="22.5" customHeight="1">
      <c r="A100" s="2" t="s">
        <v>300</v>
      </c>
      <c r="B100" s="2" t="s">
        <v>299</v>
      </c>
      <c r="D100" s="13" t="s">
        <v>301</v>
      </c>
      <c r="E100" s="14">
        <v>810.89840000000004</v>
      </c>
      <c r="F100" s="104">
        <f t="shared" si="5"/>
        <v>29.732941333333336</v>
      </c>
      <c r="G100" s="104">
        <f t="shared" si="6"/>
        <v>28.866933333333339</v>
      </c>
      <c r="H100" s="104">
        <f t="shared" si="7"/>
        <v>28.317086984126988</v>
      </c>
      <c r="I100" s="104">
        <f t="shared" si="8"/>
        <v>32.435935999999998</v>
      </c>
      <c r="J100" s="133"/>
      <c r="K100" s="110">
        <f t="shared" si="9"/>
        <v>29.487214545454545</v>
      </c>
      <c r="L100" s="88"/>
      <c r="M100" s="2"/>
    </row>
    <row r="101" spans="1:13" ht="22.5" customHeight="1">
      <c r="A101" s="2" t="s">
        <v>303</v>
      </c>
      <c r="B101" s="2" t="s">
        <v>302</v>
      </c>
      <c r="D101" s="13" t="s">
        <v>304</v>
      </c>
      <c r="E101" s="14">
        <v>674.85599999999999</v>
      </c>
      <c r="F101" s="104">
        <f t="shared" si="5"/>
        <v>24.744720000000004</v>
      </c>
      <c r="G101" s="104">
        <f t="shared" si="6"/>
        <v>24.024000000000008</v>
      </c>
      <c r="H101" s="104">
        <f t="shared" si="7"/>
        <v>23.566400000000005</v>
      </c>
      <c r="I101" s="104">
        <f t="shared" si="8"/>
        <v>26.994239999999998</v>
      </c>
      <c r="J101" s="133"/>
      <c r="K101" s="110">
        <f t="shared" si="9"/>
        <v>24.540218181818179</v>
      </c>
      <c r="L101" s="88"/>
      <c r="M101" s="2"/>
    </row>
    <row r="102" spans="1:13" ht="22.5" customHeight="1">
      <c r="A102" s="2" t="s">
        <v>306</v>
      </c>
      <c r="B102" s="2" t="s">
        <v>305</v>
      </c>
      <c r="D102" s="13" t="s">
        <v>307</v>
      </c>
      <c r="E102" s="14">
        <v>632.00800000000004</v>
      </c>
      <c r="F102" s="104">
        <f t="shared" si="5"/>
        <v>23.173626666666671</v>
      </c>
      <c r="G102" s="104">
        <f t="shared" si="6"/>
        <v>22.498666666666669</v>
      </c>
      <c r="H102" s="104">
        <f t="shared" si="7"/>
        <v>22.070120634920638</v>
      </c>
      <c r="I102" s="104">
        <f t="shared" si="8"/>
        <v>25.280320000000003</v>
      </c>
      <c r="J102" s="133"/>
      <c r="K102" s="110">
        <f t="shared" si="9"/>
        <v>22.982109090909091</v>
      </c>
      <c r="L102" s="88"/>
      <c r="M102" s="2"/>
    </row>
    <row r="103" spans="1:13" ht="22.5" customHeight="1">
      <c r="A103" s="2" t="s">
        <v>309</v>
      </c>
      <c r="B103" s="2" t="s">
        <v>308</v>
      </c>
      <c r="D103" s="13" t="s">
        <v>310</v>
      </c>
      <c r="E103" s="14">
        <v>724.13119999999992</v>
      </c>
      <c r="F103" s="104">
        <f t="shared" si="5"/>
        <v>26.551477333333331</v>
      </c>
      <c r="G103" s="104">
        <f t="shared" si="6"/>
        <v>25.778133333333333</v>
      </c>
      <c r="H103" s="104">
        <f t="shared" si="7"/>
        <v>25.287121269841268</v>
      </c>
      <c r="I103" s="104">
        <f t="shared" si="8"/>
        <v>28.965247999999995</v>
      </c>
      <c r="J103" s="133"/>
      <c r="K103" s="110">
        <f t="shared" si="9"/>
        <v>26.332043636363633</v>
      </c>
      <c r="L103" s="88"/>
      <c r="M103" s="2"/>
    </row>
    <row r="104" spans="1:13" ht="22.5" customHeight="1">
      <c r="A104" s="2" t="s">
        <v>312</v>
      </c>
      <c r="B104" s="2" t="s">
        <v>311</v>
      </c>
      <c r="D104" s="13" t="s">
        <v>313</v>
      </c>
      <c r="E104" s="14">
        <v>653.43200000000002</v>
      </c>
      <c r="F104" s="104">
        <f t="shared" si="5"/>
        <v>23.959173333333336</v>
      </c>
      <c r="G104" s="104">
        <f t="shared" si="6"/>
        <v>23.261333333333337</v>
      </c>
      <c r="H104" s="104">
        <f t="shared" si="7"/>
        <v>22.818260317460322</v>
      </c>
      <c r="I104" s="104">
        <f t="shared" si="8"/>
        <v>26.137279999999997</v>
      </c>
      <c r="J104" s="133"/>
      <c r="K104" s="110">
        <f t="shared" si="9"/>
        <v>23.761163636363634</v>
      </c>
      <c r="L104" s="88"/>
      <c r="M104" s="2"/>
    </row>
    <row r="105" spans="1:13" ht="22.5" customHeight="1">
      <c r="A105" s="2" t="s">
        <v>315</v>
      </c>
      <c r="B105" s="2" t="s">
        <v>314</v>
      </c>
      <c r="D105" s="13" t="s">
        <v>316</v>
      </c>
      <c r="E105" s="14">
        <v>653.43200000000002</v>
      </c>
      <c r="F105" s="104">
        <f t="shared" si="5"/>
        <v>23.959173333333336</v>
      </c>
      <c r="G105" s="104">
        <f t="shared" si="6"/>
        <v>23.261333333333337</v>
      </c>
      <c r="H105" s="104">
        <f t="shared" si="7"/>
        <v>22.818260317460322</v>
      </c>
      <c r="I105" s="104">
        <f t="shared" si="8"/>
        <v>26.137279999999997</v>
      </c>
      <c r="J105" s="133"/>
      <c r="K105" s="110">
        <f t="shared" si="9"/>
        <v>23.761163636363634</v>
      </c>
      <c r="L105" s="88"/>
      <c r="M105" s="2"/>
    </row>
    <row r="106" spans="1:13" ht="22.5" customHeight="1">
      <c r="A106" s="2" t="s">
        <v>318</v>
      </c>
      <c r="B106" s="2" t="s">
        <v>317</v>
      </c>
      <c r="D106" s="13" t="s">
        <v>319</v>
      </c>
      <c r="E106" s="14">
        <v>632.00800000000004</v>
      </c>
      <c r="F106" s="104">
        <f t="shared" si="5"/>
        <v>23.173626666666671</v>
      </c>
      <c r="G106" s="104">
        <f t="shared" si="6"/>
        <v>22.498666666666669</v>
      </c>
      <c r="H106" s="104">
        <f t="shared" si="7"/>
        <v>22.070120634920638</v>
      </c>
      <c r="I106" s="104">
        <f t="shared" si="8"/>
        <v>25.280320000000003</v>
      </c>
      <c r="J106" s="133"/>
      <c r="K106" s="110">
        <f t="shared" si="9"/>
        <v>22.982109090909091</v>
      </c>
      <c r="L106" s="88"/>
      <c r="M106" s="2"/>
    </row>
    <row r="107" spans="1:13" ht="22.5" customHeight="1">
      <c r="A107" s="2" t="s">
        <v>321</v>
      </c>
      <c r="B107" s="2" t="s">
        <v>320</v>
      </c>
      <c r="D107" s="13" t="s">
        <v>322</v>
      </c>
      <c r="E107" s="14">
        <v>632.00800000000004</v>
      </c>
      <c r="F107" s="104">
        <f t="shared" si="5"/>
        <v>23.173626666666671</v>
      </c>
      <c r="G107" s="104">
        <f t="shared" si="6"/>
        <v>22.498666666666669</v>
      </c>
      <c r="H107" s="104">
        <f t="shared" si="7"/>
        <v>22.070120634920638</v>
      </c>
      <c r="I107" s="104">
        <f t="shared" si="8"/>
        <v>25.280320000000003</v>
      </c>
      <c r="J107" s="133"/>
      <c r="K107" s="110">
        <f t="shared" si="9"/>
        <v>22.982109090909091</v>
      </c>
      <c r="L107" s="88"/>
      <c r="M107" s="2"/>
    </row>
    <row r="108" spans="1:13" ht="22.5" customHeight="1">
      <c r="A108" s="2" t="s">
        <v>324</v>
      </c>
      <c r="B108" s="2" t="s">
        <v>323</v>
      </c>
      <c r="D108" s="13" t="s">
        <v>325</v>
      </c>
      <c r="E108" s="14">
        <v>724.13119999999992</v>
      </c>
      <c r="F108" s="104">
        <f t="shared" si="5"/>
        <v>26.551477333333331</v>
      </c>
      <c r="G108" s="104">
        <f t="shared" si="6"/>
        <v>25.778133333333333</v>
      </c>
      <c r="H108" s="104">
        <f t="shared" si="7"/>
        <v>25.287121269841268</v>
      </c>
      <c r="I108" s="104">
        <f t="shared" si="8"/>
        <v>28.965247999999995</v>
      </c>
      <c r="J108" s="133"/>
      <c r="K108" s="110">
        <f t="shared" si="9"/>
        <v>26.332043636363633</v>
      </c>
      <c r="L108" s="88"/>
      <c r="M108" s="2"/>
    </row>
    <row r="109" spans="1:13" ht="22.5" customHeight="1">
      <c r="A109" s="2" t="s">
        <v>327</v>
      </c>
      <c r="B109" s="2" t="s">
        <v>326</v>
      </c>
      <c r="D109" s="13" t="s">
        <v>328</v>
      </c>
      <c r="E109" s="14">
        <v>724.13119999999992</v>
      </c>
      <c r="F109" s="104">
        <f t="shared" si="5"/>
        <v>26.551477333333331</v>
      </c>
      <c r="G109" s="104">
        <f t="shared" si="6"/>
        <v>25.778133333333333</v>
      </c>
      <c r="H109" s="104">
        <f t="shared" si="7"/>
        <v>25.287121269841268</v>
      </c>
      <c r="I109" s="104">
        <f t="shared" si="8"/>
        <v>28.965247999999995</v>
      </c>
      <c r="J109" s="133"/>
      <c r="K109" s="110">
        <f t="shared" si="9"/>
        <v>26.332043636363633</v>
      </c>
      <c r="L109" s="88"/>
      <c r="M109" s="2"/>
    </row>
    <row r="110" spans="1:13" ht="22.5" customHeight="1">
      <c r="A110" s="2" t="s">
        <v>330</v>
      </c>
      <c r="B110" s="2" t="s">
        <v>329</v>
      </c>
      <c r="D110" s="13" t="s">
        <v>331</v>
      </c>
      <c r="E110" s="14">
        <v>724.13119999999992</v>
      </c>
      <c r="F110" s="104">
        <f t="shared" si="5"/>
        <v>26.551477333333331</v>
      </c>
      <c r="G110" s="104">
        <f t="shared" si="6"/>
        <v>25.778133333333333</v>
      </c>
      <c r="H110" s="104">
        <f t="shared" si="7"/>
        <v>25.287121269841268</v>
      </c>
      <c r="I110" s="104">
        <f t="shared" si="8"/>
        <v>28.965247999999995</v>
      </c>
      <c r="J110" s="133"/>
      <c r="K110" s="110">
        <f t="shared" si="9"/>
        <v>26.332043636363633</v>
      </c>
      <c r="L110" s="88"/>
      <c r="M110" s="2"/>
    </row>
    <row r="111" spans="1:13" ht="22.5" customHeight="1">
      <c r="A111" s="2" t="s">
        <v>333</v>
      </c>
      <c r="B111" s="2" t="s">
        <v>332</v>
      </c>
      <c r="D111" s="13" t="s">
        <v>334</v>
      </c>
      <c r="E111" s="14">
        <v>653.43200000000002</v>
      </c>
      <c r="F111" s="104">
        <f t="shared" si="5"/>
        <v>23.959173333333336</v>
      </c>
      <c r="G111" s="104">
        <f t="shared" si="6"/>
        <v>23.261333333333337</v>
      </c>
      <c r="H111" s="104">
        <f t="shared" si="7"/>
        <v>22.818260317460322</v>
      </c>
      <c r="I111" s="104">
        <f t="shared" si="8"/>
        <v>26.137279999999997</v>
      </c>
      <c r="J111" s="133"/>
      <c r="K111" s="110">
        <f t="shared" si="9"/>
        <v>23.761163636363634</v>
      </c>
      <c r="L111" s="88"/>
      <c r="M111" s="2"/>
    </row>
    <row r="112" spans="1:13" ht="22.5" customHeight="1">
      <c r="A112" s="2" t="s">
        <v>336</v>
      </c>
      <c r="B112" s="2" t="s">
        <v>335</v>
      </c>
      <c r="D112" s="13" t="s">
        <v>337</v>
      </c>
      <c r="E112" s="14">
        <v>724.13119999999992</v>
      </c>
      <c r="F112" s="104">
        <f t="shared" si="5"/>
        <v>26.551477333333331</v>
      </c>
      <c r="G112" s="104">
        <f t="shared" si="6"/>
        <v>25.778133333333333</v>
      </c>
      <c r="H112" s="104">
        <f t="shared" si="7"/>
        <v>25.287121269841268</v>
      </c>
      <c r="I112" s="104">
        <f t="shared" si="8"/>
        <v>28.965247999999995</v>
      </c>
      <c r="J112" s="133"/>
      <c r="K112" s="110">
        <f t="shared" si="9"/>
        <v>26.332043636363633</v>
      </c>
      <c r="L112" s="88"/>
      <c r="M112" s="2"/>
    </row>
    <row r="113" spans="1:13" ht="22.5" customHeight="1">
      <c r="A113" s="2" t="s">
        <v>339</v>
      </c>
      <c r="B113" s="2" t="s">
        <v>338</v>
      </c>
      <c r="D113" s="13" t="s">
        <v>340</v>
      </c>
      <c r="E113" s="14">
        <v>771.26400000000001</v>
      </c>
      <c r="F113" s="104">
        <f t="shared" si="5"/>
        <v>28.279680000000003</v>
      </c>
      <c r="G113" s="104">
        <f t="shared" si="6"/>
        <v>27.456000000000003</v>
      </c>
      <c r="H113" s="104">
        <f t="shared" si="7"/>
        <v>26.933028571428576</v>
      </c>
      <c r="I113" s="104">
        <f t="shared" si="8"/>
        <v>30.850559999999998</v>
      </c>
      <c r="J113" s="133"/>
      <c r="K113" s="110">
        <f t="shared" si="9"/>
        <v>28.045963636363638</v>
      </c>
      <c r="L113" s="88"/>
      <c r="M113" s="2"/>
    </row>
    <row r="114" spans="1:13" ht="22.5" customHeight="1">
      <c r="A114" s="2" t="s">
        <v>342</v>
      </c>
      <c r="B114" s="2" t="s">
        <v>341</v>
      </c>
      <c r="D114" s="13" t="s">
        <v>343</v>
      </c>
      <c r="E114" s="14">
        <v>724.13119999999992</v>
      </c>
      <c r="F114" s="104">
        <f t="shared" si="5"/>
        <v>26.551477333333331</v>
      </c>
      <c r="G114" s="104">
        <f t="shared" si="6"/>
        <v>25.778133333333333</v>
      </c>
      <c r="H114" s="104">
        <f t="shared" si="7"/>
        <v>25.287121269841268</v>
      </c>
      <c r="I114" s="104">
        <f t="shared" si="8"/>
        <v>28.965247999999995</v>
      </c>
      <c r="J114" s="133"/>
      <c r="K114" s="110">
        <f t="shared" si="9"/>
        <v>26.332043636363633</v>
      </c>
      <c r="L114" s="88"/>
      <c r="M114" s="2"/>
    </row>
    <row r="115" spans="1:13" ht="22.5" customHeight="1">
      <c r="A115" s="2" t="s">
        <v>345</v>
      </c>
      <c r="B115" s="2" t="s">
        <v>344</v>
      </c>
      <c r="D115" s="13" t="s">
        <v>346</v>
      </c>
      <c r="E115" s="14">
        <v>878.38400000000001</v>
      </c>
      <c r="F115" s="104">
        <f t="shared" si="5"/>
        <v>32.207413333333335</v>
      </c>
      <c r="G115" s="104">
        <f t="shared" si="6"/>
        <v>31.269333333333332</v>
      </c>
      <c r="H115" s="104">
        <f t="shared" si="7"/>
        <v>30.673726984126986</v>
      </c>
      <c r="I115" s="104">
        <f t="shared" si="8"/>
        <v>35.135359999999999</v>
      </c>
      <c r="J115" s="133"/>
      <c r="K115" s="110">
        <f t="shared" si="9"/>
        <v>31.941236363636364</v>
      </c>
      <c r="L115" s="88"/>
      <c r="M115" s="2"/>
    </row>
    <row r="116" spans="1:13" ht="22.5" customHeight="1">
      <c r="A116" s="2" t="s">
        <v>348</v>
      </c>
      <c r="B116" s="2" t="s">
        <v>347</v>
      </c>
      <c r="D116" s="13" t="s">
        <v>349</v>
      </c>
      <c r="E116" s="14">
        <v>567.73599999999999</v>
      </c>
      <c r="F116" s="104">
        <f t="shared" si="5"/>
        <v>20.816986666666669</v>
      </c>
      <c r="G116" s="104">
        <f t="shared" si="6"/>
        <v>20.210666666666668</v>
      </c>
      <c r="H116" s="104">
        <f t="shared" si="7"/>
        <v>19.825701587301587</v>
      </c>
      <c r="I116" s="104">
        <f t="shared" si="8"/>
        <v>22.709439999999997</v>
      </c>
      <c r="J116" s="133"/>
      <c r="K116" s="110">
        <f t="shared" si="9"/>
        <v>20.644945454545454</v>
      </c>
      <c r="L116" s="88"/>
      <c r="M116" s="2"/>
    </row>
    <row r="117" spans="1:13" ht="22.5" customHeight="1">
      <c r="A117" s="2" t="s">
        <v>351</v>
      </c>
      <c r="B117" s="2" t="s">
        <v>350</v>
      </c>
      <c r="D117" s="13" t="s">
        <v>352</v>
      </c>
      <c r="E117" s="14">
        <v>749.84</v>
      </c>
      <c r="F117" s="104">
        <f t="shared" si="5"/>
        <v>27.494133333333334</v>
      </c>
      <c r="G117" s="104">
        <f t="shared" si="6"/>
        <v>26.693333333333335</v>
      </c>
      <c r="H117" s="104">
        <f t="shared" si="7"/>
        <v>26.184888888888889</v>
      </c>
      <c r="I117" s="104">
        <f t="shared" si="8"/>
        <v>29.993600000000001</v>
      </c>
      <c r="J117" s="133"/>
      <c r="K117" s="110">
        <f t="shared" si="9"/>
        <v>27.266909090909092</v>
      </c>
      <c r="L117" s="88"/>
      <c r="M117" s="2"/>
    </row>
    <row r="118" spans="1:13" ht="22.5" customHeight="1">
      <c r="A118" s="2" t="s">
        <v>354</v>
      </c>
      <c r="B118" s="2" t="s">
        <v>353</v>
      </c>
      <c r="D118" s="13" t="s">
        <v>355</v>
      </c>
      <c r="E118" s="14">
        <v>664.14400000000001</v>
      </c>
      <c r="F118" s="104">
        <f t="shared" si="5"/>
        <v>24.35194666666667</v>
      </c>
      <c r="G118" s="104">
        <f t="shared" si="6"/>
        <v>23.64266666666667</v>
      </c>
      <c r="H118" s="104">
        <f t="shared" si="7"/>
        <v>23.192330158730165</v>
      </c>
      <c r="I118" s="104">
        <f t="shared" si="8"/>
        <v>26.565760000000001</v>
      </c>
      <c r="J118" s="133"/>
      <c r="K118" s="110">
        <f t="shared" si="9"/>
        <v>24.150690909090908</v>
      </c>
      <c r="L118" s="88"/>
      <c r="M118" s="2"/>
    </row>
    <row r="119" spans="1:13" ht="22.5" customHeight="1">
      <c r="A119" s="2" t="s">
        <v>357</v>
      </c>
      <c r="B119" s="2" t="s">
        <v>356</v>
      </c>
      <c r="D119" s="13" t="s">
        <v>358</v>
      </c>
      <c r="E119" s="14">
        <v>810.89840000000004</v>
      </c>
      <c r="F119" s="104">
        <f t="shared" si="5"/>
        <v>29.732941333333336</v>
      </c>
      <c r="G119" s="104">
        <f t="shared" si="6"/>
        <v>28.866933333333339</v>
      </c>
      <c r="H119" s="104">
        <f t="shared" si="7"/>
        <v>28.317086984126988</v>
      </c>
      <c r="I119" s="104">
        <f t="shared" si="8"/>
        <v>32.435935999999998</v>
      </c>
      <c r="J119" s="133"/>
      <c r="K119" s="110">
        <f t="shared" si="9"/>
        <v>29.487214545454545</v>
      </c>
      <c r="L119" s="88"/>
      <c r="M119" s="2"/>
    </row>
    <row r="120" spans="1:13" ht="22.5" customHeight="1">
      <c r="A120" s="2" t="s">
        <v>360</v>
      </c>
      <c r="B120" s="2" t="s">
        <v>359</v>
      </c>
      <c r="D120" s="13" t="s">
        <v>361</v>
      </c>
      <c r="E120" s="14">
        <v>738.05680000000007</v>
      </c>
      <c r="F120" s="104">
        <f t="shared" si="5"/>
        <v>27.062082666666672</v>
      </c>
      <c r="G120" s="104">
        <f t="shared" si="6"/>
        <v>26.273866666666674</v>
      </c>
      <c r="H120" s="104">
        <f t="shared" si="7"/>
        <v>25.773412063492071</v>
      </c>
      <c r="I120" s="104">
        <f t="shared" si="8"/>
        <v>29.522272000000001</v>
      </c>
      <c r="J120" s="133"/>
      <c r="K120" s="110">
        <f t="shared" si="9"/>
        <v>26.838429090909091</v>
      </c>
      <c r="L120" s="88"/>
      <c r="M120" s="2"/>
    </row>
    <row r="121" spans="1:13" ht="22.5" customHeight="1">
      <c r="A121" s="2" t="s">
        <v>363</v>
      </c>
      <c r="B121" s="2" t="s">
        <v>362</v>
      </c>
      <c r="D121" s="13" t="s">
        <v>364</v>
      </c>
      <c r="E121" s="14">
        <v>653.43200000000002</v>
      </c>
      <c r="F121" s="104">
        <f t="shared" si="5"/>
        <v>23.959173333333336</v>
      </c>
      <c r="G121" s="104">
        <f t="shared" si="6"/>
        <v>23.261333333333337</v>
      </c>
      <c r="H121" s="104">
        <f t="shared" si="7"/>
        <v>22.818260317460322</v>
      </c>
      <c r="I121" s="104">
        <f t="shared" si="8"/>
        <v>26.137279999999997</v>
      </c>
      <c r="J121" s="133"/>
      <c r="K121" s="110">
        <f t="shared" si="9"/>
        <v>23.761163636363634</v>
      </c>
      <c r="L121" s="88"/>
      <c r="M121" s="2"/>
    </row>
    <row r="122" spans="1:13" ht="22.5" customHeight="1">
      <c r="A122" s="2" t="s">
        <v>366</v>
      </c>
      <c r="B122" s="2" t="s">
        <v>365</v>
      </c>
      <c r="D122" s="13" t="s">
        <v>367</v>
      </c>
      <c r="E122" s="14">
        <v>664.14400000000001</v>
      </c>
      <c r="F122" s="104">
        <f t="shared" si="5"/>
        <v>24.35194666666667</v>
      </c>
      <c r="G122" s="104">
        <f t="shared" si="6"/>
        <v>23.64266666666667</v>
      </c>
      <c r="H122" s="104">
        <f t="shared" si="7"/>
        <v>23.192330158730165</v>
      </c>
      <c r="I122" s="104">
        <f t="shared" si="8"/>
        <v>26.565760000000001</v>
      </c>
      <c r="J122" s="133"/>
      <c r="K122" s="110">
        <f t="shared" si="9"/>
        <v>24.150690909090908</v>
      </c>
      <c r="L122" s="88"/>
      <c r="M122" s="2"/>
    </row>
    <row r="123" spans="1:13" ht="22.5" customHeight="1">
      <c r="A123" s="2" t="s">
        <v>369</v>
      </c>
      <c r="B123" s="2" t="s">
        <v>368</v>
      </c>
      <c r="D123" s="13" t="s">
        <v>370</v>
      </c>
      <c r="E123" s="14">
        <v>629.86559999999997</v>
      </c>
      <c r="F123" s="104">
        <f t="shared" si="5"/>
        <v>23.095072000000002</v>
      </c>
      <c r="G123" s="104">
        <f t="shared" si="6"/>
        <v>22.4224</v>
      </c>
      <c r="H123" s="104">
        <f t="shared" si="7"/>
        <v>21.995306666666668</v>
      </c>
      <c r="I123" s="104">
        <f t="shared" si="8"/>
        <v>25.194623999999997</v>
      </c>
      <c r="J123" s="133"/>
      <c r="K123" s="110">
        <f t="shared" si="9"/>
        <v>22.904203636363636</v>
      </c>
      <c r="L123" s="88"/>
      <c r="M123" s="2"/>
    </row>
    <row r="124" spans="1:13" ht="22.5" customHeight="1">
      <c r="A124" s="2" t="s">
        <v>372</v>
      </c>
      <c r="B124" s="2" t="s">
        <v>371</v>
      </c>
      <c r="D124" s="13" t="s">
        <v>373</v>
      </c>
      <c r="E124" s="14">
        <v>760.55200000000002</v>
      </c>
      <c r="F124" s="104">
        <f t="shared" si="5"/>
        <v>27.886906666666668</v>
      </c>
      <c r="G124" s="104">
        <f t="shared" si="6"/>
        <v>27.074666666666669</v>
      </c>
      <c r="H124" s="104">
        <f t="shared" si="7"/>
        <v>26.558958730158732</v>
      </c>
      <c r="I124" s="104">
        <f t="shared" si="8"/>
        <v>30.422080000000001</v>
      </c>
      <c r="J124" s="133"/>
      <c r="K124" s="110">
        <f t="shared" si="9"/>
        <v>27.656436363636367</v>
      </c>
      <c r="L124" s="88"/>
      <c r="M124" s="2"/>
    </row>
    <row r="125" spans="1:13" ht="22.5" customHeight="1">
      <c r="A125" s="2" t="s">
        <v>375</v>
      </c>
      <c r="B125" s="2" t="s">
        <v>374</v>
      </c>
      <c r="D125" s="13" t="s">
        <v>376</v>
      </c>
      <c r="E125" s="14">
        <v>749.84</v>
      </c>
      <c r="F125" s="104">
        <f t="shared" si="5"/>
        <v>27.494133333333334</v>
      </c>
      <c r="G125" s="104">
        <f t="shared" si="6"/>
        <v>26.693333333333335</v>
      </c>
      <c r="H125" s="104">
        <f t="shared" si="7"/>
        <v>26.184888888888889</v>
      </c>
      <c r="I125" s="104">
        <f t="shared" si="8"/>
        <v>29.993600000000001</v>
      </c>
      <c r="J125" s="133"/>
      <c r="K125" s="110">
        <f t="shared" si="9"/>
        <v>27.266909090909092</v>
      </c>
      <c r="L125" s="88"/>
      <c r="M125" s="2"/>
    </row>
    <row r="126" spans="1:13" ht="22.5" customHeight="1">
      <c r="A126" s="2" t="s">
        <v>378</v>
      </c>
      <c r="B126" s="2" t="s">
        <v>377</v>
      </c>
      <c r="D126" s="13" t="s">
        <v>379</v>
      </c>
      <c r="E126" s="14">
        <v>1160</v>
      </c>
      <c r="F126" s="104">
        <f t="shared" si="5"/>
        <v>42.533333333333331</v>
      </c>
      <c r="G126" s="104">
        <f t="shared" si="6"/>
        <v>41.29449838187702</v>
      </c>
      <c r="H126" s="104">
        <f t="shared" si="7"/>
        <v>40.507936507936506</v>
      </c>
      <c r="I126" s="104">
        <f t="shared" si="8"/>
        <v>46.4</v>
      </c>
      <c r="J126" s="133"/>
      <c r="K126" s="110">
        <f t="shared" si="9"/>
        <v>42.18181818181818</v>
      </c>
      <c r="L126" s="88">
        <v>45058</v>
      </c>
      <c r="M126" s="2"/>
    </row>
    <row r="127" spans="1:13" ht="22.5" customHeight="1">
      <c r="A127" s="2" t="s">
        <v>378</v>
      </c>
      <c r="B127" s="2" t="s">
        <v>377</v>
      </c>
      <c r="D127" s="13" t="s">
        <v>380</v>
      </c>
      <c r="F127" s="104">
        <f t="shared" si="5"/>
        <v>0</v>
      </c>
      <c r="G127" s="104">
        <f t="shared" si="6"/>
        <v>0</v>
      </c>
      <c r="H127" s="104">
        <f t="shared" si="7"/>
        <v>0</v>
      </c>
      <c r="I127" s="104">
        <f t="shared" si="8"/>
        <v>0</v>
      </c>
      <c r="J127" s="133"/>
      <c r="K127" s="110">
        <f t="shared" si="9"/>
        <v>0</v>
      </c>
      <c r="L127" s="88"/>
      <c r="M127" s="2"/>
    </row>
    <row r="128" spans="1:13" ht="22.5" customHeight="1">
      <c r="A128" s="2" t="s">
        <v>382</v>
      </c>
      <c r="B128" s="2" t="s">
        <v>381</v>
      </c>
      <c r="D128" s="13" t="s">
        <v>383</v>
      </c>
      <c r="E128" s="14">
        <v>1081.912</v>
      </c>
      <c r="F128" s="104">
        <f t="shared" si="5"/>
        <v>39.670106666666676</v>
      </c>
      <c r="G128" s="104">
        <f t="shared" si="6"/>
        <v>38.514666666666677</v>
      </c>
      <c r="H128" s="104">
        <f t="shared" si="7"/>
        <v>37.781053968253978</v>
      </c>
      <c r="I128" s="104">
        <f t="shared" si="8"/>
        <v>43.276479999999999</v>
      </c>
      <c r="J128" s="133"/>
      <c r="K128" s="110">
        <f t="shared" si="9"/>
        <v>39.342254545454544</v>
      </c>
      <c r="L128" s="88"/>
      <c r="M128" s="2"/>
    </row>
    <row r="129" spans="1:13" ht="22.5" customHeight="1">
      <c r="A129" s="2" t="s">
        <v>385</v>
      </c>
      <c r="B129" s="2" t="s">
        <v>384</v>
      </c>
      <c r="D129" s="13" t="s">
        <v>386</v>
      </c>
      <c r="E129" s="14">
        <v>632.00800000000004</v>
      </c>
      <c r="F129" s="104">
        <f t="shared" si="5"/>
        <v>23.173626666666671</v>
      </c>
      <c r="G129" s="104">
        <f t="shared" si="6"/>
        <v>22.498666666666669</v>
      </c>
      <c r="H129" s="104">
        <f t="shared" si="7"/>
        <v>22.070120634920638</v>
      </c>
      <c r="I129" s="104">
        <f t="shared" si="8"/>
        <v>25.280320000000003</v>
      </c>
      <c r="J129" s="133"/>
      <c r="K129" s="110">
        <f t="shared" si="9"/>
        <v>22.982109090909091</v>
      </c>
      <c r="L129" s="88"/>
      <c r="M129" s="2"/>
    </row>
    <row r="130" spans="1:13" ht="22.5" customHeight="1">
      <c r="A130" s="2" t="s">
        <v>388</v>
      </c>
      <c r="B130" s="2" t="s">
        <v>387</v>
      </c>
      <c r="D130" s="13" t="s">
        <v>389</v>
      </c>
      <c r="E130" s="14">
        <v>760.55200000000002</v>
      </c>
      <c r="F130" s="104">
        <f t="shared" ref="F130:F193" si="10">+(E130*1.1/30)</f>
        <v>27.886906666666668</v>
      </c>
      <c r="G130" s="104">
        <f t="shared" ref="G130:G193" si="11">+(F130*100/103)</f>
        <v>27.074666666666669</v>
      </c>
      <c r="H130" s="104">
        <f t="shared" ref="H130:H193" si="12">+(F130*100/105)</f>
        <v>26.558958730158732</v>
      </c>
      <c r="I130" s="104">
        <f t="shared" ref="I130:I193" si="13">+(E130*1.2/30)</f>
        <v>30.422080000000001</v>
      </c>
      <c r="J130" s="133"/>
      <c r="K130" s="110">
        <f t="shared" ref="K130:K193" si="14">+(E130*1.2/33)</f>
        <v>27.656436363636367</v>
      </c>
      <c r="L130" s="88"/>
      <c r="M130" s="2"/>
    </row>
    <row r="131" spans="1:13" ht="22.5" customHeight="1">
      <c r="A131" s="2" t="s">
        <v>391</v>
      </c>
      <c r="B131" s="2" t="s">
        <v>390</v>
      </c>
      <c r="D131" s="13" t="s">
        <v>392</v>
      </c>
      <c r="E131" s="14">
        <v>728.41599999999994</v>
      </c>
      <c r="F131" s="104">
        <f t="shared" si="10"/>
        <v>26.708586666666669</v>
      </c>
      <c r="G131" s="104">
        <f t="shared" si="11"/>
        <v>25.930666666666671</v>
      </c>
      <c r="H131" s="104">
        <f t="shared" si="12"/>
        <v>25.436749206349209</v>
      </c>
      <c r="I131" s="104">
        <f t="shared" si="13"/>
        <v>29.136639999999996</v>
      </c>
      <c r="J131" s="133"/>
      <c r="K131" s="110">
        <f t="shared" si="14"/>
        <v>26.487854545454542</v>
      </c>
      <c r="L131" s="88"/>
      <c r="M131" s="2"/>
    </row>
    <row r="132" spans="1:13" ht="22.5" customHeight="1">
      <c r="A132" s="2" t="s">
        <v>394</v>
      </c>
      <c r="B132" s="2" t="s">
        <v>393</v>
      </c>
      <c r="D132" s="13" t="s">
        <v>395</v>
      </c>
      <c r="E132" s="14">
        <v>653.43200000000002</v>
      </c>
      <c r="F132" s="104">
        <f t="shared" si="10"/>
        <v>23.959173333333336</v>
      </c>
      <c r="G132" s="104">
        <f t="shared" si="11"/>
        <v>23.261333333333337</v>
      </c>
      <c r="H132" s="104">
        <f t="shared" si="12"/>
        <v>22.818260317460322</v>
      </c>
      <c r="I132" s="104">
        <f t="shared" si="13"/>
        <v>26.137279999999997</v>
      </c>
      <c r="J132" s="133"/>
      <c r="K132" s="110">
        <f t="shared" si="14"/>
        <v>23.761163636363634</v>
      </c>
      <c r="L132" s="88"/>
      <c r="M132" s="2"/>
    </row>
    <row r="133" spans="1:13" ht="22.5" customHeight="1">
      <c r="A133" s="2" t="s">
        <v>397</v>
      </c>
      <c r="B133" s="2" t="s">
        <v>396</v>
      </c>
      <c r="D133" s="13" t="s">
        <v>398</v>
      </c>
      <c r="E133" s="14">
        <v>664.14400000000001</v>
      </c>
      <c r="F133" s="104">
        <f t="shared" si="10"/>
        <v>24.35194666666667</v>
      </c>
      <c r="G133" s="104">
        <f t="shared" si="11"/>
        <v>23.64266666666667</v>
      </c>
      <c r="H133" s="104">
        <f t="shared" si="12"/>
        <v>23.192330158730165</v>
      </c>
      <c r="I133" s="104">
        <f t="shared" si="13"/>
        <v>26.565760000000001</v>
      </c>
      <c r="J133" s="133"/>
      <c r="K133" s="110">
        <f t="shared" si="14"/>
        <v>24.150690909090908</v>
      </c>
      <c r="L133" s="88"/>
      <c r="M133" s="2"/>
    </row>
    <row r="134" spans="1:13" ht="22.5" customHeight="1">
      <c r="A134" s="2" t="s">
        <v>400</v>
      </c>
      <c r="B134" s="2" t="s">
        <v>399</v>
      </c>
      <c r="D134" s="13" t="s">
        <v>401</v>
      </c>
      <c r="E134" s="14">
        <v>653.43200000000002</v>
      </c>
      <c r="F134" s="104">
        <f t="shared" si="10"/>
        <v>23.959173333333336</v>
      </c>
      <c r="G134" s="104">
        <f t="shared" si="11"/>
        <v>23.261333333333337</v>
      </c>
      <c r="H134" s="104">
        <f t="shared" si="12"/>
        <v>22.818260317460322</v>
      </c>
      <c r="I134" s="104">
        <f t="shared" si="13"/>
        <v>26.137279999999997</v>
      </c>
      <c r="J134" s="133"/>
      <c r="K134" s="110">
        <f t="shared" si="14"/>
        <v>23.761163636363634</v>
      </c>
      <c r="L134" s="88"/>
      <c r="M134" s="2"/>
    </row>
    <row r="135" spans="1:13" ht="22.5" customHeight="1">
      <c r="A135" s="2" t="s">
        <v>403</v>
      </c>
      <c r="B135" s="2" t="s">
        <v>402</v>
      </c>
      <c r="D135" s="13" t="s">
        <v>404</v>
      </c>
      <c r="E135" s="14">
        <v>738.05680000000007</v>
      </c>
      <c r="F135" s="104">
        <f t="shared" si="10"/>
        <v>27.062082666666672</v>
      </c>
      <c r="G135" s="104">
        <f t="shared" si="11"/>
        <v>26.273866666666674</v>
      </c>
      <c r="H135" s="104">
        <f t="shared" si="12"/>
        <v>25.773412063492071</v>
      </c>
      <c r="I135" s="104">
        <f t="shared" si="13"/>
        <v>29.522272000000001</v>
      </c>
      <c r="J135" s="133"/>
      <c r="K135" s="110">
        <f t="shared" si="14"/>
        <v>26.838429090909091</v>
      </c>
      <c r="L135" s="88"/>
      <c r="M135" s="2"/>
    </row>
    <row r="136" spans="1:13" ht="22.5" customHeight="1">
      <c r="A136" s="2" t="s">
        <v>406</v>
      </c>
      <c r="B136" s="2" t="s">
        <v>405</v>
      </c>
      <c r="D136" s="13" t="s">
        <v>407</v>
      </c>
      <c r="E136" s="14">
        <v>760.55200000000002</v>
      </c>
      <c r="F136" s="104">
        <f t="shared" si="10"/>
        <v>27.886906666666668</v>
      </c>
      <c r="G136" s="104">
        <f t="shared" si="11"/>
        <v>27.074666666666669</v>
      </c>
      <c r="H136" s="104">
        <f t="shared" si="12"/>
        <v>26.558958730158732</v>
      </c>
      <c r="I136" s="104">
        <f t="shared" si="13"/>
        <v>30.422080000000001</v>
      </c>
      <c r="J136" s="133"/>
      <c r="K136" s="110">
        <f t="shared" si="14"/>
        <v>27.656436363636367</v>
      </c>
      <c r="L136" s="88"/>
      <c r="M136" s="2"/>
    </row>
    <row r="137" spans="1:13" ht="22.5" customHeight="1">
      <c r="A137" s="2" t="s">
        <v>409</v>
      </c>
      <c r="B137" s="2" t="s">
        <v>408</v>
      </c>
      <c r="D137" s="13" t="s">
        <v>410</v>
      </c>
      <c r="E137" s="14">
        <v>607.37040000000002</v>
      </c>
      <c r="F137" s="104">
        <f t="shared" si="10"/>
        <v>22.270248000000002</v>
      </c>
      <c r="G137" s="104">
        <f t="shared" si="11"/>
        <v>21.621600000000001</v>
      </c>
      <c r="H137" s="104">
        <f t="shared" si="12"/>
        <v>21.209760000000003</v>
      </c>
      <c r="I137" s="104">
        <f t="shared" si="13"/>
        <v>24.294816000000001</v>
      </c>
      <c r="J137" s="133"/>
      <c r="K137" s="110">
        <f t="shared" si="14"/>
        <v>22.086196363636361</v>
      </c>
      <c r="L137" s="88"/>
      <c r="M137" s="2"/>
    </row>
    <row r="138" spans="1:13" ht="22.5" customHeight="1">
      <c r="A138" s="2" t="s">
        <v>412</v>
      </c>
      <c r="B138" s="2" t="s">
        <v>411</v>
      </c>
      <c r="D138" s="13" t="s">
        <v>413</v>
      </c>
      <c r="E138" s="14">
        <v>629.86559999999997</v>
      </c>
      <c r="F138" s="104">
        <f t="shared" si="10"/>
        <v>23.095072000000002</v>
      </c>
      <c r="G138" s="104">
        <f t="shared" si="11"/>
        <v>22.4224</v>
      </c>
      <c r="H138" s="104">
        <f t="shared" si="12"/>
        <v>21.995306666666668</v>
      </c>
      <c r="I138" s="104">
        <f t="shared" si="13"/>
        <v>25.194623999999997</v>
      </c>
      <c r="J138" s="133"/>
      <c r="K138" s="110">
        <f t="shared" si="14"/>
        <v>22.904203636363636</v>
      </c>
      <c r="L138" s="88"/>
      <c r="M138" s="2"/>
    </row>
    <row r="139" spans="1:13" ht="22.5" customHeight="1">
      <c r="A139" s="2" t="s">
        <v>415</v>
      </c>
      <c r="B139" s="2" t="s">
        <v>414</v>
      </c>
      <c r="D139" s="13" t="s">
        <v>416</v>
      </c>
      <c r="E139" s="14">
        <v>810.89840000000004</v>
      </c>
      <c r="F139" s="104">
        <f t="shared" si="10"/>
        <v>29.732941333333336</v>
      </c>
      <c r="G139" s="104">
        <f t="shared" si="11"/>
        <v>28.866933333333339</v>
      </c>
      <c r="H139" s="104">
        <f t="shared" si="12"/>
        <v>28.317086984126988</v>
      </c>
      <c r="I139" s="104">
        <f t="shared" si="13"/>
        <v>32.435935999999998</v>
      </c>
      <c r="J139" s="133"/>
      <c r="K139" s="110">
        <f t="shared" si="14"/>
        <v>29.487214545454545</v>
      </c>
      <c r="L139" s="88"/>
      <c r="M139" s="2"/>
    </row>
    <row r="140" spans="1:13" ht="22.5" customHeight="1">
      <c r="A140" s="2" t="s">
        <v>418</v>
      </c>
      <c r="B140" s="2" t="s">
        <v>417</v>
      </c>
      <c r="D140" s="13" t="s">
        <v>419</v>
      </c>
      <c r="E140" s="14">
        <v>596.65840000000003</v>
      </c>
      <c r="F140" s="104">
        <f t="shared" si="10"/>
        <v>21.877474666666668</v>
      </c>
      <c r="G140" s="104">
        <f t="shared" si="11"/>
        <v>21.240266666666667</v>
      </c>
      <c r="H140" s="104">
        <f t="shared" si="12"/>
        <v>20.835690158730159</v>
      </c>
      <c r="I140" s="104">
        <f t="shared" si="13"/>
        <v>23.866336</v>
      </c>
      <c r="J140" s="133"/>
      <c r="K140" s="110">
        <f t="shared" si="14"/>
        <v>21.696669090909094</v>
      </c>
      <c r="L140" s="88"/>
      <c r="M140" s="2"/>
    </row>
    <row r="141" spans="1:13" ht="22.5" customHeight="1">
      <c r="A141" s="2" t="s">
        <v>421</v>
      </c>
      <c r="B141" s="2" t="s">
        <v>420</v>
      </c>
      <c r="D141" s="13" t="s">
        <v>422</v>
      </c>
      <c r="E141" s="14">
        <v>596.65840000000003</v>
      </c>
      <c r="F141" s="104">
        <f t="shared" si="10"/>
        <v>21.877474666666668</v>
      </c>
      <c r="G141" s="104">
        <f t="shared" si="11"/>
        <v>21.240266666666667</v>
      </c>
      <c r="H141" s="104">
        <f t="shared" si="12"/>
        <v>20.835690158730159</v>
      </c>
      <c r="I141" s="104">
        <f t="shared" si="13"/>
        <v>23.866336</v>
      </c>
      <c r="J141" s="133"/>
      <c r="K141" s="110">
        <f t="shared" si="14"/>
        <v>21.696669090909094</v>
      </c>
      <c r="L141" s="88"/>
      <c r="M141" s="2"/>
    </row>
    <row r="142" spans="1:13" ht="22.5" customHeight="1">
      <c r="A142" s="2" t="s">
        <v>424</v>
      </c>
      <c r="B142" s="2" t="s">
        <v>423</v>
      </c>
      <c r="D142" s="13" t="s">
        <v>425</v>
      </c>
      <c r="E142" s="14">
        <v>724.13119999999992</v>
      </c>
      <c r="F142" s="104">
        <f t="shared" si="10"/>
        <v>26.551477333333331</v>
      </c>
      <c r="G142" s="104">
        <f t="shared" si="11"/>
        <v>25.778133333333333</v>
      </c>
      <c r="H142" s="104">
        <f t="shared" si="12"/>
        <v>25.287121269841268</v>
      </c>
      <c r="I142" s="104">
        <f t="shared" si="13"/>
        <v>28.965247999999995</v>
      </c>
      <c r="J142" s="133"/>
      <c r="K142" s="110">
        <f t="shared" si="14"/>
        <v>26.332043636363633</v>
      </c>
      <c r="L142" s="88"/>
      <c r="M142" s="2"/>
    </row>
    <row r="143" spans="1:13" ht="22.5" customHeight="1">
      <c r="A143" s="2" t="s">
        <v>427</v>
      </c>
      <c r="B143" s="2" t="s">
        <v>426</v>
      </c>
      <c r="C143" s="2" t="s">
        <v>8641</v>
      </c>
      <c r="D143" s="13" t="s">
        <v>428</v>
      </c>
      <c r="E143" s="14">
        <v>632.00800000000004</v>
      </c>
      <c r="F143" s="104">
        <f t="shared" si="10"/>
        <v>23.173626666666671</v>
      </c>
      <c r="G143" s="104">
        <f t="shared" si="11"/>
        <v>22.498666666666669</v>
      </c>
      <c r="H143" s="104">
        <f t="shared" si="12"/>
        <v>22.070120634920638</v>
      </c>
      <c r="I143" s="104">
        <f t="shared" si="13"/>
        <v>25.280320000000003</v>
      </c>
      <c r="J143" s="133"/>
      <c r="K143" s="110">
        <f t="shared" si="14"/>
        <v>22.982109090909091</v>
      </c>
      <c r="L143" s="88"/>
      <c r="M143" s="2"/>
    </row>
    <row r="144" spans="1:13" ht="22.5" customHeight="1">
      <c r="A144" s="2" t="s">
        <v>430</v>
      </c>
      <c r="B144" s="2" t="s">
        <v>429</v>
      </c>
      <c r="D144" s="13" t="s">
        <v>431</v>
      </c>
      <c r="E144" s="14">
        <v>739.12800000000004</v>
      </c>
      <c r="F144" s="104">
        <f t="shared" si="10"/>
        <v>27.101360000000003</v>
      </c>
      <c r="G144" s="104">
        <f t="shared" si="11"/>
        <v>26.312000000000005</v>
      </c>
      <c r="H144" s="104">
        <f t="shared" si="12"/>
        <v>25.810819047619052</v>
      </c>
      <c r="I144" s="104">
        <f t="shared" si="13"/>
        <v>29.56512</v>
      </c>
      <c r="J144" s="133"/>
      <c r="K144" s="110">
        <f t="shared" si="14"/>
        <v>26.877381818181821</v>
      </c>
      <c r="L144" s="88"/>
      <c r="M144" s="2"/>
    </row>
    <row r="145" spans="1:13" ht="22.5" customHeight="1">
      <c r="A145" s="2" t="s">
        <v>433</v>
      </c>
      <c r="B145" s="2" t="s">
        <v>432</v>
      </c>
      <c r="D145" s="13" t="s">
        <v>434</v>
      </c>
      <c r="E145" s="14">
        <v>1045.4911999999999</v>
      </c>
      <c r="F145" s="104">
        <f t="shared" si="10"/>
        <v>38.334677333333339</v>
      </c>
      <c r="G145" s="104">
        <f t="shared" si="11"/>
        <v>37.218133333333341</v>
      </c>
      <c r="H145" s="104">
        <f t="shared" si="12"/>
        <v>36.509216507936515</v>
      </c>
      <c r="I145" s="104">
        <f t="shared" si="13"/>
        <v>41.819648000000001</v>
      </c>
      <c r="J145" s="133"/>
      <c r="K145" s="110">
        <f t="shared" si="14"/>
        <v>38.017861818181814</v>
      </c>
      <c r="L145" s="88"/>
      <c r="M145" s="2"/>
    </row>
    <row r="146" spans="1:13" ht="22.5" customHeight="1">
      <c r="A146" s="2" t="s">
        <v>436</v>
      </c>
      <c r="B146" s="2" t="s">
        <v>435</v>
      </c>
      <c r="D146" s="13" t="s">
        <v>437</v>
      </c>
      <c r="E146" s="14">
        <v>724.13119999999992</v>
      </c>
      <c r="F146" s="104">
        <f t="shared" si="10"/>
        <v>26.551477333333331</v>
      </c>
      <c r="G146" s="104">
        <f t="shared" si="11"/>
        <v>25.778133333333333</v>
      </c>
      <c r="H146" s="104">
        <f t="shared" si="12"/>
        <v>25.287121269841268</v>
      </c>
      <c r="I146" s="104">
        <f t="shared" si="13"/>
        <v>28.965247999999995</v>
      </c>
      <c r="J146" s="133"/>
      <c r="K146" s="110">
        <f t="shared" si="14"/>
        <v>26.332043636363633</v>
      </c>
      <c r="L146" s="88"/>
      <c r="M146" s="2"/>
    </row>
    <row r="147" spans="1:13" ht="22.5" customHeight="1">
      <c r="A147" s="2" t="s">
        <v>439</v>
      </c>
      <c r="B147" s="2" t="s">
        <v>438</v>
      </c>
      <c r="D147" s="13" t="s">
        <v>440</v>
      </c>
      <c r="E147" s="14">
        <v>868.7432</v>
      </c>
      <c r="F147" s="104">
        <f t="shared" si="10"/>
        <v>31.853917333333339</v>
      </c>
      <c r="G147" s="104">
        <f t="shared" si="11"/>
        <v>30.92613333333334</v>
      </c>
      <c r="H147" s="104">
        <f t="shared" si="12"/>
        <v>30.337064126984131</v>
      </c>
      <c r="I147" s="104">
        <f t="shared" si="13"/>
        <v>34.749727999999998</v>
      </c>
      <c r="J147" s="133"/>
      <c r="K147" s="110">
        <f t="shared" si="14"/>
        <v>31.590661818181815</v>
      </c>
      <c r="L147" s="88"/>
      <c r="M147" s="2"/>
    </row>
    <row r="148" spans="1:13" ht="22.5" customHeight="1">
      <c r="A148" s="2" t="s">
        <v>442</v>
      </c>
      <c r="B148" s="2" t="s">
        <v>441</v>
      </c>
      <c r="D148" s="13" t="s">
        <v>443</v>
      </c>
      <c r="E148" s="14">
        <v>1026.2095999999999</v>
      </c>
      <c r="F148" s="104">
        <f t="shared" si="10"/>
        <v>37.627685333333339</v>
      </c>
      <c r="G148" s="104">
        <f t="shared" si="11"/>
        <v>36.531733333333335</v>
      </c>
      <c r="H148" s="104">
        <f t="shared" si="12"/>
        <v>35.835890793650798</v>
      </c>
      <c r="I148" s="104">
        <f t="shared" si="13"/>
        <v>41.048383999999992</v>
      </c>
      <c r="J148" s="133"/>
      <c r="K148" s="110">
        <f t="shared" si="14"/>
        <v>37.316712727272723</v>
      </c>
      <c r="L148" s="88"/>
      <c r="M148" s="2"/>
    </row>
    <row r="149" spans="1:13" ht="22.5" customHeight="1">
      <c r="A149" s="2" t="s">
        <v>445</v>
      </c>
      <c r="B149" s="2" t="s">
        <v>444</v>
      </c>
      <c r="D149" s="13" t="s">
        <v>446</v>
      </c>
      <c r="E149" s="14">
        <v>739.12800000000004</v>
      </c>
      <c r="F149" s="104">
        <f t="shared" si="10"/>
        <v>27.101360000000003</v>
      </c>
      <c r="G149" s="104">
        <f t="shared" si="11"/>
        <v>26.312000000000005</v>
      </c>
      <c r="H149" s="104">
        <f t="shared" si="12"/>
        <v>25.810819047619052</v>
      </c>
      <c r="I149" s="104">
        <f t="shared" si="13"/>
        <v>29.56512</v>
      </c>
      <c r="J149" s="133"/>
      <c r="K149" s="110">
        <f t="shared" si="14"/>
        <v>26.877381818181821</v>
      </c>
      <c r="L149" s="88"/>
      <c r="M149" s="2"/>
    </row>
    <row r="150" spans="1:13" ht="22.5" customHeight="1">
      <c r="A150" s="2" t="s">
        <v>448</v>
      </c>
      <c r="B150" s="2" t="s">
        <v>447</v>
      </c>
      <c r="D150" s="13" t="s">
        <v>449</v>
      </c>
      <c r="E150" s="14">
        <v>596.65840000000003</v>
      </c>
      <c r="F150" s="104">
        <f t="shared" si="10"/>
        <v>21.877474666666668</v>
      </c>
      <c r="G150" s="104">
        <f t="shared" si="11"/>
        <v>21.240266666666667</v>
      </c>
      <c r="H150" s="104">
        <f t="shared" si="12"/>
        <v>20.835690158730159</v>
      </c>
      <c r="I150" s="104">
        <f t="shared" si="13"/>
        <v>23.866336</v>
      </c>
      <c r="J150" s="133"/>
      <c r="K150" s="110">
        <f t="shared" si="14"/>
        <v>21.696669090909094</v>
      </c>
      <c r="L150" s="88"/>
      <c r="M150" s="2"/>
    </row>
    <row r="151" spans="1:13" ht="22.5" customHeight="1">
      <c r="A151" s="2" t="s">
        <v>451</v>
      </c>
      <c r="B151" s="2" t="s">
        <v>450</v>
      </c>
      <c r="D151" s="13" t="s">
        <v>452</v>
      </c>
      <c r="E151" s="14">
        <v>567.73599999999999</v>
      </c>
      <c r="F151" s="104">
        <f t="shared" si="10"/>
        <v>20.816986666666669</v>
      </c>
      <c r="G151" s="104">
        <f t="shared" si="11"/>
        <v>20.210666666666668</v>
      </c>
      <c r="H151" s="104">
        <f t="shared" si="12"/>
        <v>19.825701587301587</v>
      </c>
      <c r="I151" s="104">
        <f t="shared" si="13"/>
        <v>22.709439999999997</v>
      </c>
      <c r="J151" s="133"/>
      <c r="K151" s="110">
        <f t="shared" si="14"/>
        <v>20.644945454545454</v>
      </c>
      <c r="L151" s="88"/>
      <c r="M151" s="2"/>
    </row>
    <row r="152" spans="1:13" ht="22.5" customHeight="1">
      <c r="A152" s="2" t="s">
        <v>454</v>
      </c>
      <c r="B152" s="2" t="s">
        <v>453</v>
      </c>
      <c r="D152" s="13" t="s">
        <v>455</v>
      </c>
      <c r="E152" s="14">
        <v>682.35440000000006</v>
      </c>
      <c r="F152" s="104">
        <f t="shared" si="10"/>
        <v>25.019661333333335</v>
      </c>
      <c r="G152" s="104">
        <f t="shared" si="11"/>
        <v>24.290933333333335</v>
      </c>
      <c r="H152" s="104">
        <f t="shared" si="12"/>
        <v>23.82824888888889</v>
      </c>
      <c r="I152" s="104">
        <f t="shared" si="13"/>
        <v>27.294176</v>
      </c>
      <c r="J152" s="133"/>
      <c r="K152" s="110">
        <f t="shared" si="14"/>
        <v>24.812887272727274</v>
      </c>
      <c r="L152" s="88"/>
      <c r="M152" s="2"/>
    </row>
    <row r="153" spans="1:13" ht="22.5" customHeight="1">
      <c r="A153" s="2" t="s">
        <v>457</v>
      </c>
      <c r="B153" s="2" t="s">
        <v>456</v>
      </c>
      <c r="D153" s="13" t="s">
        <v>458</v>
      </c>
      <c r="E153" s="14">
        <v>520</v>
      </c>
      <c r="F153" s="104">
        <f t="shared" si="10"/>
        <v>19.066666666666666</v>
      </c>
      <c r="G153" s="104">
        <f t="shared" si="11"/>
        <v>18.511326860841425</v>
      </c>
      <c r="H153" s="104">
        <f t="shared" si="12"/>
        <v>18.158730158730158</v>
      </c>
      <c r="I153" s="104">
        <f t="shared" si="13"/>
        <v>20.8</v>
      </c>
      <c r="J153" s="133"/>
      <c r="K153" s="110">
        <f t="shared" si="14"/>
        <v>18.90909090909091</v>
      </c>
      <c r="L153" s="88"/>
      <c r="M153" s="2"/>
    </row>
    <row r="154" spans="1:13" ht="22.5" customHeight="1">
      <c r="A154" s="2" t="s">
        <v>460</v>
      </c>
      <c r="B154" s="2" t="s">
        <v>459</v>
      </c>
      <c r="D154" s="13" t="s">
        <v>461</v>
      </c>
      <c r="E154" s="14">
        <v>567.73599999999999</v>
      </c>
      <c r="F154" s="104">
        <f t="shared" si="10"/>
        <v>20.816986666666669</v>
      </c>
      <c r="G154" s="104">
        <f t="shared" si="11"/>
        <v>20.210666666666668</v>
      </c>
      <c r="H154" s="104">
        <f t="shared" si="12"/>
        <v>19.825701587301587</v>
      </c>
      <c r="I154" s="104">
        <f t="shared" si="13"/>
        <v>22.709439999999997</v>
      </c>
      <c r="J154" s="133"/>
      <c r="K154" s="110">
        <f t="shared" si="14"/>
        <v>20.644945454545454</v>
      </c>
      <c r="L154" s="88"/>
      <c r="M154" s="2"/>
    </row>
    <row r="155" spans="1:13" ht="22.5" customHeight="1">
      <c r="A155" s="2" t="s">
        <v>463</v>
      </c>
      <c r="B155" s="2" t="s">
        <v>462</v>
      </c>
      <c r="D155" s="13" t="s">
        <v>464</v>
      </c>
      <c r="E155" s="14">
        <v>540</v>
      </c>
      <c r="F155" s="104">
        <f t="shared" si="10"/>
        <v>19.8</v>
      </c>
      <c r="G155" s="104">
        <f t="shared" si="11"/>
        <v>19.223300970873787</v>
      </c>
      <c r="H155" s="104">
        <f t="shared" si="12"/>
        <v>18.857142857142858</v>
      </c>
      <c r="I155" s="104">
        <f t="shared" si="13"/>
        <v>21.6</v>
      </c>
      <c r="J155" s="133"/>
      <c r="K155" s="110">
        <f t="shared" si="14"/>
        <v>19.636363636363637</v>
      </c>
      <c r="L155" s="88"/>
      <c r="M155" s="2"/>
    </row>
    <row r="156" spans="1:13" ht="22.5" customHeight="1">
      <c r="A156" s="2" t="s">
        <v>466</v>
      </c>
      <c r="B156" s="2" t="s">
        <v>465</v>
      </c>
      <c r="D156" s="13" t="s">
        <v>467</v>
      </c>
      <c r="E156" s="14">
        <v>724.13119999999992</v>
      </c>
      <c r="F156" s="104">
        <f t="shared" si="10"/>
        <v>26.551477333333331</v>
      </c>
      <c r="G156" s="104">
        <f t="shared" si="11"/>
        <v>25.778133333333333</v>
      </c>
      <c r="H156" s="104">
        <f t="shared" si="12"/>
        <v>25.287121269841268</v>
      </c>
      <c r="I156" s="104">
        <f t="shared" si="13"/>
        <v>28.965247999999995</v>
      </c>
      <c r="J156" s="133"/>
      <c r="K156" s="110">
        <f t="shared" si="14"/>
        <v>26.332043636363633</v>
      </c>
      <c r="L156" s="88"/>
      <c r="M156" s="2"/>
    </row>
    <row r="157" spans="1:13" ht="22.5" customHeight="1">
      <c r="A157" s="2" t="s">
        <v>469</v>
      </c>
      <c r="B157" s="2" t="s">
        <v>468</v>
      </c>
      <c r="D157" s="13" t="s">
        <v>470</v>
      </c>
      <c r="E157" s="14">
        <v>724.13119999999992</v>
      </c>
      <c r="F157" s="104">
        <f t="shared" si="10"/>
        <v>26.551477333333331</v>
      </c>
      <c r="G157" s="104">
        <f t="shared" si="11"/>
        <v>25.778133333333333</v>
      </c>
      <c r="H157" s="104">
        <f t="shared" si="12"/>
        <v>25.287121269841268</v>
      </c>
      <c r="I157" s="104">
        <f t="shared" si="13"/>
        <v>28.965247999999995</v>
      </c>
      <c r="J157" s="133"/>
      <c r="K157" s="110">
        <f t="shared" si="14"/>
        <v>26.332043636363633</v>
      </c>
      <c r="L157" s="88"/>
      <c r="M157" s="2"/>
    </row>
    <row r="158" spans="1:13" ht="22.5" customHeight="1">
      <c r="A158" s="2" t="s">
        <v>472</v>
      </c>
      <c r="B158" s="2" t="s">
        <v>471</v>
      </c>
      <c r="D158" s="13" t="s">
        <v>473</v>
      </c>
      <c r="E158" s="14">
        <v>810.89840000000004</v>
      </c>
      <c r="F158" s="104">
        <f t="shared" si="10"/>
        <v>29.732941333333336</v>
      </c>
      <c r="G158" s="104">
        <f t="shared" si="11"/>
        <v>28.866933333333339</v>
      </c>
      <c r="H158" s="104">
        <f t="shared" si="12"/>
        <v>28.317086984126988</v>
      </c>
      <c r="I158" s="104">
        <f t="shared" si="13"/>
        <v>32.435935999999998</v>
      </c>
      <c r="J158" s="133"/>
      <c r="K158" s="110">
        <f t="shared" si="14"/>
        <v>29.487214545454545</v>
      </c>
      <c r="L158" s="88"/>
      <c r="M158" s="2"/>
    </row>
    <row r="159" spans="1:13" ht="22.5" customHeight="1">
      <c r="A159" s="2" t="s">
        <v>475</v>
      </c>
      <c r="B159" s="2" t="s">
        <v>474</v>
      </c>
      <c r="D159" s="13" t="s">
        <v>476</v>
      </c>
      <c r="E159" s="14">
        <v>724.13119999999992</v>
      </c>
      <c r="F159" s="104">
        <f t="shared" si="10"/>
        <v>26.551477333333331</v>
      </c>
      <c r="G159" s="104">
        <f t="shared" si="11"/>
        <v>25.778133333333333</v>
      </c>
      <c r="H159" s="104">
        <f t="shared" si="12"/>
        <v>25.287121269841268</v>
      </c>
      <c r="I159" s="104">
        <f t="shared" si="13"/>
        <v>28.965247999999995</v>
      </c>
      <c r="J159" s="133"/>
      <c r="K159" s="110">
        <f t="shared" si="14"/>
        <v>26.332043636363633</v>
      </c>
      <c r="L159" s="88"/>
      <c r="M159" s="2"/>
    </row>
    <row r="160" spans="1:13" ht="22.5" customHeight="1">
      <c r="A160" s="2" t="s">
        <v>478</v>
      </c>
      <c r="B160" s="2" t="s">
        <v>477</v>
      </c>
      <c r="D160" s="13" t="s">
        <v>479</v>
      </c>
      <c r="E160" s="14">
        <v>724.13119999999992</v>
      </c>
      <c r="F160" s="104">
        <f t="shared" si="10"/>
        <v>26.551477333333331</v>
      </c>
      <c r="G160" s="104">
        <f t="shared" si="11"/>
        <v>25.778133333333333</v>
      </c>
      <c r="H160" s="104">
        <f t="shared" si="12"/>
        <v>25.287121269841268</v>
      </c>
      <c r="I160" s="104">
        <f t="shared" si="13"/>
        <v>28.965247999999995</v>
      </c>
      <c r="J160" s="133"/>
      <c r="K160" s="110">
        <f t="shared" si="14"/>
        <v>26.332043636363633</v>
      </c>
      <c r="L160" s="88"/>
      <c r="M160" s="2"/>
    </row>
    <row r="161" spans="1:13" ht="22.5" customHeight="1">
      <c r="A161" s="2" t="s">
        <v>481</v>
      </c>
      <c r="B161" s="2" t="s">
        <v>480</v>
      </c>
      <c r="D161" s="13" t="s">
        <v>482</v>
      </c>
      <c r="E161" s="14">
        <v>724.13119999999992</v>
      </c>
      <c r="F161" s="104">
        <f t="shared" si="10"/>
        <v>26.551477333333331</v>
      </c>
      <c r="G161" s="104">
        <f t="shared" si="11"/>
        <v>25.778133333333333</v>
      </c>
      <c r="H161" s="104">
        <f t="shared" si="12"/>
        <v>25.287121269841268</v>
      </c>
      <c r="I161" s="104">
        <f t="shared" si="13"/>
        <v>28.965247999999995</v>
      </c>
      <c r="J161" s="133"/>
      <c r="K161" s="110">
        <f t="shared" si="14"/>
        <v>26.332043636363633</v>
      </c>
      <c r="L161" s="88"/>
      <c r="M161" s="2"/>
    </row>
    <row r="162" spans="1:13" ht="22.5" customHeight="1">
      <c r="A162" s="2" t="s">
        <v>484</v>
      </c>
      <c r="B162" s="2" t="s">
        <v>483</v>
      </c>
      <c r="D162" s="13" t="s">
        <v>485</v>
      </c>
      <c r="E162" s="14">
        <v>724.13119999999992</v>
      </c>
      <c r="F162" s="104">
        <f t="shared" si="10"/>
        <v>26.551477333333331</v>
      </c>
      <c r="G162" s="104">
        <f t="shared" si="11"/>
        <v>25.778133333333333</v>
      </c>
      <c r="H162" s="104">
        <f t="shared" si="12"/>
        <v>25.287121269841268</v>
      </c>
      <c r="I162" s="104">
        <f t="shared" si="13"/>
        <v>28.965247999999995</v>
      </c>
      <c r="J162" s="133"/>
      <c r="K162" s="110">
        <f t="shared" si="14"/>
        <v>26.332043636363633</v>
      </c>
      <c r="L162" s="88"/>
      <c r="M162" s="2"/>
    </row>
    <row r="163" spans="1:13" ht="22.5" customHeight="1">
      <c r="A163" s="2" t="s">
        <v>487</v>
      </c>
      <c r="B163" s="2" t="s">
        <v>486</v>
      </c>
      <c r="D163" s="13" t="s">
        <v>488</v>
      </c>
      <c r="E163" s="14">
        <v>724.13119999999992</v>
      </c>
      <c r="F163" s="104">
        <f t="shared" si="10"/>
        <v>26.551477333333331</v>
      </c>
      <c r="G163" s="104">
        <f t="shared" si="11"/>
        <v>25.778133333333333</v>
      </c>
      <c r="H163" s="104">
        <f t="shared" si="12"/>
        <v>25.287121269841268</v>
      </c>
      <c r="I163" s="104">
        <f t="shared" si="13"/>
        <v>28.965247999999995</v>
      </c>
      <c r="J163" s="133"/>
      <c r="K163" s="110">
        <f t="shared" si="14"/>
        <v>26.332043636363633</v>
      </c>
      <c r="L163" s="88"/>
      <c r="M163" s="2"/>
    </row>
    <row r="164" spans="1:13" ht="22.5" customHeight="1">
      <c r="A164" s="2" t="s">
        <v>490</v>
      </c>
      <c r="B164" s="2" t="s">
        <v>489</v>
      </c>
      <c r="D164" s="13" t="s">
        <v>491</v>
      </c>
      <c r="E164" s="14">
        <v>724.13119999999992</v>
      </c>
      <c r="F164" s="104">
        <f t="shared" si="10"/>
        <v>26.551477333333331</v>
      </c>
      <c r="G164" s="104">
        <f t="shared" si="11"/>
        <v>25.778133333333333</v>
      </c>
      <c r="H164" s="104">
        <f t="shared" si="12"/>
        <v>25.287121269841268</v>
      </c>
      <c r="I164" s="104">
        <f t="shared" si="13"/>
        <v>28.965247999999995</v>
      </c>
      <c r="J164" s="133"/>
      <c r="K164" s="110">
        <f t="shared" si="14"/>
        <v>26.332043636363633</v>
      </c>
      <c r="L164" s="88"/>
      <c r="M164" s="2"/>
    </row>
    <row r="165" spans="1:13" ht="22.5" customHeight="1">
      <c r="A165" s="2" t="s">
        <v>493</v>
      </c>
      <c r="B165" s="2" t="s">
        <v>492</v>
      </c>
      <c r="D165" s="13" t="s">
        <v>494</v>
      </c>
      <c r="E165" s="14">
        <v>596.65840000000003</v>
      </c>
      <c r="F165" s="104">
        <f t="shared" si="10"/>
        <v>21.877474666666668</v>
      </c>
      <c r="G165" s="104">
        <f t="shared" si="11"/>
        <v>21.240266666666667</v>
      </c>
      <c r="H165" s="104">
        <f t="shared" si="12"/>
        <v>20.835690158730159</v>
      </c>
      <c r="I165" s="104">
        <f t="shared" si="13"/>
        <v>23.866336</v>
      </c>
      <c r="J165" s="133"/>
      <c r="K165" s="110">
        <f t="shared" si="14"/>
        <v>21.696669090909094</v>
      </c>
      <c r="L165" s="88"/>
      <c r="M165" s="2"/>
    </row>
    <row r="166" spans="1:13" ht="22.5" customHeight="1">
      <c r="A166" s="2" t="s">
        <v>496</v>
      </c>
      <c r="B166" s="2" t="s">
        <v>495</v>
      </c>
      <c r="D166" s="13" t="s">
        <v>497</v>
      </c>
      <c r="E166" s="14">
        <v>567.73599999999999</v>
      </c>
      <c r="F166" s="104">
        <f t="shared" si="10"/>
        <v>20.816986666666669</v>
      </c>
      <c r="G166" s="104">
        <f t="shared" si="11"/>
        <v>20.210666666666668</v>
      </c>
      <c r="H166" s="104">
        <f t="shared" si="12"/>
        <v>19.825701587301587</v>
      </c>
      <c r="I166" s="104">
        <f t="shared" si="13"/>
        <v>22.709439999999997</v>
      </c>
      <c r="J166" s="133"/>
      <c r="K166" s="110">
        <f t="shared" si="14"/>
        <v>20.644945454545454</v>
      </c>
      <c r="L166" s="88"/>
      <c r="M166" s="2"/>
    </row>
    <row r="167" spans="1:13" ht="22.5" customHeight="1">
      <c r="A167" s="2" t="s">
        <v>499</v>
      </c>
      <c r="B167" s="2" t="s">
        <v>498</v>
      </c>
      <c r="D167" s="13" t="s">
        <v>500</v>
      </c>
      <c r="E167" s="14">
        <v>520</v>
      </c>
      <c r="F167" s="104">
        <f t="shared" si="10"/>
        <v>19.066666666666666</v>
      </c>
      <c r="G167" s="104">
        <f t="shared" si="11"/>
        <v>18.511326860841425</v>
      </c>
      <c r="H167" s="104">
        <f t="shared" si="12"/>
        <v>18.158730158730158</v>
      </c>
      <c r="I167" s="104">
        <f t="shared" si="13"/>
        <v>20.8</v>
      </c>
      <c r="J167" s="133"/>
      <c r="K167" s="110">
        <f t="shared" si="14"/>
        <v>18.90909090909091</v>
      </c>
      <c r="L167" s="88"/>
      <c r="M167" s="2"/>
    </row>
    <row r="168" spans="1:13" ht="22.5" customHeight="1">
      <c r="A168" s="2" t="s">
        <v>502</v>
      </c>
      <c r="B168" s="2" t="s">
        <v>501</v>
      </c>
      <c r="D168" s="13" t="s">
        <v>503</v>
      </c>
      <c r="E168" s="14">
        <v>520</v>
      </c>
      <c r="F168" s="104">
        <f t="shared" si="10"/>
        <v>19.066666666666666</v>
      </c>
      <c r="G168" s="104">
        <f t="shared" si="11"/>
        <v>18.511326860841425</v>
      </c>
      <c r="H168" s="104">
        <f t="shared" si="12"/>
        <v>18.158730158730158</v>
      </c>
      <c r="I168" s="104">
        <f t="shared" si="13"/>
        <v>20.8</v>
      </c>
      <c r="J168" s="133"/>
      <c r="K168" s="110">
        <f t="shared" si="14"/>
        <v>18.90909090909091</v>
      </c>
      <c r="L168" s="88"/>
      <c r="M168" s="2"/>
    </row>
    <row r="169" spans="1:13" ht="22.5" customHeight="1">
      <c r="A169" s="2" t="s">
        <v>505</v>
      </c>
      <c r="B169" s="2" t="s">
        <v>504</v>
      </c>
      <c r="D169" s="13" t="s">
        <v>506</v>
      </c>
      <c r="E169" s="14">
        <v>567.73599999999999</v>
      </c>
      <c r="F169" s="104">
        <f t="shared" si="10"/>
        <v>20.816986666666669</v>
      </c>
      <c r="G169" s="104">
        <f t="shared" si="11"/>
        <v>20.210666666666668</v>
      </c>
      <c r="H169" s="104">
        <f t="shared" si="12"/>
        <v>19.825701587301587</v>
      </c>
      <c r="I169" s="104">
        <f t="shared" si="13"/>
        <v>22.709439999999997</v>
      </c>
      <c r="J169" s="133"/>
      <c r="K169" s="110">
        <f t="shared" si="14"/>
        <v>20.644945454545454</v>
      </c>
      <c r="L169" s="88"/>
      <c r="M169" s="2"/>
    </row>
    <row r="170" spans="1:13" ht="22.5" customHeight="1">
      <c r="A170" s="2" t="s">
        <v>508</v>
      </c>
      <c r="B170" s="2" t="s">
        <v>507</v>
      </c>
      <c r="D170" s="13" t="s">
        <v>509</v>
      </c>
      <c r="E170" s="14">
        <v>567.73599999999999</v>
      </c>
      <c r="F170" s="104">
        <f t="shared" si="10"/>
        <v>20.816986666666669</v>
      </c>
      <c r="G170" s="104">
        <f t="shared" si="11"/>
        <v>20.210666666666668</v>
      </c>
      <c r="H170" s="104">
        <f t="shared" si="12"/>
        <v>19.825701587301587</v>
      </c>
      <c r="I170" s="104">
        <f t="shared" si="13"/>
        <v>22.709439999999997</v>
      </c>
      <c r="J170" s="133"/>
      <c r="K170" s="110">
        <f t="shared" si="14"/>
        <v>20.644945454545454</v>
      </c>
      <c r="L170" s="88"/>
      <c r="M170" s="2"/>
    </row>
    <row r="171" spans="1:13" ht="22.5" customHeight="1">
      <c r="A171" s="2" t="s">
        <v>511</v>
      </c>
      <c r="B171" s="2" t="s">
        <v>510</v>
      </c>
      <c r="D171" s="13" t="s">
        <v>512</v>
      </c>
      <c r="E171" s="14">
        <v>596.65840000000003</v>
      </c>
      <c r="F171" s="104">
        <f t="shared" si="10"/>
        <v>21.877474666666668</v>
      </c>
      <c r="G171" s="104">
        <f t="shared" si="11"/>
        <v>21.240266666666667</v>
      </c>
      <c r="H171" s="104">
        <f t="shared" si="12"/>
        <v>20.835690158730159</v>
      </c>
      <c r="I171" s="104">
        <f t="shared" si="13"/>
        <v>23.866336</v>
      </c>
      <c r="J171" s="133"/>
      <c r="K171" s="110">
        <f t="shared" si="14"/>
        <v>21.696669090909094</v>
      </c>
      <c r="L171" s="88"/>
      <c r="M171" s="2"/>
    </row>
    <row r="172" spans="1:13" ht="22.5" customHeight="1">
      <c r="A172" s="2" t="s">
        <v>514</v>
      </c>
      <c r="B172" s="2" t="s">
        <v>513</v>
      </c>
      <c r="D172" s="13" t="s">
        <v>515</v>
      </c>
      <c r="E172" s="14">
        <v>596.65840000000003</v>
      </c>
      <c r="F172" s="104">
        <f t="shared" si="10"/>
        <v>21.877474666666668</v>
      </c>
      <c r="G172" s="104">
        <f t="shared" si="11"/>
        <v>21.240266666666667</v>
      </c>
      <c r="H172" s="104">
        <f t="shared" si="12"/>
        <v>20.835690158730159</v>
      </c>
      <c r="I172" s="104">
        <f t="shared" si="13"/>
        <v>23.866336</v>
      </c>
      <c r="J172" s="133"/>
      <c r="K172" s="110">
        <f t="shared" si="14"/>
        <v>21.696669090909094</v>
      </c>
      <c r="L172" s="88"/>
      <c r="M172" s="2"/>
    </row>
    <row r="173" spans="1:13" ht="22.5" customHeight="1">
      <c r="A173" s="2" t="s">
        <v>517</v>
      </c>
      <c r="B173" s="2" t="s">
        <v>516</v>
      </c>
      <c r="D173" s="13" t="s">
        <v>518</v>
      </c>
      <c r="E173" s="14">
        <v>739.12800000000004</v>
      </c>
      <c r="F173" s="104">
        <f t="shared" si="10"/>
        <v>27.101360000000003</v>
      </c>
      <c r="G173" s="104">
        <f t="shared" si="11"/>
        <v>26.312000000000005</v>
      </c>
      <c r="H173" s="104">
        <f t="shared" si="12"/>
        <v>25.810819047619052</v>
      </c>
      <c r="I173" s="104">
        <f t="shared" si="13"/>
        <v>29.56512</v>
      </c>
      <c r="J173" s="133"/>
      <c r="K173" s="110">
        <f t="shared" si="14"/>
        <v>26.877381818181821</v>
      </c>
      <c r="L173" s="88"/>
      <c r="M173" s="2"/>
    </row>
    <row r="174" spans="1:13" ht="22.5" customHeight="1">
      <c r="A174" s="2" t="s">
        <v>520</v>
      </c>
      <c r="B174" s="2" t="s">
        <v>519</v>
      </c>
      <c r="D174" s="13" t="s">
        <v>521</v>
      </c>
      <c r="E174" s="14">
        <v>739.12800000000004</v>
      </c>
      <c r="F174" s="104">
        <f t="shared" si="10"/>
        <v>27.101360000000003</v>
      </c>
      <c r="G174" s="104">
        <f t="shared" si="11"/>
        <v>26.312000000000005</v>
      </c>
      <c r="H174" s="104">
        <f t="shared" si="12"/>
        <v>25.810819047619052</v>
      </c>
      <c r="I174" s="104">
        <f t="shared" si="13"/>
        <v>29.56512</v>
      </c>
      <c r="J174" s="133"/>
      <c r="K174" s="110">
        <f t="shared" si="14"/>
        <v>26.877381818181821</v>
      </c>
      <c r="L174" s="88"/>
      <c r="M174" s="2"/>
    </row>
    <row r="175" spans="1:13" ht="22.5" customHeight="1">
      <c r="A175" s="2" t="s">
        <v>523</v>
      </c>
      <c r="B175" s="2" t="s">
        <v>522</v>
      </c>
      <c r="D175" s="13" t="s">
        <v>524</v>
      </c>
      <c r="E175" s="14">
        <v>690</v>
      </c>
      <c r="F175" s="104">
        <f t="shared" si="10"/>
        <v>25.300000000000004</v>
      </c>
      <c r="G175" s="104">
        <f t="shared" si="11"/>
        <v>24.563106796116511</v>
      </c>
      <c r="H175" s="104">
        <f t="shared" si="12"/>
        <v>24.095238095238098</v>
      </c>
      <c r="I175" s="104">
        <f t="shared" si="13"/>
        <v>27.6</v>
      </c>
      <c r="J175" s="133"/>
      <c r="K175" s="110">
        <f t="shared" si="14"/>
        <v>25.09090909090909</v>
      </c>
      <c r="L175" s="88"/>
      <c r="M175" s="2"/>
    </row>
    <row r="176" spans="1:13" ht="22.5" customHeight="1">
      <c r="A176" s="2" t="s">
        <v>526</v>
      </c>
      <c r="B176" s="2" t="s">
        <v>525</v>
      </c>
      <c r="D176" s="13" t="s">
        <v>527</v>
      </c>
      <c r="E176" s="14">
        <v>724.13119999999992</v>
      </c>
      <c r="F176" s="104">
        <f t="shared" si="10"/>
        <v>26.551477333333331</v>
      </c>
      <c r="G176" s="104">
        <f t="shared" si="11"/>
        <v>25.778133333333333</v>
      </c>
      <c r="H176" s="104">
        <f t="shared" si="12"/>
        <v>25.287121269841268</v>
      </c>
      <c r="I176" s="104">
        <f t="shared" si="13"/>
        <v>28.965247999999995</v>
      </c>
      <c r="J176" s="133"/>
      <c r="K176" s="110">
        <f t="shared" si="14"/>
        <v>26.332043636363633</v>
      </c>
      <c r="L176" s="88"/>
      <c r="M176" s="2"/>
    </row>
    <row r="177" spans="1:13" ht="22.5" customHeight="1">
      <c r="A177" s="2" t="s">
        <v>529</v>
      </c>
      <c r="B177" s="2" t="s">
        <v>528</v>
      </c>
      <c r="D177" s="13" t="s">
        <v>530</v>
      </c>
      <c r="E177" s="14">
        <v>724.13119999999992</v>
      </c>
      <c r="F177" s="104">
        <f t="shared" si="10"/>
        <v>26.551477333333331</v>
      </c>
      <c r="G177" s="104">
        <f t="shared" si="11"/>
        <v>25.778133333333333</v>
      </c>
      <c r="H177" s="104">
        <f t="shared" si="12"/>
        <v>25.287121269841268</v>
      </c>
      <c r="I177" s="104">
        <f t="shared" si="13"/>
        <v>28.965247999999995</v>
      </c>
      <c r="J177" s="133"/>
      <c r="K177" s="110">
        <f t="shared" si="14"/>
        <v>26.332043636363633</v>
      </c>
      <c r="L177" s="88"/>
      <c r="M177" s="2"/>
    </row>
    <row r="178" spans="1:13" ht="22.5" customHeight="1">
      <c r="A178" s="2" t="s">
        <v>532</v>
      </c>
      <c r="B178" s="2" t="s">
        <v>531</v>
      </c>
      <c r="D178" s="13" t="s">
        <v>533</v>
      </c>
      <c r="E178" s="14">
        <v>653.43200000000002</v>
      </c>
      <c r="F178" s="104">
        <f t="shared" si="10"/>
        <v>23.959173333333336</v>
      </c>
      <c r="G178" s="104">
        <f t="shared" si="11"/>
        <v>23.261333333333337</v>
      </c>
      <c r="H178" s="104">
        <f t="shared" si="12"/>
        <v>22.818260317460322</v>
      </c>
      <c r="I178" s="104">
        <f t="shared" si="13"/>
        <v>26.137279999999997</v>
      </c>
      <c r="J178" s="133"/>
      <c r="K178" s="110">
        <f t="shared" si="14"/>
        <v>23.761163636363634</v>
      </c>
      <c r="L178" s="88"/>
      <c r="M178" s="2"/>
    </row>
    <row r="179" spans="1:13" ht="22.5" customHeight="1">
      <c r="A179" s="2" t="s">
        <v>535</v>
      </c>
      <c r="B179" s="2" t="s">
        <v>534</v>
      </c>
      <c r="D179" s="13" t="s">
        <v>536</v>
      </c>
      <c r="E179" s="14">
        <v>690</v>
      </c>
      <c r="F179" s="104">
        <f t="shared" si="10"/>
        <v>25.300000000000004</v>
      </c>
      <c r="G179" s="104">
        <f t="shared" si="11"/>
        <v>24.563106796116511</v>
      </c>
      <c r="H179" s="104">
        <f t="shared" si="12"/>
        <v>24.095238095238098</v>
      </c>
      <c r="I179" s="104">
        <f t="shared" si="13"/>
        <v>27.6</v>
      </c>
      <c r="J179" s="133"/>
      <c r="K179" s="110">
        <f t="shared" si="14"/>
        <v>25.09090909090909</v>
      </c>
      <c r="L179" s="88"/>
      <c r="M179" s="2"/>
    </row>
    <row r="180" spans="1:13" ht="22.5" customHeight="1">
      <c r="A180" s="2" t="s">
        <v>538</v>
      </c>
      <c r="B180" s="2" t="s">
        <v>537</v>
      </c>
      <c r="D180" s="13" t="s">
        <v>539</v>
      </c>
      <c r="E180" s="14">
        <v>596.65840000000003</v>
      </c>
      <c r="F180" s="104">
        <f t="shared" si="10"/>
        <v>21.877474666666668</v>
      </c>
      <c r="G180" s="104">
        <f t="shared" si="11"/>
        <v>21.240266666666667</v>
      </c>
      <c r="H180" s="104">
        <f t="shared" si="12"/>
        <v>20.835690158730159</v>
      </c>
      <c r="I180" s="104">
        <f t="shared" si="13"/>
        <v>23.866336</v>
      </c>
      <c r="J180" s="133"/>
      <c r="K180" s="110">
        <f t="shared" si="14"/>
        <v>21.696669090909094</v>
      </c>
      <c r="L180" s="88"/>
      <c r="M180" s="2"/>
    </row>
    <row r="181" spans="1:13" ht="22.5" customHeight="1">
      <c r="A181" s="2" t="s">
        <v>541</v>
      </c>
      <c r="B181" s="2" t="s">
        <v>540</v>
      </c>
      <c r="D181" s="13" t="s">
        <v>542</v>
      </c>
      <c r="E181" s="14">
        <v>1007.9992</v>
      </c>
      <c r="F181" s="104">
        <f t="shared" si="10"/>
        <v>36.959970666666671</v>
      </c>
      <c r="G181" s="104">
        <f t="shared" si="11"/>
        <v>35.883466666666671</v>
      </c>
      <c r="H181" s="104">
        <f t="shared" si="12"/>
        <v>35.199972063492069</v>
      </c>
      <c r="I181" s="104">
        <f t="shared" si="13"/>
        <v>40.319967999999996</v>
      </c>
      <c r="J181" s="133"/>
      <c r="K181" s="110">
        <f t="shared" si="14"/>
        <v>36.654516363636361</v>
      </c>
      <c r="L181" s="88"/>
      <c r="M181" s="2"/>
    </row>
    <row r="182" spans="1:13" ht="22.5" customHeight="1">
      <c r="A182" s="2" t="s">
        <v>544</v>
      </c>
      <c r="B182" s="2" t="s">
        <v>543</v>
      </c>
      <c r="D182" s="13" t="s">
        <v>545</v>
      </c>
      <c r="E182" s="14">
        <v>724.13119999999992</v>
      </c>
      <c r="F182" s="104">
        <f t="shared" si="10"/>
        <v>26.551477333333331</v>
      </c>
      <c r="G182" s="104">
        <f t="shared" si="11"/>
        <v>25.778133333333333</v>
      </c>
      <c r="H182" s="104">
        <f t="shared" si="12"/>
        <v>25.287121269841268</v>
      </c>
      <c r="I182" s="104">
        <f t="shared" si="13"/>
        <v>28.965247999999995</v>
      </c>
      <c r="J182" s="133"/>
      <c r="K182" s="110">
        <f t="shared" si="14"/>
        <v>26.332043636363633</v>
      </c>
      <c r="L182" s="88"/>
      <c r="M182" s="2"/>
    </row>
    <row r="183" spans="1:13" ht="22.5" customHeight="1">
      <c r="A183" s="2" t="s">
        <v>547</v>
      </c>
      <c r="B183" s="2" t="s">
        <v>546</v>
      </c>
      <c r="D183" s="13" t="s">
        <v>548</v>
      </c>
      <c r="E183" s="14">
        <v>596.65840000000003</v>
      </c>
      <c r="F183" s="104">
        <f t="shared" si="10"/>
        <v>21.877474666666668</v>
      </c>
      <c r="G183" s="104">
        <f t="shared" si="11"/>
        <v>21.240266666666667</v>
      </c>
      <c r="H183" s="104">
        <f t="shared" si="12"/>
        <v>20.835690158730159</v>
      </c>
      <c r="I183" s="104">
        <f t="shared" si="13"/>
        <v>23.866336</v>
      </c>
      <c r="J183" s="133"/>
      <c r="K183" s="110">
        <f t="shared" si="14"/>
        <v>21.696669090909094</v>
      </c>
      <c r="L183" s="88"/>
      <c r="M183" s="2"/>
    </row>
    <row r="184" spans="1:13" ht="22.5" customHeight="1">
      <c r="A184" s="2" t="s">
        <v>550</v>
      </c>
      <c r="B184" s="2" t="s">
        <v>549</v>
      </c>
      <c r="D184" s="13" t="s">
        <v>551</v>
      </c>
      <c r="E184" s="14">
        <v>724.13119999999992</v>
      </c>
      <c r="F184" s="104">
        <f t="shared" si="10"/>
        <v>26.551477333333331</v>
      </c>
      <c r="G184" s="104">
        <f t="shared" si="11"/>
        <v>25.778133333333333</v>
      </c>
      <c r="H184" s="104">
        <f t="shared" si="12"/>
        <v>25.287121269841268</v>
      </c>
      <c r="I184" s="104">
        <f t="shared" si="13"/>
        <v>28.965247999999995</v>
      </c>
      <c r="J184" s="133"/>
      <c r="K184" s="110">
        <f t="shared" si="14"/>
        <v>26.332043636363633</v>
      </c>
      <c r="L184" s="88"/>
      <c r="M184" s="2"/>
    </row>
    <row r="185" spans="1:13" ht="22.5" customHeight="1">
      <c r="A185" s="2" t="s">
        <v>553</v>
      </c>
      <c r="B185" s="2" t="s">
        <v>552</v>
      </c>
      <c r="D185" s="13" t="s">
        <v>187</v>
      </c>
      <c r="E185" s="14">
        <v>756.26720000000012</v>
      </c>
      <c r="F185" s="104">
        <f t="shared" si="10"/>
        <v>27.729797333333341</v>
      </c>
      <c r="G185" s="104">
        <f t="shared" si="11"/>
        <v>26.922133333333338</v>
      </c>
      <c r="H185" s="104">
        <f t="shared" si="12"/>
        <v>26.409330793650799</v>
      </c>
      <c r="I185" s="104">
        <f t="shared" si="13"/>
        <v>30.250688000000004</v>
      </c>
      <c r="J185" s="133"/>
      <c r="K185" s="110">
        <f t="shared" si="14"/>
        <v>27.500625454545457</v>
      </c>
      <c r="L185" s="88"/>
      <c r="M185" s="2"/>
    </row>
    <row r="186" spans="1:13" ht="22.5" customHeight="1">
      <c r="A186" s="2" t="s">
        <v>555</v>
      </c>
      <c r="B186" s="2" t="s">
        <v>554</v>
      </c>
      <c r="D186" s="13" t="s">
        <v>556</v>
      </c>
      <c r="E186" s="14">
        <v>1014.4264000000001</v>
      </c>
      <c r="F186" s="104">
        <f t="shared" si="10"/>
        <v>37.19563466666667</v>
      </c>
      <c r="G186" s="104">
        <f t="shared" si="11"/>
        <v>36.11226666666667</v>
      </c>
      <c r="H186" s="104">
        <f t="shared" si="12"/>
        <v>35.424413968253972</v>
      </c>
      <c r="I186" s="104">
        <f t="shared" si="13"/>
        <v>40.577055999999999</v>
      </c>
      <c r="J186" s="133"/>
      <c r="K186" s="110">
        <f t="shared" si="14"/>
        <v>36.88823272727273</v>
      </c>
      <c r="L186" s="88"/>
      <c r="M186" s="2"/>
    </row>
    <row r="187" spans="1:13" ht="22.5" customHeight="1">
      <c r="A187" s="2" t="s">
        <v>558</v>
      </c>
      <c r="B187" s="2" t="s">
        <v>557</v>
      </c>
      <c r="D187" s="13" t="s">
        <v>559</v>
      </c>
      <c r="E187" s="14">
        <v>1016.5688</v>
      </c>
      <c r="F187" s="104">
        <f t="shared" si="10"/>
        <v>37.274189333333332</v>
      </c>
      <c r="G187" s="104">
        <f t="shared" si="11"/>
        <v>36.188533333333332</v>
      </c>
      <c r="H187" s="104">
        <f t="shared" si="12"/>
        <v>35.499227936507936</v>
      </c>
      <c r="I187" s="104">
        <f t="shared" si="13"/>
        <v>40.662751999999998</v>
      </c>
      <c r="J187" s="133"/>
      <c r="K187" s="110">
        <f t="shared" si="14"/>
        <v>36.966138181818181</v>
      </c>
      <c r="L187" s="88"/>
      <c r="M187" s="2"/>
    </row>
    <row r="188" spans="1:13" ht="22.5" customHeight="1">
      <c r="A188" s="2" t="s">
        <v>561</v>
      </c>
      <c r="B188" s="2" t="s">
        <v>560</v>
      </c>
      <c r="D188" s="13" t="s">
        <v>562</v>
      </c>
      <c r="E188" s="14">
        <v>724.13119999999992</v>
      </c>
      <c r="F188" s="104">
        <f t="shared" si="10"/>
        <v>26.551477333333331</v>
      </c>
      <c r="G188" s="104">
        <f t="shared" si="11"/>
        <v>25.778133333333333</v>
      </c>
      <c r="H188" s="104">
        <f t="shared" si="12"/>
        <v>25.287121269841268</v>
      </c>
      <c r="I188" s="104">
        <f t="shared" si="13"/>
        <v>28.965247999999995</v>
      </c>
      <c r="J188" s="133"/>
      <c r="K188" s="110">
        <f t="shared" si="14"/>
        <v>26.332043636363633</v>
      </c>
      <c r="L188" s="88"/>
      <c r="M188" s="2"/>
    </row>
    <row r="189" spans="1:13" ht="22.5" customHeight="1">
      <c r="A189" s="2" t="s">
        <v>564</v>
      </c>
      <c r="B189" s="2" t="s">
        <v>563</v>
      </c>
      <c r="D189" s="13" t="s">
        <v>565</v>
      </c>
      <c r="E189" s="14">
        <v>706.99200000000008</v>
      </c>
      <c r="F189" s="104">
        <f t="shared" si="10"/>
        <v>25.923040000000004</v>
      </c>
      <c r="G189" s="104">
        <f t="shared" si="11"/>
        <v>25.168000000000006</v>
      </c>
      <c r="H189" s="104">
        <f t="shared" si="12"/>
        <v>24.688609523809529</v>
      </c>
      <c r="I189" s="104">
        <f t="shared" si="13"/>
        <v>28.279680000000003</v>
      </c>
      <c r="J189" s="133"/>
      <c r="K189" s="110">
        <f t="shared" si="14"/>
        <v>25.708800000000004</v>
      </c>
      <c r="L189" s="88"/>
      <c r="M189" s="2"/>
    </row>
    <row r="190" spans="1:13" ht="22.5" customHeight="1">
      <c r="A190" s="2" t="s">
        <v>567</v>
      </c>
      <c r="B190" s="2" t="s">
        <v>566</v>
      </c>
      <c r="D190" s="13" t="s">
        <v>568</v>
      </c>
      <c r="E190" s="14">
        <v>524.88800000000003</v>
      </c>
      <c r="F190" s="104">
        <f t="shared" si="10"/>
        <v>19.245893333333338</v>
      </c>
      <c r="G190" s="104">
        <f t="shared" si="11"/>
        <v>18.68533333333334</v>
      </c>
      <c r="H190" s="104">
        <f t="shared" si="12"/>
        <v>18.329422222222227</v>
      </c>
      <c r="I190" s="104">
        <f t="shared" si="13"/>
        <v>20.995519999999999</v>
      </c>
      <c r="J190" s="133"/>
      <c r="K190" s="110">
        <f t="shared" si="14"/>
        <v>19.086836363636362</v>
      </c>
      <c r="L190" s="88"/>
      <c r="M190" s="2"/>
    </row>
    <row r="191" spans="1:13" ht="22.5" customHeight="1">
      <c r="A191" s="2" t="s">
        <v>570</v>
      </c>
      <c r="B191" s="2" t="s">
        <v>569</v>
      </c>
      <c r="D191" s="13" t="s">
        <v>571</v>
      </c>
      <c r="E191" s="14">
        <v>810.89840000000004</v>
      </c>
      <c r="F191" s="104">
        <f t="shared" si="10"/>
        <v>29.732941333333336</v>
      </c>
      <c r="G191" s="104">
        <f t="shared" si="11"/>
        <v>28.866933333333339</v>
      </c>
      <c r="H191" s="104">
        <f t="shared" si="12"/>
        <v>28.317086984126988</v>
      </c>
      <c r="I191" s="104">
        <f t="shared" si="13"/>
        <v>32.435935999999998</v>
      </c>
      <c r="J191" s="133"/>
      <c r="K191" s="110">
        <f t="shared" si="14"/>
        <v>29.487214545454545</v>
      </c>
      <c r="L191" s="88"/>
      <c r="M191" s="2"/>
    </row>
    <row r="192" spans="1:13" ht="22.5" customHeight="1">
      <c r="A192" s="2" t="s">
        <v>573</v>
      </c>
      <c r="B192" s="2" t="s">
        <v>572</v>
      </c>
      <c r="D192" s="13" t="s">
        <v>574</v>
      </c>
      <c r="E192" s="14">
        <v>760.55200000000002</v>
      </c>
      <c r="F192" s="104">
        <f t="shared" si="10"/>
        <v>27.886906666666668</v>
      </c>
      <c r="G192" s="104">
        <f t="shared" si="11"/>
        <v>27.074666666666669</v>
      </c>
      <c r="H192" s="104">
        <f t="shared" si="12"/>
        <v>26.558958730158732</v>
      </c>
      <c r="I192" s="104">
        <f t="shared" si="13"/>
        <v>30.422080000000001</v>
      </c>
      <c r="J192" s="133"/>
      <c r="K192" s="110">
        <f t="shared" si="14"/>
        <v>27.656436363636367</v>
      </c>
      <c r="L192" s="88"/>
      <c r="M192" s="2"/>
    </row>
    <row r="193" spans="1:13" ht="22.5" customHeight="1">
      <c r="A193" s="2" t="s">
        <v>576</v>
      </c>
      <c r="B193" s="2" t="s">
        <v>575</v>
      </c>
      <c r="D193" s="13" t="s">
        <v>577</v>
      </c>
      <c r="E193" s="14">
        <v>760.55200000000002</v>
      </c>
      <c r="F193" s="104">
        <f t="shared" si="10"/>
        <v>27.886906666666668</v>
      </c>
      <c r="G193" s="104">
        <f t="shared" si="11"/>
        <v>27.074666666666669</v>
      </c>
      <c r="H193" s="104">
        <f t="shared" si="12"/>
        <v>26.558958730158732</v>
      </c>
      <c r="I193" s="104">
        <f t="shared" si="13"/>
        <v>30.422080000000001</v>
      </c>
      <c r="J193" s="133"/>
      <c r="K193" s="110">
        <f t="shared" si="14"/>
        <v>27.656436363636367</v>
      </c>
      <c r="L193" s="88"/>
      <c r="M193" s="2"/>
    </row>
    <row r="194" spans="1:13" ht="22.5" customHeight="1">
      <c r="A194" s="2" t="s">
        <v>579</v>
      </c>
      <c r="B194" s="2" t="s">
        <v>578</v>
      </c>
      <c r="D194" s="13" t="s">
        <v>580</v>
      </c>
      <c r="E194" s="14">
        <v>653.43200000000002</v>
      </c>
      <c r="F194" s="104">
        <f t="shared" ref="F194:F257" si="15">+(E194*1.1/30)</f>
        <v>23.959173333333336</v>
      </c>
      <c r="G194" s="104">
        <f t="shared" ref="G194:G257" si="16">+(F194*100/103)</f>
        <v>23.261333333333337</v>
      </c>
      <c r="H194" s="104">
        <f t="shared" ref="H194:H257" si="17">+(F194*100/105)</f>
        <v>22.818260317460322</v>
      </c>
      <c r="I194" s="104">
        <f t="shared" ref="I194:I257" si="18">+(E194*1.2/30)</f>
        <v>26.137279999999997</v>
      </c>
      <c r="J194" s="133"/>
      <c r="K194" s="110">
        <f t="shared" ref="K194:K257" si="19">+(E194*1.2/33)</f>
        <v>23.761163636363634</v>
      </c>
      <c r="L194" s="88"/>
      <c r="M194" s="2"/>
    </row>
    <row r="195" spans="1:13" ht="22.5" customHeight="1">
      <c r="A195" s="2" t="s">
        <v>582</v>
      </c>
      <c r="B195" s="2" t="s">
        <v>581</v>
      </c>
      <c r="D195" s="13" t="s">
        <v>583</v>
      </c>
      <c r="E195" s="14">
        <v>739.12800000000004</v>
      </c>
      <c r="F195" s="104">
        <f t="shared" si="15"/>
        <v>27.101360000000003</v>
      </c>
      <c r="G195" s="104">
        <f t="shared" si="16"/>
        <v>26.312000000000005</v>
      </c>
      <c r="H195" s="104">
        <f t="shared" si="17"/>
        <v>25.810819047619052</v>
      </c>
      <c r="I195" s="104">
        <f t="shared" si="18"/>
        <v>29.56512</v>
      </c>
      <c r="J195" s="133"/>
      <c r="K195" s="110">
        <f t="shared" si="19"/>
        <v>26.877381818181821</v>
      </c>
      <c r="L195" s="88"/>
      <c r="M195" s="2"/>
    </row>
    <row r="196" spans="1:13" ht="22.5" customHeight="1">
      <c r="A196" s="2" t="s">
        <v>585</v>
      </c>
      <c r="B196" s="2" t="s">
        <v>584</v>
      </c>
      <c r="D196" s="13" t="s">
        <v>586</v>
      </c>
      <c r="E196" s="14">
        <v>810.89840000000004</v>
      </c>
      <c r="F196" s="104">
        <f t="shared" si="15"/>
        <v>29.732941333333336</v>
      </c>
      <c r="G196" s="104">
        <f t="shared" si="16"/>
        <v>28.866933333333339</v>
      </c>
      <c r="H196" s="104">
        <f t="shared" si="17"/>
        <v>28.317086984126988</v>
      </c>
      <c r="I196" s="104">
        <f t="shared" si="18"/>
        <v>32.435935999999998</v>
      </c>
      <c r="J196" s="133"/>
      <c r="K196" s="110">
        <f t="shared" si="19"/>
        <v>29.487214545454545</v>
      </c>
      <c r="L196" s="88"/>
      <c r="M196" s="2"/>
    </row>
    <row r="197" spans="1:13" ht="22.5" customHeight="1">
      <c r="A197" s="2" t="s">
        <v>588</v>
      </c>
      <c r="B197" s="2" t="s">
        <v>587</v>
      </c>
      <c r="D197" s="13" t="s">
        <v>589</v>
      </c>
      <c r="E197" s="14">
        <v>950.15440000000001</v>
      </c>
      <c r="F197" s="104">
        <f t="shared" si="15"/>
        <v>34.838994666666665</v>
      </c>
      <c r="G197" s="104">
        <f t="shared" si="16"/>
        <v>33.824266666666666</v>
      </c>
      <c r="H197" s="104">
        <f t="shared" si="17"/>
        <v>33.179994920634918</v>
      </c>
      <c r="I197" s="104">
        <f t="shared" si="18"/>
        <v>38.006175999999996</v>
      </c>
      <c r="J197" s="133"/>
      <c r="K197" s="110">
        <f t="shared" si="19"/>
        <v>34.551069090909088</v>
      </c>
      <c r="L197" s="88"/>
      <c r="M197" s="2"/>
    </row>
    <row r="198" spans="1:13" ht="22.5" customHeight="1">
      <c r="A198" s="2" t="s">
        <v>591</v>
      </c>
      <c r="B198" s="2" t="s">
        <v>590</v>
      </c>
      <c r="D198" s="13" t="s">
        <v>592</v>
      </c>
      <c r="E198" s="14">
        <v>653.43200000000002</v>
      </c>
      <c r="F198" s="104">
        <f t="shared" si="15"/>
        <v>23.959173333333336</v>
      </c>
      <c r="G198" s="104">
        <f t="shared" si="16"/>
        <v>23.261333333333337</v>
      </c>
      <c r="H198" s="104">
        <f t="shared" si="17"/>
        <v>22.818260317460322</v>
      </c>
      <c r="I198" s="104">
        <f t="shared" si="18"/>
        <v>26.137279999999997</v>
      </c>
      <c r="J198" s="133"/>
      <c r="K198" s="110">
        <f t="shared" si="19"/>
        <v>23.761163636363634</v>
      </c>
      <c r="L198" s="88"/>
      <c r="M198" s="2"/>
    </row>
    <row r="199" spans="1:13" ht="22.5" customHeight="1">
      <c r="A199" s="2" t="s">
        <v>594</v>
      </c>
      <c r="B199" s="2" t="s">
        <v>593</v>
      </c>
      <c r="D199" s="13" t="s">
        <v>595</v>
      </c>
      <c r="E199" s="14">
        <v>724.13119999999992</v>
      </c>
      <c r="F199" s="104">
        <f t="shared" si="15"/>
        <v>26.551477333333331</v>
      </c>
      <c r="G199" s="104">
        <f t="shared" si="16"/>
        <v>25.778133333333333</v>
      </c>
      <c r="H199" s="104">
        <f t="shared" si="17"/>
        <v>25.287121269841268</v>
      </c>
      <c r="I199" s="104">
        <f t="shared" si="18"/>
        <v>28.965247999999995</v>
      </c>
      <c r="J199" s="133"/>
      <c r="K199" s="110">
        <f t="shared" si="19"/>
        <v>26.332043636363633</v>
      </c>
      <c r="L199" s="88"/>
      <c r="M199" s="2"/>
    </row>
    <row r="200" spans="1:13" ht="22.5" customHeight="1">
      <c r="A200" s="2" t="s">
        <v>597</v>
      </c>
      <c r="B200" s="2" t="s">
        <v>596</v>
      </c>
      <c r="D200" s="13" t="s">
        <v>598</v>
      </c>
      <c r="E200" s="14">
        <v>641.64880000000005</v>
      </c>
      <c r="F200" s="104">
        <f t="shared" si="15"/>
        <v>23.527122666666671</v>
      </c>
      <c r="G200" s="104">
        <f t="shared" si="16"/>
        <v>22.841866666666668</v>
      </c>
      <c r="H200" s="104">
        <f t="shared" si="17"/>
        <v>22.406783492063493</v>
      </c>
      <c r="I200" s="104">
        <f t="shared" si="18"/>
        <v>25.665952000000001</v>
      </c>
      <c r="J200" s="133"/>
      <c r="K200" s="110">
        <f t="shared" si="19"/>
        <v>23.332683636363637</v>
      </c>
      <c r="L200" s="88"/>
      <c r="M200" s="2"/>
    </row>
    <row r="201" spans="1:13" ht="22.5" customHeight="1">
      <c r="A201" s="2" t="s">
        <v>600</v>
      </c>
      <c r="B201" s="2" t="s">
        <v>599</v>
      </c>
      <c r="D201" s="13" t="s">
        <v>601</v>
      </c>
      <c r="E201" s="14">
        <v>800</v>
      </c>
      <c r="F201" s="104">
        <f t="shared" si="15"/>
        <v>29.333333333333336</v>
      </c>
      <c r="G201" s="104">
        <f t="shared" si="16"/>
        <v>28.478964401294501</v>
      </c>
      <c r="H201" s="104">
        <f t="shared" si="17"/>
        <v>27.936507936507937</v>
      </c>
      <c r="I201" s="104">
        <f t="shared" si="18"/>
        <v>32</v>
      </c>
      <c r="J201" s="133"/>
      <c r="K201" s="110">
        <f t="shared" si="19"/>
        <v>29.09090909090909</v>
      </c>
      <c r="L201" s="88"/>
      <c r="M201" s="2"/>
    </row>
    <row r="202" spans="1:13" ht="22.5" customHeight="1">
      <c r="A202" s="2" t="s">
        <v>603</v>
      </c>
      <c r="B202" s="2" t="s">
        <v>602</v>
      </c>
      <c r="D202" s="13" t="s">
        <v>604</v>
      </c>
      <c r="E202" s="14">
        <v>674.85599999999999</v>
      </c>
      <c r="F202" s="104">
        <f t="shared" si="15"/>
        <v>24.744720000000004</v>
      </c>
      <c r="G202" s="104">
        <f t="shared" si="16"/>
        <v>24.024000000000008</v>
      </c>
      <c r="H202" s="104">
        <f t="shared" si="17"/>
        <v>23.566400000000005</v>
      </c>
      <c r="I202" s="104">
        <f t="shared" si="18"/>
        <v>26.994239999999998</v>
      </c>
      <c r="J202" s="133"/>
      <c r="K202" s="110">
        <f t="shared" si="19"/>
        <v>24.540218181818179</v>
      </c>
      <c r="L202" s="88"/>
      <c r="M202" s="2"/>
    </row>
    <row r="203" spans="1:13" ht="22.5" customHeight="1">
      <c r="A203" s="2" t="s">
        <v>606</v>
      </c>
      <c r="B203" s="2" t="s">
        <v>605</v>
      </c>
      <c r="D203" s="13" t="s">
        <v>607</v>
      </c>
      <c r="E203" s="14">
        <v>642.72</v>
      </c>
      <c r="F203" s="104">
        <f t="shared" si="15"/>
        <v>23.566400000000002</v>
      </c>
      <c r="G203" s="104">
        <f t="shared" si="16"/>
        <v>22.880000000000003</v>
      </c>
      <c r="H203" s="104">
        <f t="shared" si="17"/>
        <v>22.444190476190478</v>
      </c>
      <c r="I203" s="104">
        <f t="shared" si="18"/>
        <v>25.7088</v>
      </c>
      <c r="J203" s="133"/>
      <c r="K203" s="110">
        <f t="shared" si="19"/>
        <v>23.371636363636362</v>
      </c>
      <c r="L203" s="88"/>
      <c r="M203" s="2"/>
    </row>
    <row r="204" spans="1:13" ht="22.5" customHeight="1">
      <c r="A204" s="2" t="s">
        <v>609</v>
      </c>
      <c r="B204" s="2" t="s">
        <v>608</v>
      </c>
      <c r="D204" s="13" t="s">
        <v>610</v>
      </c>
      <c r="E204" s="14">
        <v>674.85599999999999</v>
      </c>
      <c r="F204" s="104">
        <f t="shared" si="15"/>
        <v>24.744720000000004</v>
      </c>
      <c r="G204" s="104">
        <f t="shared" si="16"/>
        <v>24.024000000000008</v>
      </c>
      <c r="H204" s="104">
        <f t="shared" si="17"/>
        <v>23.566400000000005</v>
      </c>
      <c r="I204" s="104">
        <f t="shared" si="18"/>
        <v>26.994239999999998</v>
      </c>
      <c r="J204" s="133"/>
      <c r="K204" s="110">
        <f t="shared" si="19"/>
        <v>24.540218181818179</v>
      </c>
      <c r="L204" s="88"/>
      <c r="M204" s="2"/>
    </row>
    <row r="205" spans="1:13" ht="22.5" customHeight="1">
      <c r="A205" s="2" t="s">
        <v>612</v>
      </c>
      <c r="B205" s="2" t="s">
        <v>611</v>
      </c>
      <c r="D205" s="13" t="s">
        <v>613</v>
      </c>
      <c r="E205" s="14">
        <v>724.13119999999992</v>
      </c>
      <c r="F205" s="104">
        <f t="shared" si="15"/>
        <v>26.551477333333331</v>
      </c>
      <c r="G205" s="104">
        <f t="shared" si="16"/>
        <v>25.778133333333333</v>
      </c>
      <c r="H205" s="104">
        <f t="shared" si="17"/>
        <v>25.287121269841268</v>
      </c>
      <c r="I205" s="104">
        <f t="shared" si="18"/>
        <v>28.965247999999995</v>
      </c>
      <c r="J205" s="133"/>
      <c r="K205" s="110">
        <f t="shared" si="19"/>
        <v>26.332043636363633</v>
      </c>
      <c r="L205" s="88"/>
      <c r="M205" s="2"/>
    </row>
    <row r="206" spans="1:13" ht="22.5" customHeight="1">
      <c r="A206" s="2" t="s">
        <v>615</v>
      </c>
      <c r="B206" s="2" t="s">
        <v>614</v>
      </c>
      <c r="D206" s="13" t="s">
        <v>616</v>
      </c>
      <c r="E206" s="14">
        <v>724.13119999999992</v>
      </c>
      <c r="F206" s="104">
        <f t="shared" si="15"/>
        <v>26.551477333333331</v>
      </c>
      <c r="G206" s="104">
        <f t="shared" si="16"/>
        <v>25.778133333333333</v>
      </c>
      <c r="H206" s="104">
        <f t="shared" si="17"/>
        <v>25.287121269841268</v>
      </c>
      <c r="I206" s="104">
        <f t="shared" si="18"/>
        <v>28.965247999999995</v>
      </c>
      <c r="J206" s="133"/>
      <c r="K206" s="110">
        <f t="shared" si="19"/>
        <v>26.332043636363633</v>
      </c>
      <c r="L206" s="88"/>
      <c r="M206" s="2"/>
    </row>
    <row r="207" spans="1:13" ht="22.5" customHeight="1">
      <c r="A207" s="2" t="s">
        <v>618</v>
      </c>
      <c r="B207" s="2" t="s">
        <v>617</v>
      </c>
      <c r="D207" s="13" t="s">
        <v>619</v>
      </c>
      <c r="E207" s="14">
        <v>800</v>
      </c>
      <c r="F207" s="104">
        <f t="shared" si="15"/>
        <v>29.333333333333336</v>
      </c>
      <c r="G207" s="104">
        <f t="shared" si="16"/>
        <v>28.478964401294501</v>
      </c>
      <c r="H207" s="104">
        <f t="shared" si="17"/>
        <v>27.936507936507937</v>
      </c>
      <c r="I207" s="104">
        <f t="shared" si="18"/>
        <v>32</v>
      </c>
      <c r="J207" s="133"/>
      <c r="K207" s="110">
        <f t="shared" si="19"/>
        <v>29.09090909090909</v>
      </c>
      <c r="L207" s="88"/>
      <c r="M207" s="2"/>
    </row>
    <row r="208" spans="1:13" ht="22.5" customHeight="1">
      <c r="A208" s="2" t="s">
        <v>621</v>
      </c>
      <c r="B208" s="2" t="s">
        <v>620</v>
      </c>
      <c r="D208" s="13" t="s">
        <v>622</v>
      </c>
      <c r="E208" s="14">
        <v>856.96</v>
      </c>
      <c r="F208" s="104">
        <f t="shared" si="15"/>
        <v>31.42186666666667</v>
      </c>
      <c r="G208" s="104">
        <f t="shared" si="16"/>
        <v>30.506666666666668</v>
      </c>
      <c r="H208" s="104">
        <f t="shared" si="17"/>
        <v>29.925587301587303</v>
      </c>
      <c r="I208" s="104">
        <f t="shared" si="18"/>
        <v>34.278400000000005</v>
      </c>
      <c r="J208" s="133"/>
      <c r="K208" s="110">
        <f t="shared" si="19"/>
        <v>31.162181818181821</v>
      </c>
      <c r="L208" s="88"/>
      <c r="M208" s="2"/>
    </row>
    <row r="209" spans="1:13" ht="22.5" customHeight="1">
      <c r="A209" s="2" t="s">
        <v>624</v>
      </c>
      <c r="B209" s="2" t="s">
        <v>623</v>
      </c>
      <c r="D209" s="13" t="s">
        <v>625</v>
      </c>
      <c r="E209" s="14">
        <v>700</v>
      </c>
      <c r="F209" s="104">
        <f t="shared" si="15"/>
        <v>25.666666666666671</v>
      </c>
      <c r="G209" s="104">
        <f t="shared" si="16"/>
        <v>24.91909385113269</v>
      </c>
      <c r="H209" s="104">
        <f t="shared" si="17"/>
        <v>24.444444444444446</v>
      </c>
      <c r="I209" s="104">
        <f t="shared" si="18"/>
        <v>28</v>
      </c>
      <c r="J209" s="133"/>
      <c r="K209" s="110">
        <f t="shared" si="19"/>
        <v>25.454545454545453</v>
      </c>
      <c r="L209" s="88"/>
      <c r="M209" s="2"/>
    </row>
    <row r="210" spans="1:13" ht="22.5" customHeight="1">
      <c r="A210" s="2" t="s">
        <v>627</v>
      </c>
      <c r="B210" s="2" t="s">
        <v>626</v>
      </c>
      <c r="D210" s="13" t="s">
        <v>628</v>
      </c>
      <c r="E210" s="14">
        <v>760.55200000000002</v>
      </c>
      <c r="F210" s="104">
        <f t="shared" si="15"/>
        <v>27.886906666666668</v>
      </c>
      <c r="G210" s="104">
        <f t="shared" si="16"/>
        <v>27.074666666666669</v>
      </c>
      <c r="H210" s="104">
        <f t="shared" si="17"/>
        <v>26.558958730158732</v>
      </c>
      <c r="I210" s="104">
        <f t="shared" si="18"/>
        <v>30.422080000000001</v>
      </c>
      <c r="J210" s="133"/>
      <c r="K210" s="110">
        <f t="shared" si="19"/>
        <v>27.656436363636367</v>
      </c>
      <c r="L210" s="88"/>
      <c r="M210" s="2"/>
    </row>
    <row r="211" spans="1:13" ht="22.5" customHeight="1">
      <c r="A211" s="2" t="s">
        <v>630</v>
      </c>
      <c r="B211" s="2" t="s">
        <v>629</v>
      </c>
      <c r="D211" s="13" t="s">
        <v>631</v>
      </c>
      <c r="E211" s="14">
        <v>724.48469599999999</v>
      </c>
      <c r="F211" s="104">
        <f t="shared" si="15"/>
        <v>26.564438853333336</v>
      </c>
      <c r="G211" s="104">
        <f t="shared" si="16"/>
        <v>25.790717333333337</v>
      </c>
      <c r="H211" s="104">
        <f t="shared" si="17"/>
        <v>25.299465574603175</v>
      </c>
      <c r="I211" s="104">
        <f t="shared" si="18"/>
        <v>28.979387840000001</v>
      </c>
      <c r="J211" s="133"/>
      <c r="K211" s="110">
        <f t="shared" si="19"/>
        <v>26.344898036363638</v>
      </c>
      <c r="L211" s="88"/>
      <c r="M211" s="2"/>
    </row>
    <row r="212" spans="1:13" ht="22.5" customHeight="1">
      <c r="A212" s="2" t="s">
        <v>633</v>
      </c>
      <c r="B212" s="2" t="s">
        <v>632</v>
      </c>
      <c r="D212" s="13" t="s">
        <v>634</v>
      </c>
      <c r="E212" s="14">
        <v>724.48469599999999</v>
      </c>
      <c r="F212" s="104">
        <f t="shared" si="15"/>
        <v>26.564438853333336</v>
      </c>
      <c r="G212" s="104">
        <f t="shared" si="16"/>
        <v>25.790717333333337</v>
      </c>
      <c r="H212" s="104">
        <f t="shared" si="17"/>
        <v>25.299465574603175</v>
      </c>
      <c r="I212" s="104">
        <f t="shared" si="18"/>
        <v>28.979387840000001</v>
      </c>
      <c r="J212" s="133"/>
      <c r="K212" s="110">
        <f t="shared" si="19"/>
        <v>26.344898036363638</v>
      </c>
      <c r="L212" s="88"/>
      <c r="M212" s="2"/>
    </row>
    <row r="213" spans="1:13" ht="22.5" customHeight="1">
      <c r="A213" s="2" t="s">
        <v>636</v>
      </c>
      <c r="B213" s="2" t="s">
        <v>635</v>
      </c>
      <c r="D213" s="13" t="s">
        <v>637</v>
      </c>
      <c r="E213" s="14">
        <v>724.48469599999999</v>
      </c>
      <c r="F213" s="104">
        <f t="shared" si="15"/>
        <v>26.564438853333336</v>
      </c>
      <c r="G213" s="104">
        <f t="shared" si="16"/>
        <v>25.790717333333337</v>
      </c>
      <c r="H213" s="104">
        <f t="shared" si="17"/>
        <v>25.299465574603175</v>
      </c>
      <c r="I213" s="104">
        <f t="shared" si="18"/>
        <v>28.979387840000001</v>
      </c>
      <c r="J213" s="133"/>
      <c r="K213" s="110">
        <f t="shared" si="19"/>
        <v>26.344898036363638</v>
      </c>
      <c r="L213" s="88"/>
      <c r="M213" s="2"/>
    </row>
    <row r="214" spans="1:13" ht="22.5" customHeight="1">
      <c r="A214" s="2" t="s">
        <v>639</v>
      </c>
      <c r="B214" s="2" t="s">
        <v>638</v>
      </c>
      <c r="D214" s="13" t="s">
        <v>640</v>
      </c>
      <c r="E214" s="14">
        <v>724.48469599999999</v>
      </c>
      <c r="F214" s="104">
        <f t="shared" si="15"/>
        <v>26.564438853333336</v>
      </c>
      <c r="G214" s="104">
        <f t="shared" si="16"/>
        <v>25.790717333333337</v>
      </c>
      <c r="H214" s="104">
        <f t="shared" si="17"/>
        <v>25.299465574603175</v>
      </c>
      <c r="I214" s="104">
        <f t="shared" si="18"/>
        <v>28.979387840000001</v>
      </c>
      <c r="J214" s="133"/>
      <c r="K214" s="110">
        <f t="shared" si="19"/>
        <v>26.344898036363638</v>
      </c>
      <c r="L214" s="88"/>
      <c r="M214" s="2"/>
    </row>
    <row r="215" spans="1:13" ht="22.5" customHeight="1">
      <c r="A215" s="2" t="s">
        <v>642</v>
      </c>
      <c r="B215" s="2" t="s">
        <v>641</v>
      </c>
      <c r="D215" s="13" t="s">
        <v>643</v>
      </c>
      <c r="E215" s="14">
        <v>749.84</v>
      </c>
      <c r="F215" s="104">
        <f t="shared" si="15"/>
        <v>27.494133333333334</v>
      </c>
      <c r="G215" s="104">
        <f t="shared" si="16"/>
        <v>26.693333333333335</v>
      </c>
      <c r="H215" s="104">
        <f t="shared" si="17"/>
        <v>26.184888888888889</v>
      </c>
      <c r="I215" s="104">
        <f t="shared" si="18"/>
        <v>29.993600000000001</v>
      </c>
      <c r="J215" s="133"/>
      <c r="K215" s="110">
        <f t="shared" si="19"/>
        <v>27.266909090909092</v>
      </c>
      <c r="L215" s="88"/>
      <c r="M215" s="2"/>
    </row>
    <row r="216" spans="1:13" ht="22.5" customHeight="1">
      <c r="A216" s="2" t="s">
        <v>645</v>
      </c>
      <c r="B216" s="2" t="s">
        <v>644</v>
      </c>
      <c r="D216" s="13" t="s">
        <v>646</v>
      </c>
      <c r="E216" s="14">
        <v>760.55200000000002</v>
      </c>
      <c r="F216" s="104">
        <f t="shared" si="15"/>
        <v>27.886906666666668</v>
      </c>
      <c r="G216" s="104">
        <f t="shared" si="16"/>
        <v>27.074666666666669</v>
      </c>
      <c r="H216" s="104">
        <f t="shared" si="17"/>
        <v>26.558958730158732</v>
      </c>
      <c r="I216" s="104">
        <f t="shared" si="18"/>
        <v>30.422080000000001</v>
      </c>
      <c r="J216" s="133"/>
      <c r="K216" s="110">
        <f t="shared" si="19"/>
        <v>27.656436363636367</v>
      </c>
      <c r="L216" s="88"/>
      <c r="M216" s="2"/>
    </row>
    <row r="217" spans="1:13" ht="22.5" customHeight="1">
      <c r="A217" s="2" t="s">
        <v>648</v>
      </c>
      <c r="B217" s="2" t="s">
        <v>647</v>
      </c>
      <c r="D217" s="13" t="s">
        <v>649</v>
      </c>
      <c r="E217" s="14">
        <v>724.48469599999999</v>
      </c>
      <c r="F217" s="104">
        <f t="shared" si="15"/>
        <v>26.564438853333336</v>
      </c>
      <c r="G217" s="104">
        <f t="shared" si="16"/>
        <v>25.790717333333337</v>
      </c>
      <c r="H217" s="104">
        <f t="shared" si="17"/>
        <v>25.299465574603175</v>
      </c>
      <c r="I217" s="104">
        <f t="shared" si="18"/>
        <v>28.979387840000001</v>
      </c>
      <c r="J217" s="133"/>
      <c r="K217" s="110">
        <f t="shared" si="19"/>
        <v>26.344898036363638</v>
      </c>
      <c r="L217" s="88"/>
      <c r="M217" s="2"/>
    </row>
    <row r="218" spans="1:13" ht="22.5" customHeight="1">
      <c r="A218" s="2" t="s">
        <v>651</v>
      </c>
      <c r="B218" s="2" t="s">
        <v>650</v>
      </c>
      <c r="D218" s="13" t="s">
        <v>652</v>
      </c>
      <c r="E218" s="14">
        <v>674.85599999999999</v>
      </c>
      <c r="F218" s="104">
        <f t="shared" si="15"/>
        <v>24.744720000000004</v>
      </c>
      <c r="G218" s="104">
        <f t="shared" si="16"/>
        <v>24.024000000000008</v>
      </c>
      <c r="H218" s="104">
        <f t="shared" si="17"/>
        <v>23.566400000000005</v>
      </c>
      <c r="I218" s="104">
        <f t="shared" si="18"/>
        <v>26.994239999999998</v>
      </c>
      <c r="J218" s="133"/>
      <c r="K218" s="110">
        <f t="shared" si="19"/>
        <v>24.540218181818179</v>
      </c>
      <c r="L218" s="88"/>
      <c r="M218" s="2"/>
    </row>
    <row r="219" spans="1:13" ht="22.5" customHeight="1">
      <c r="A219" s="2" t="s">
        <v>654</v>
      </c>
      <c r="B219" s="2" t="s">
        <v>653</v>
      </c>
      <c r="D219" s="13" t="s">
        <v>655</v>
      </c>
      <c r="E219" s="14">
        <v>724.48469599999999</v>
      </c>
      <c r="F219" s="104">
        <f t="shared" si="15"/>
        <v>26.564438853333336</v>
      </c>
      <c r="G219" s="104">
        <f t="shared" si="16"/>
        <v>25.790717333333337</v>
      </c>
      <c r="H219" s="104">
        <f t="shared" si="17"/>
        <v>25.299465574603175</v>
      </c>
      <c r="I219" s="104">
        <f t="shared" si="18"/>
        <v>28.979387840000001</v>
      </c>
      <c r="J219" s="133"/>
      <c r="K219" s="110">
        <f t="shared" si="19"/>
        <v>26.344898036363638</v>
      </c>
      <c r="L219" s="88"/>
      <c r="M219" s="2"/>
    </row>
    <row r="220" spans="1:13" ht="22.5" customHeight="1">
      <c r="A220" s="2" t="s">
        <v>657</v>
      </c>
      <c r="B220" s="2" t="s">
        <v>656</v>
      </c>
      <c r="D220" s="13" t="s">
        <v>658</v>
      </c>
      <c r="E220" s="14">
        <v>724.48469599999999</v>
      </c>
      <c r="F220" s="104">
        <f t="shared" si="15"/>
        <v>26.564438853333336</v>
      </c>
      <c r="G220" s="104">
        <f t="shared" si="16"/>
        <v>25.790717333333337</v>
      </c>
      <c r="H220" s="104">
        <f t="shared" si="17"/>
        <v>25.299465574603175</v>
      </c>
      <c r="I220" s="104">
        <f t="shared" si="18"/>
        <v>28.979387840000001</v>
      </c>
      <c r="J220" s="133"/>
      <c r="K220" s="110">
        <f t="shared" si="19"/>
        <v>26.344898036363638</v>
      </c>
      <c r="L220" s="88"/>
      <c r="M220" s="2"/>
    </row>
    <row r="221" spans="1:13" ht="22.5" customHeight="1">
      <c r="A221" s="2" t="s">
        <v>660</v>
      </c>
      <c r="B221" s="2" t="s">
        <v>659</v>
      </c>
      <c r="D221" s="13" t="s">
        <v>661</v>
      </c>
      <c r="E221" s="14">
        <v>706.99200000000008</v>
      </c>
      <c r="F221" s="104">
        <f t="shared" si="15"/>
        <v>25.923040000000004</v>
      </c>
      <c r="G221" s="104">
        <f t="shared" si="16"/>
        <v>25.168000000000006</v>
      </c>
      <c r="H221" s="104">
        <f t="shared" si="17"/>
        <v>24.688609523809529</v>
      </c>
      <c r="I221" s="104">
        <f t="shared" si="18"/>
        <v>28.279680000000003</v>
      </c>
      <c r="J221" s="133"/>
      <c r="K221" s="110">
        <f t="shared" si="19"/>
        <v>25.708800000000004</v>
      </c>
      <c r="L221" s="88"/>
      <c r="M221" s="2"/>
    </row>
    <row r="222" spans="1:13" ht="22.5" customHeight="1">
      <c r="A222" s="2" t="s">
        <v>663</v>
      </c>
      <c r="B222" s="2" t="s">
        <v>662</v>
      </c>
      <c r="D222" s="13" t="s">
        <v>664</v>
      </c>
      <c r="E222" s="14">
        <v>760.55200000000002</v>
      </c>
      <c r="F222" s="104">
        <f t="shared" si="15"/>
        <v>27.886906666666668</v>
      </c>
      <c r="G222" s="104">
        <f t="shared" si="16"/>
        <v>27.074666666666669</v>
      </c>
      <c r="H222" s="104">
        <f t="shared" si="17"/>
        <v>26.558958730158732</v>
      </c>
      <c r="I222" s="104">
        <f t="shared" si="18"/>
        <v>30.422080000000001</v>
      </c>
      <c r="J222" s="133"/>
      <c r="K222" s="110">
        <f t="shared" si="19"/>
        <v>27.656436363636367</v>
      </c>
      <c r="L222" s="88"/>
      <c r="M222" s="2"/>
    </row>
    <row r="223" spans="1:13" ht="22.5" customHeight="1">
      <c r="A223" s="2" t="s">
        <v>666</v>
      </c>
      <c r="B223" s="2" t="s">
        <v>665</v>
      </c>
      <c r="D223" s="13" t="s">
        <v>667</v>
      </c>
      <c r="E223" s="14">
        <v>811.41257600000006</v>
      </c>
      <c r="F223" s="104">
        <f t="shared" si="15"/>
        <v>29.751794453333339</v>
      </c>
      <c r="G223" s="104">
        <f t="shared" si="16"/>
        <v>28.88523733333334</v>
      </c>
      <c r="H223" s="104">
        <f t="shared" si="17"/>
        <v>28.335042336507943</v>
      </c>
      <c r="I223" s="104">
        <f t="shared" si="18"/>
        <v>32.456503040000001</v>
      </c>
      <c r="J223" s="133"/>
      <c r="K223" s="110">
        <f t="shared" si="19"/>
        <v>29.505911854545452</v>
      </c>
      <c r="L223" s="88"/>
      <c r="M223" s="2"/>
    </row>
    <row r="224" spans="1:13" ht="22.5" customHeight="1">
      <c r="A224" s="2" t="s">
        <v>669</v>
      </c>
      <c r="B224" s="2" t="s">
        <v>668</v>
      </c>
      <c r="D224" s="13" t="s">
        <v>670</v>
      </c>
      <c r="E224" s="14">
        <v>811.41257600000006</v>
      </c>
      <c r="F224" s="104">
        <f t="shared" si="15"/>
        <v>29.751794453333339</v>
      </c>
      <c r="G224" s="104">
        <f t="shared" si="16"/>
        <v>28.88523733333334</v>
      </c>
      <c r="H224" s="104">
        <f t="shared" si="17"/>
        <v>28.335042336507943</v>
      </c>
      <c r="I224" s="104">
        <f t="shared" si="18"/>
        <v>32.456503040000001</v>
      </c>
      <c r="J224" s="133"/>
      <c r="K224" s="110">
        <f t="shared" si="19"/>
        <v>29.505911854545452</v>
      </c>
      <c r="L224" s="88"/>
      <c r="M224" s="2"/>
    </row>
    <row r="225" spans="1:13" ht="22.5" customHeight="1">
      <c r="A225" s="2" t="s">
        <v>672</v>
      </c>
      <c r="B225" s="2" t="s">
        <v>671</v>
      </c>
      <c r="D225" s="13" t="s">
        <v>673</v>
      </c>
      <c r="E225" s="14">
        <v>760.55200000000002</v>
      </c>
      <c r="F225" s="104">
        <f t="shared" si="15"/>
        <v>27.886906666666668</v>
      </c>
      <c r="G225" s="104">
        <f t="shared" si="16"/>
        <v>27.074666666666669</v>
      </c>
      <c r="H225" s="104">
        <f t="shared" si="17"/>
        <v>26.558958730158732</v>
      </c>
      <c r="I225" s="104">
        <f t="shared" si="18"/>
        <v>30.422080000000001</v>
      </c>
      <c r="J225" s="133"/>
      <c r="K225" s="110">
        <f t="shared" si="19"/>
        <v>27.656436363636367</v>
      </c>
      <c r="L225" s="88"/>
      <c r="M225" s="2"/>
    </row>
    <row r="226" spans="1:13" ht="22.5" customHeight="1">
      <c r="A226" s="2" t="s">
        <v>675</v>
      </c>
      <c r="B226" s="2" t="s">
        <v>674</v>
      </c>
      <c r="D226" s="13" t="s">
        <v>676</v>
      </c>
      <c r="E226" s="14">
        <v>724.48469599999999</v>
      </c>
      <c r="F226" s="104">
        <f t="shared" si="15"/>
        <v>26.564438853333336</v>
      </c>
      <c r="G226" s="104">
        <f t="shared" si="16"/>
        <v>25.790717333333337</v>
      </c>
      <c r="H226" s="104">
        <f t="shared" si="17"/>
        <v>25.299465574603175</v>
      </c>
      <c r="I226" s="104">
        <f t="shared" si="18"/>
        <v>28.979387840000001</v>
      </c>
      <c r="J226" s="133"/>
      <c r="K226" s="110">
        <f t="shared" si="19"/>
        <v>26.344898036363638</v>
      </c>
      <c r="L226" s="88"/>
      <c r="M226" s="2"/>
    </row>
    <row r="227" spans="1:13" ht="22.5" customHeight="1">
      <c r="A227" s="2" t="s">
        <v>678</v>
      </c>
      <c r="B227" s="2" t="s">
        <v>677</v>
      </c>
      <c r="D227" s="13" t="s">
        <v>679</v>
      </c>
      <c r="E227" s="14">
        <v>811.41257600000006</v>
      </c>
      <c r="F227" s="104">
        <f t="shared" si="15"/>
        <v>29.751794453333339</v>
      </c>
      <c r="G227" s="104">
        <f t="shared" si="16"/>
        <v>28.88523733333334</v>
      </c>
      <c r="H227" s="104">
        <f t="shared" si="17"/>
        <v>28.335042336507943</v>
      </c>
      <c r="I227" s="104">
        <f t="shared" si="18"/>
        <v>32.456503040000001</v>
      </c>
      <c r="J227" s="133"/>
      <c r="K227" s="110">
        <f t="shared" si="19"/>
        <v>29.505911854545452</v>
      </c>
      <c r="L227" s="88"/>
      <c r="M227" s="2"/>
    </row>
    <row r="228" spans="1:13" ht="22.5" customHeight="1">
      <c r="A228" s="2" t="s">
        <v>681</v>
      </c>
      <c r="B228" s="2" t="s">
        <v>680</v>
      </c>
      <c r="D228" s="13" t="s">
        <v>682</v>
      </c>
      <c r="E228" s="14">
        <v>632.00800000000004</v>
      </c>
      <c r="F228" s="104">
        <f t="shared" si="15"/>
        <v>23.173626666666671</v>
      </c>
      <c r="G228" s="104">
        <f t="shared" si="16"/>
        <v>22.498666666666669</v>
      </c>
      <c r="H228" s="104">
        <f t="shared" si="17"/>
        <v>22.070120634920638</v>
      </c>
      <c r="I228" s="104">
        <f t="shared" si="18"/>
        <v>25.280320000000003</v>
      </c>
      <c r="J228" s="133"/>
      <c r="K228" s="110">
        <f t="shared" si="19"/>
        <v>22.982109090909091</v>
      </c>
      <c r="L228" s="88"/>
      <c r="M228" s="2"/>
    </row>
    <row r="229" spans="1:13" ht="22.5" customHeight="1">
      <c r="A229" s="2" t="s">
        <v>684</v>
      </c>
      <c r="B229" s="2" t="s">
        <v>683</v>
      </c>
      <c r="D229" s="13" t="s">
        <v>685</v>
      </c>
      <c r="E229" s="14">
        <v>739.12800000000004</v>
      </c>
      <c r="F229" s="104">
        <f t="shared" si="15"/>
        <v>27.101360000000003</v>
      </c>
      <c r="G229" s="104">
        <f t="shared" si="16"/>
        <v>26.312000000000005</v>
      </c>
      <c r="H229" s="104">
        <f t="shared" si="17"/>
        <v>25.810819047619052</v>
      </c>
      <c r="I229" s="104">
        <f t="shared" si="18"/>
        <v>29.56512</v>
      </c>
      <c r="J229" s="133"/>
      <c r="K229" s="110">
        <f t="shared" si="19"/>
        <v>26.877381818181821</v>
      </c>
      <c r="L229" s="88"/>
      <c r="M229" s="2"/>
    </row>
    <row r="230" spans="1:13" ht="22.5" customHeight="1">
      <c r="A230" s="2" t="s">
        <v>687</v>
      </c>
      <c r="B230" s="2" t="s">
        <v>686</v>
      </c>
      <c r="D230" s="13" t="s">
        <v>688</v>
      </c>
      <c r="E230" s="14">
        <v>724.48469599999999</v>
      </c>
      <c r="F230" s="104">
        <f t="shared" si="15"/>
        <v>26.564438853333336</v>
      </c>
      <c r="G230" s="104">
        <f t="shared" si="16"/>
        <v>25.790717333333337</v>
      </c>
      <c r="H230" s="104">
        <f t="shared" si="17"/>
        <v>25.299465574603175</v>
      </c>
      <c r="I230" s="104">
        <f t="shared" si="18"/>
        <v>28.979387840000001</v>
      </c>
      <c r="J230" s="133"/>
      <c r="K230" s="110">
        <f t="shared" si="19"/>
        <v>26.344898036363638</v>
      </c>
      <c r="L230" s="88"/>
      <c r="M230" s="2"/>
    </row>
    <row r="231" spans="1:13" ht="22.5" customHeight="1">
      <c r="A231" s="2" t="s">
        <v>690</v>
      </c>
      <c r="B231" s="2" t="s">
        <v>689</v>
      </c>
      <c r="D231" s="13" t="s">
        <v>691</v>
      </c>
      <c r="E231" s="14">
        <v>995.33761599999991</v>
      </c>
      <c r="F231" s="104">
        <f t="shared" si="15"/>
        <v>36.495712586666663</v>
      </c>
      <c r="G231" s="104">
        <f t="shared" si="16"/>
        <v>35.432730666666664</v>
      </c>
      <c r="H231" s="104">
        <f t="shared" si="17"/>
        <v>34.757821511111111</v>
      </c>
      <c r="I231" s="104">
        <f t="shared" si="18"/>
        <v>39.813504639999998</v>
      </c>
      <c r="J231" s="133"/>
      <c r="K231" s="110">
        <f t="shared" si="19"/>
        <v>36.194095127272725</v>
      </c>
      <c r="L231" s="88"/>
      <c r="M231" s="2"/>
    </row>
    <row r="232" spans="1:13" ht="22.5" customHeight="1">
      <c r="A232" s="2" t="s">
        <v>693</v>
      </c>
      <c r="B232" s="2" t="s">
        <v>692</v>
      </c>
      <c r="D232" s="13" t="s">
        <v>694</v>
      </c>
      <c r="E232" s="14">
        <v>855.88880000000006</v>
      </c>
      <c r="F232" s="104">
        <f t="shared" si="15"/>
        <v>31.382589333333339</v>
      </c>
      <c r="G232" s="104">
        <f t="shared" si="16"/>
        <v>30.46853333333334</v>
      </c>
      <c r="H232" s="104">
        <f t="shared" si="17"/>
        <v>29.888180317460325</v>
      </c>
      <c r="I232" s="104">
        <f t="shared" si="18"/>
        <v>34.235551999999998</v>
      </c>
      <c r="J232" s="133"/>
      <c r="K232" s="110">
        <f t="shared" si="19"/>
        <v>31.123229090909092</v>
      </c>
      <c r="L232" s="88"/>
      <c r="M232" s="2"/>
    </row>
    <row r="233" spans="1:13" ht="22.5" customHeight="1">
      <c r="A233" s="2" t="s">
        <v>696</v>
      </c>
      <c r="B233" s="2" t="s">
        <v>695</v>
      </c>
      <c r="D233" s="13" t="s">
        <v>697</v>
      </c>
      <c r="E233" s="14">
        <v>724.13119999999992</v>
      </c>
      <c r="F233" s="104">
        <f t="shared" si="15"/>
        <v>26.551477333333331</v>
      </c>
      <c r="G233" s="104">
        <f t="shared" si="16"/>
        <v>25.778133333333333</v>
      </c>
      <c r="H233" s="104">
        <f t="shared" si="17"/>
        <v>25.287121269841268</v>
      </c>
      <c r="I233" s="104">
        <f t="shared" si="18"/>
        <v>28.965247999999995</v>
      </c>
      <c r="J233" s="133"/>
      <c r="K233" s="110">
        <f t="shared" si="19"/>
        <v>26.332043636363633</v>
      </c>
      <c r="L233" s="88"/>
      <c r="M233" s="2"/>
    </row>
    <row r="234" spans="1:13" ht="22.5" customHeight="1">
      <c r="A234" s="2" t="s">
        <v>699</v>
      </c>
      <c r="B234" s="2" t="s">
        <v>698</v>
      </c>
      <c r="D234" s="13" t="s">
        <v>700</v>
      </c>
      <c r="E234" s="14">
        <v>728.41599999999994</v>
      </c>
      <c r="F234" s="104">
        <f t="shared" si="15"/>
        <v>26.708586666666669</v>
      </c>
      <c r="G234" s="104">
        <f t="shared" si="16"/>
        <v>25.930666666666671</v>
      </c>
      <c r="H234" s="104">
        <f t="shared" si="17"/>
        <v>25.436749206349209</v>
      </c>
      <c r="I234" s="104">
        <f t="shared" si="18"/>
        <v>29.136639999999996</v>
      </c>
      <c r="J234" s="133"/>
      <c r="K234" s="110">
        <f t="shared" si="19"/>
        <v>26.487854545454542</v>
      </c>
      <c r="L234" s="88"/>
      <c r="M234" s="2"/>
    </row>
    <row r="235" spans="1:13" ht="22.5" customHeight="1">
      <c r="A235" s="2" t="s">
        <v>702</v>
      </c>
      <c r="B235" s="2" t="s">
        <v>701</v>
      </c>
      <c r="D235" s="13" t="s">
        <v>703</v>
      </c>
      <c r="E235" s="14">
        <v>724.13119999999992</v>
      </c>
      <c r="F235" s="104">
        <f t="shared" si="15"/>
        <v>26.551477333333331</v>
      </c>
      <c r="G235" s="104">
        <f t="shared" si="16"/>
        <v>25.778133333333333</v>
      </c>
      <c r="H235" s="104">
        <f t="shared" si="17"/>
        <v>25.287121269841268</v>
      </c>
      <c r="I235" s="104">
        <f t="shared" si="18"/>
        <v>28.965247999999995</v>
      </c>
      <c r="J235" s="133"/>
      <c r="K235" s="110">
        <f t="shared" si="19"/>
        <v>26.332043636363633</v>
      </c>
      <c r="L235" s="88"/>
      <c r="M235" s="2"/>
    </row>
    <row r="236" spans="1:13" ht="22.5" customHeight="1">
      <c r="A236" s="2" t="s">
        <v>705</v>
      </c>
      <c r="B236" s="2" t="s">
        <v>704</v>
      </c>
      <c r="D236" s="13" t="s">
        <v>706</v>
      </c>
      <c r="E236" s="14">
        <v>724.13119999999992</v>
      </c>
      <c r="F236" s="104">
        <f t="shared" si="15"/>
        <v>26.551477333333331</v>
      </c>
      <c r="G236" s="104">
        <f t="shared" si="16"/>
        <v>25.778133333333333</v>
      </c>
      <c r="H236" s="104">
        <f t="shared" si="17"/>
        <v>25.287121269841268</v>
      </c>
      <c r="I236" s="104">
        <f t="shared" si="18"/>
        <v>28.965247999999995</v>
      </c>
      <c r="J236" s="133"/>
      <c r="K236" s="110">
        <f t="shared" si="19"/>
        <v>26.332043636363633</v>
      </c>
      <c r="L236" s="88"/>
      <c r="M236" s="2"/>
    </row>
    <row r="237" spans="1:13" ht="22.5" customHeight="1">
      <c r="A237" s="2" t="s">
        <v>708</v>
      </c>
      <c r="B237" s="2" t="s">
        <v>707</v>
      </c>
      <c r="D237" s="13" t="s">
        <v>709</v>
      </c>
      <c r="E237" s="14">
        <v>524.88800000000003</v>
      </c>
      <c r="F237" s="104">
        <f t="shared" si="15"/>
        <v>19.245893333333338</v>
      </c>
      <c r="G237" s="104">
        <f t="shared" si="16"/>
        <v>18.68533333333334</v>
      </c>
      <c r="H237" s="104">
        <f t="shared" si="17"/>
        <v>18.329422222222227</v>
      </c>
      <c r="I237" s="104">
        <f t="shared" si="18"/>
        <v>20.995519999999999</v>
      </c>
      <c r="J237" s="133"/>
      <c r="K237" s="110">
        <f t="shared" si="19"/>
        <v>19.086836363636362</v>
      </c>
      <c r="L237" s="88"/>
      <c r="M237" s="2"/>
    </row>
    <row r="238" spans="1:13" ht="22.5" customHeight="1">
      <c r="A238" s="2" t="s">
        <v>711</v>
      </c>
      <c r="B238" s="2" t="s">
        <v>710</v>
      </c>
      <c r="D238" s="13" t="s">
        <v>712</v>
      </c>
      <c r="E238" s="14">
        <v>724.48469599999999</v>
      </c>
      <c r="F238" s="104">
        <f t="shared" si="15"/>
        <v>26.564438853333336</v>
      </c>
      <c r="G238" s="104">
        <f t="shared" si="16"/>
        <v>25.790717333333337</v>
      </c>
      <c r="H238" s="104">
        <f t="shared" si="17"/>
        <v>25.299465574603175</v>
      </c>
      <c r="I238" s="104">
        <f t="shared" si="18"/>
        <v>28.979387840000001</v>
      </c>
      <c r="J238" s="133"/>
      <c r="K238" s="110">
        <f t="shared" si="19"/>
        <v>26.344898036363638</v>
      </c>
      <c r="L238" s="88"/>
      <c r="M238" s="2"/>
    </row>
    <row r="239" spans="1:13" ht="22.5" customHeight="1">
      <c r="A239" s="2" t="s">
        <v>714</v>
      </c>
      <c r="B239" s="2" t="s">
        <v>713</v>
      </c>
      <c r="C239" s="2" t="s">
        <v>8633</v>
      </c>
      <c r="D239" s="13" t="s">
        <v>715</v>
      </c>
      <c r="E239" s="14">
        <v>653.43200000000002</v>
      </c>
      <c r="F239" s="104">
        <f t="shared" si="15"/>
        <v>23.959173333333336</v>
      </c>
      <c r="G239" s="104">
        <f t="shared" si="16"/>
        <v>23.261333333333337</v>
      </c>
      <c r="H239" s="104">
        <f t="shared" si="17"/>
        <v>22.818260317460322</v>
      </c>
      <c r="I239" s="104">
        <f t="shared" si="18"/>
        <v>26.137279999999997</v>
      </c>
      <c r="J239" s="133"/>
      <c r="K239" s="110">
        <f t="shared" si="19"/>
        <v>23.761163636363634</v>
      </c>
      <c r="L239" s="88"/>
      <c r="M239" s="2"/>
    </row>
    <row r="240" spans="1:13" ht="22.5" customHeight="1">
      <c r="A240" s="2" t="s">
        <v>717</v>
      </c>
      <c r="B240" s="2" t="s">
        <v>716</v>
      </c>
      <c r="D240" s="13" t="s">
        <v>718</v>
      </c>
      <c r="E240" s="14">
        <v>621.29599999999994</v>
      </c>
      <c r="F240" s="104">
        <f t="shared" si="15"/>
        <v>22.780853333333333</v>
      </c>
      <c r="G240" s="104">
        <f t="shared" si="16"/>
        <v>22.117333333333335</v>
      </c>
      <c r="H240" s="104">
        <f t="shared" si="17"/>
        <v>21.696050793650794</v>
      </c>
      <c r="I240" s="104">
        <f t="shared" si="18"/>
        <v>24.851839999999996</v>
      </c>
      <c r="J240" s="133"/>
      <c r="K240" s="110">
        <f t="shared" si="19"/>
        <v>22.592581818181817</v>
      </c>
      <c r="L240" s="88"/>
      <c r="M240" s="2"/>
    </row>
    <row r="241" spans="1:17" ht="22.5" customHeight="1">
      <c r="A241" s="2" t="s">
        <v>720</v>
      </c>
      <c r="B241" s="2" t="s">
        <v>719</v>
      </c>
      <c r="D241" s="13" t="s">
        <v>721</v>
      </c>
      <c r="E241" s="14">
        <v>739.12800000000004</v>
      </c>
      <c r="F241" s="104">
        <f t="shared" si="15"/>
        <v>27.101360000000003</v>
      </c>
      <c r="G241" s="104">
        <f t="shared" si="16"/>
        <v>26.312000000000005</v>
      </c>
      <c r="H241" s="104">
        <f t="shared" si="17"/>
        <v>25.810819047619052</v>
      </c>
      <c r="I241" s="104">
        <f t="shared" si="18"/>
        <v>29.56512</v>
      </c>
      <c r="J241" s="133"/>
      <c r="K241" s="110">
        <f t="shared" si="19"/>
        <v>26.877381818181821</v>
      </c>
      <c r="L241" s="88"/>
      <c r="M241" s="2"/>
    </row>
    <row r="242" spans="1:17" ht="22.5" customHeight="1">
      <c r="A242" s="2" t="s">
        <v>723</v>
      </c>
      <c r="B242" s="2" t="s">
        <v>722</v>
      </c>
      <c r="D242" s="13" t="s">
        <v>724</v>
      </c>
      <c r="E242" s="14">
        <v>851.60400000000004</v>
      </c>
      <c r="F242" s="104">
        <f t="shared" si="15"/>
        <v>31.225480000000005</v>
      </c>
      <c r="G242" s="104">
        <f t="shared" si="16"/>
        <v>30.316000000000006</v>
      </c>
      <c r="H242" s="104">
        <f t="shared" si="17"/>
        <v>29.738552380952388</v>
      </c>
      <c r="I242" s="104">
        <f t="shared" si="18"/>
        <v>34.064160000000001</v>
      </c>
      <c r="J242" s="133"/>
      <c r="K242" s="110">
        <f t="shared" si="19"/>
        <v>30.967418181818182</v>
      </c>
      <c r="L242" s="88"/>
      <c r="M242" s="2"/>
    </row>
    <row r="243" spans="1:17" ht="22.5" customHeight="1">
      <c r="A243" s="2" t="s">
        <v>726</v>
      </c>
      <c r="B243" s="2" t="s">
        <v>725</v>
      </c>
      <c r="D243" s="13" t="s">
        <v>727</v>
      </c>
      <c r="E243" s="14">
        <v>724.48469599999999</v>
      </c>
      <c r="F243" s="104">
        <f t="shared" si="15"/>
        <v>26.564438853333336</v>
      </c>
      <c r="G243" s="104">
        <f t="shared" si="16"/>
        <v>25.790717333333337</v>
      </c>
      <c r="H243" s="104">
        <f t="shared" si="17"/>
        <v>25.299465574603175</v>
      </c>
      <c r="I243" s="104">
        <f t="shared" si="18"/>
        <v>28.979387840000001</v>
      </c>
      <c r="J243" s="133"/>
      <c r="K243" s="110">
        <f t="shared" si="19"/>
        <v>26.344898036363638</v>
      </c>
      <c r="L243" s="88"/>
      <c r="M243" s="2"/>
    </row>
    <row r="244" spans="1:17" ht="22.5" customHeight="1">
      <c r="A244" s="2" t="s">
        <v>729</v>
      </c>
      <c r="B244" s="2" t="s">
        <v>728</v>
      </c>
      <c r="D244" s="13" t="s">
        <v>730</v>
      </c>
      <c r="E244" s="14">
        <v>763.76559999999995</v>
      </c>
      <c r="F244" s="104">
        <f t="shared" si="15"/>
        <v>28.004738666666665</v>
      </c>
      <c r="G244" s="104">
        <f t="shared" si="16"/>
        <v>27.189066666666662</v>
      </c>
      <c r="H244" s="104">
        <f t="shared" si="17"/>
        <v>26.67117968253968</v>
      </c>
      <c r="I244" s="104">
        <f t="shared" si="18"/>
        <v>30.550623999999996</v>
      </c>
      <c r="J244" s="133"/>
      <c r="K244" s="110">
        <f t="shared" si="19"/>
        <v>27.773294545454544</v>
      </c>
      <c r="L244" s="88"/>
      <c r="M244" s="2"/>
    </row>
    <row r="245" spans="1:17" ht="22.5" customHeight="1">
      <c r="A245" s="2" t="s">
        <v>732</v>
      </c>
      <c r="B245" s="2" t="s">
        <v>731</v>
      </c>
      <c r="D245" s="13" t="s">
        <v>733</v>
      </c>
      <c r="E245" s="14">
        <v>810.89840000000004</v>
      </c>
      <c r="F245" s="104">
        <f t="shared" si="15"/>
        <v>29.732941333333336</v>
      </c>
      <c r="G245" s="104">
        <f t="shared" si="16"/>
        <v>28.866933333333339</v>
      </c>
      <c r="H245" s="104">
        <f t="shared" si="17"/>
        <v>28.317086984126988</v>
      </c>
      <c r="I245" s="104">
        <f t="shared" si="18"/>
        <v>32.435935999999998</v>
      </c>
      <c r="J245" s="133"/>
      <c r="K245" s="110">
        <f t="shared" si="19"/>
        <v>29.487214545454545</v>
      </c>
      <c r="L245" s="88"/>
      <c r="M245" s="2"/>
    </row>
    <row r="246" spans="1:17" ht="22.5" customHeight="1">
      <c r="A246" s="2" t="s">
        <v>735</v>
      </c>
      <c r="B246" s="2" t="s">
        <v>734</v>
      </c>
      <c r="C246" s="2" t="s">
        <v>8682</v>
      </c>
      <c r="D246" s="13" t="s">
        <v>736</v>
      </c>
      <c r="E246" s="14">
        <v>674.85599999999999</v>
      </c>
      <c r="F246" s="104">
        <f t="shared" si="15"/>
        <v>24.744720000000004</v>
      </c>
      <c r="G246" s="104">
        <f t="shared" si="16"/>
        <v>24.024000000000008</v>
      </c>
      <c r="H246" s="104">
        <f t="shared" si="17"/>
        <v>23.566400000000005</v>
      </c>
      <c r="I246" s="104">
        <f t="shared" si="18"/>
        <v>26.994239999999998</v>
      </c>
      <c r="J246" s="133"/>
      <c r="K246" s="110">
        <f t="shared" si="19"/>
        <v>24.540218181818179</v>
      </c>
      <c r="L246" s="88"/>
      <c r="M246" s="79" t="s">
        <v>8179</v>
      </c>
      <c r="N246" s="47" t="s">
        <v>8539</v>
      </c>
      <c r="O246" s="47"/>
      <c r="P246" s="47"/>
      <c r="Q246" s="47"/>
    </row>
    <row r="247" spans="1:17" ht="22.5" customHeight="1">
      <c r="A247" s="2" t="s">
        <v>738</v>
      </c>
      <c r="B247" s="2" t="s">
        <v>737</v>
      </c>
      <c r="D247" s="13" t="s">
        <v>739</v>
      </c>
      <c r="E247" s="14">
        <v>724.48469599999999</v>
      </c>
      <c r="F247" s="104">
        <f t="shared" si="15"/>
        <v>26.564438853333336</v>
      </c>
      <c r="G247" s="104">
        <f t="shared" si="16"/>
        <v>25.790717333333337</v>
      </c>
      <c r="H247" s="104">
        <f t="shared" si="17"/>
        <v>25.299465574603175</v>
      </c>
      <c r="I247" s="104">
        <f t="shared" si="18"/>
        <v>28.979387840000001</v>
      </c>
      <c r="J247" s="133"/>
      <c r="K247" s="110">
        <f t="shared" si="19"/>
        <v>26.344898036363638</v>
      </c>
      <c r="L247" s="88"/>
      <c r="M247" s="2"/>
    </row>
    <row r="248" spans="1:17" ht="22.5" customHeight="1">
      <c r="A248" s="2" t="s">
        <v>741</v>
      </c>
      <c r="B248" s="2" t="s">
        <v>740</v>
      </c>
      <c r="D248" s="13" t="s">
        <v>742</v>
      </c>
      <c r="E248" s="14">
        <v>724.13119999999992</v>
      </c>
      <c r="F248" s="104">
        <f t="shared" si="15"/>
        <v>26.551477333333331</v>
      </c>
      <c r="G248" s="104">
        <f t="shared" si="16"/>
        <v>25.778133333333333</v>
      </c>
      <c r="H248" s="104">
        <f t="shared" si="17"/>
        <v>25.287121269841268</v>
      </c>
      <c r="I248" s="104">
        <f t="shared" si="18"/>
        <v>28.965247999999995</v>
      </c>
      <c r="J248" s="133"/>
      <c r="K248" s="110">
        <f t="shared" si="19"/>
        <v>26.332043636363633</v>
      </c>
      <c r="L248" s="88"/>
      <c r="M248" s="2"/>
    </row>
    <row r="249" spans="1:17" ht="22.5" customHeight="1">
      <c r="A249" s="2" t="s">
        <v>744</v>
      </c>
      <c r="B249" s="2" t="s">
        <v>743</v>
      </c>
      <c r="D249" s="13" t="s">
        <v>745</v>
      </c>
      <c r="E249" s="14">
        <v>724.48469599999999</v>
      </c>
      <c r="F249" s="104">
        <f t="shared" si="15"/>
        <v>26.564438853333336</v>
      </c>
      <c r="G249" s="104">
        <f t="shared" si="16"/>
        <v>25.790717333333337</v>
      </c>
      <c r="H249" s="104">
        <f t="shared" si="17"/>
        <v>25.299465574603175</v>
      </c>
      <c r="I249" s="104">
        <f t="shared" si="18"/>
        <v>28.979387840000001</v>
      </c>
      <c r="J249" s="133"/>
      <c r="K249" s="110">
        <f t="shared" si="19"/>
        <v>26.344898036363638</v>
      </c>
      <c r="L249" s="88"/>
      <c r="M249" s="2"/>
    </row>
    <row r="250" spans="1:17" ht="22.5" customHeight="1">
      <c r="A250" s="2" t="s">
        <v>747</v>
      </c>
      <c r="B250" s="2" t="s">
        <v>746</v>
      </c>
      <c r="D250" s="13" t="s">
        <v>748</v>
      </c>
      <c r="E250" s="14">
        <v>724.48469599999999</v>
      </c>
      <c r="F250" s="104">
        <f t="shared" si="15"/>
        <v>26.564438853333336</v>
      </c>
      <c r="G250" s="104">
        <f t="shared" si="16"/>
        <v>25.790717333333337</v>
      </c>
      <c r="H250" s="104">
        <f t="shared" si="17"/>
        <v>25.299465574603175</v>
      </c>
      <c r="I250" s="104">
        <f t="shared" si="18"/>
        <v>28.979387840000001</v>
      </c>
      <c r="J250" s="133"/>
      <c r="K250" s="110">
        <f t="shared" si="19"/>
        <v>26.344898036363638</v>
      </c>
      <c r="L250" s="88"/>
      <c r="M250" s="2"/>
    </row>
    <row r="251" spans="1:17" ht="22.5" customHeight="1">
      <c r="A251" s="2" t="s">
        <v>750</v>
      </c>
      <c r="B251" s="2" t="s">
        <v>749</v>
      </c>
      <c r="D251" s="13" t="s">
        <v>751</v>
      </c>
      <c r="E251" s="14">
        <v>674.85599999999999</v>
      </c>
      <c r="F251" s="104">
        <f t="shared" si="15"/>
        <v>24.744720000000004</v>
      </c>
      <c r="G251" s="104">
        <f t="shared" si="16"/>
        <v>24.024000000000008</v>
      </c>
      <c r="H251" s="104">
        <f t="shared" si="17"/>
        <v>23.566400000000005</v>
      </c>
      <c r="I251" s="104">
        <f t="shared" si="18"/>
        <v>26.994239999999998</v>
      </c>
      <c r="J251" s="133"/>
      <c r="K251" s="110">
        <f t="shared" si="19"/>
        <v>24.540218181818179</v>
      </c>
      <c r="L251" s="88"/>
      <c r="M251" s="2"/>
    </row>
    <row r="252" spans="1:17" ht="22.5" customHeight="1">
      <c r="A252" s="2" t="s">
        <v>753</v>
      </c>
      <c r="B252" s="2" t="s">
        <v>752</v>
      </c>
      <c r="D252" s="13" t="s">
        <v>754</v>
      </c>
      <c r="E252" s="14">
        <v>760.55200000000002</v>
      </c>
      <c r="F252" s="104">
        <f t="shared" si="15"/>
        <v>27.886906666666668</v>
      </c>
      <c r="G252" s="104">
        <f t="shared" si="16"/>
        <v>27.074666666666669</v>
      </c>
      <c r="H252" s="104">
        <f t="shared" si="17"/>
        <v>26.558958730158732</v>
      </c>
      <c r="I252" s="104">
        <f t="shared" si="18"/>
        <v>30.422080000000001</v>
      </c>
      <c r="J252" s="133"/>
      <c r="K252" s="110">
        <f t="shared" si="19"/>
        <v>27.656436363636367</v>
      </c>
      <c r="L252" s="88"/>
      <c r="M252" s="2"/>
    </row>
    <row r="253" spans="1:17" ht="22.5" customHeight="1">
      <c r="A253" s="2" t="s">
        <v>756</v>
      </c>
      <c r="B253" s="2" t="s">
        <v>755</v>
      </c>
      <c r="D253" s="13" t="s">
        <v>757</v>
      </c>
      <c r="E253" s="14">
        <v>653.43200000000002</v>
      </c>
      <c r="F253" s="104">
        <f t="shared" si="15"/>
        <v>23.959173333333336</v>
      </c>
      <c r="G253" s="104">
        <f t="shared" si="16"/>
        <v>23.261333333333337</v>
      </c>
      <c r="H253" s="104">
        <f t="shared" si="17"/>
        <v>22.818260317460322</v>
      </c>
      <c r="I253" s="104">
        <f t="shared" si="18"/>
        <v>26.137279999999997</v>
      </c>
      <c r="J253" s="133"/>
      <c r="K253" s="110">
        <f t="shared" si="19"/>
        <v>23.761163636363634</v>
      </c>
      <c r="L253" s="88"/>
      <c r="M253" s="2"/>
    </row>
    <row r="254" spans="1:17" ht="22.5" customHeight="1">
      <c r="A254" s="2" t="s">
        <v>759</v>
      </c>
      <c r="B254" s="2" t="s">
        <v>758</v>
      </c>
      <c r="D254" s="13" t="s">
        <v>760</v>
      </c>
      <c r="E254" s="14">
        <v>724.48469599999999</v>
      </c>
      <c r="F254" s="104">
        <f t="shared" si="15"/>
        <v>26.564438853333336</v>
      </c>
      <c r="G254" s="104">
        <f t="shared" si="16"/>
        <v>25.790717333333337</v>
      </c>
      <c r="H254" s="104">
        <f t="shared" si="17"/>
        <v>25.299465574603175</v>
      </c>
      <c r="I254" s="104">
        <f t="shared" si="18"/>
        <v>28.979387840000001</v>
      </c>
      <c r="J254" s="133"/>
      <c r="K254" s="110">
        <f t="shared" si="19"/>
        <v>26.344898036363638</v>
      </c>
      <c r="L254" s="88"/>
      <c r="M254" s="2"/>
    </row>
    <row r="255" spans="1:17" ht="22.5" customHeight="1">
      <c r="A255" s="2" t="s">
        <v>762</v>
      </c>
      <c r="B255" s="2" t="s">
        <v>761</v>
      </c>
      <c r="D255" s="13" t="s">
        <v>763</v>
      </c>
      <c r="E255" s="14">
        <v>724.48469599999999</v>
      </c>
      <c r="F255" s="104">
        <f t="shared" si="15"/>
        <v>26.564438853333336</v>
      </c>
      <c r="G255" s="104">
        <f t="shared" si="16"/>
        <v>25.790717333333337</v>
      </c>
      <c r="H255" s="104">
        <f t="shared" si="17"/>
        <v>25.299465574603175</v>
      </c>
      <c r="I255" s="104">
        <f t="shared" si="18"/>
        <v>28.979387840000001</v>
      </c>
      <c r="J255" s="133"/>
      <c r="K255" s="110">
        <f t="shared" si="19"/>
        <v>26.344898036363638</v>
      </c>
      <c r="L255" s="88"/>
      <c r="M255" s="2"/>
    </row>
    <row r="256" spans="1:17" ht="22.5" customHeight="1">
      <c r="A256" s="2" t="s">
        <v>765</v>
      </c>
      <c r="B256" s="2" t="s">
        <v>764</v>
      </c>
      <c r="D256" s="13" t="s">
        <v>766</v>
      </c>
      <c r="E256" s="14">
        <v>724.48469599999999</v>
      </c>
      <c r="F256" s="104">
        <f t="shared" si="15"/>
        <v>26.564438853333336</v>
      </c>
      <c r="G256" s="104">
        <f t="shared" si="16"/>
        <v>25.790717333333337</v>
      </c>
      <c r="H256" s="104">
        <f t="shared" si="17"/>
        <v>25.299465574603175</v>
      </c>
      <c r="I256" s="104">
        <f t="shared" si="18"/>
        <v>28.979387840000001</v>
      </c>
      <c r="J256" s="133"/>
      <c r="K256" s="110">
        <f t="shared" si="19"/>
        <v>26.344898036363638</v>
      </c>
      <c r="L256" s="88"/>
      <c r="M256" s="2"/>
    </row>
    <row r="257" spans="1:13" ht="22.5" customHeight="1">
      <c r="A257" s="2" t="s">
        <v>768</v>
      </c>
      <c r="B257" s="2" t="s">
        <v>767</v>
      </c>
      <c r="D257" s="13" t="s">
        <v>769</v>
      </c>
      <c r="E257" s="14">
        <v>645.93360000000007</v>
      </c>
      <c r="F257" s="104">
        <f t="shared" si="15"/>
        <v>23.684232000000005</v>
      </c>
      <c r="G257" s="104">
        <f t="shared" si="16"/>
        <v>22.994400000000006</v>
      </c>
      <c r="H257" s="104">
        <f t="shared" si="17"/>
        <v>22.556411428571433</v>
      </c>
      <c r="I257" s="104">
        <f t="shared" si="18"/>
        <v>25.837344000000005</v>
      </c>
      <c r="J257" s="133"/>
      <c r="K257" s="110">
        <f t="shared" si="19"/>
        <v>23.48849454545455</v>
      </c>
      <c r="L257" s="88"/>
      <c r="M257" s="2"/>
    </row>
    <row r="258" spans="1:13" ht="22.5" customHeight="1">
      <c r="A258" s="2" t="s">
        <v>771</v>
      </c>
      <c r="B258" s="2" t="s">
        <v>770</v>
      </c>
      <c r="D258" s="13" t="s">
        <v>772</v>
      </c>
      <c r="E258" s="14">
        <v>724.48469599999999</v>
      </c>
      <c r="F258" s="104">
        <f t="shared" ref="F258:F321" si="20">+(E258*1.1/30)</f>
        <v>26.564438853333336</v>
      </c>
      <c r="G258" s="104">
        <f t="shared" ref="G258:G321" si="21">+(F258*100/103)</f>
        <v>25.790717333333337</v>
      </c>
      <c r="H258" s="104">
        <f t="shared" ref="H258:H321" si="22">+(F258*100/105)</f>
        <v>25.299465574603175</v>
      </c>
      <c r="I258" s="104">
        <f t="shared" ref="I258:I321" si="23">+(E258*1.2/30)</f>
        <v>28.979387840000001</v>
      </c>
      <c r="J258" s="133"/>
      <c r="K258" s="110">
        <f t="shared" ref="K258:K321" si="24">+(E258*1.2/33)</f>
        <v>26.344898036363638</v>
      </c>
      <c r="L258" s="88"/>
      <c r="M258" s="2"/>
    </row>
    <row r="259" spans="1:13" ht="22.5" customHeight="1">
      <c r="A259" s="2" t="s">
        <v>774</v>
      </c>
      <c r="B259" s="2" t="s">
        <v>773</v>
      </c>
      <c r="D259" s="13" t="s">
        <v>775</v>
      </c>
      <c r="E259" s="14">
        <v>883.74</v>
      </c>
      <c r="F259" s="104">
        <f t="shared" si="20"/>
        <v>32.403800000000004</v>
      </c>
      <c r="G259" s="104">
        <f t="shared" si="21"/>
        <v>31.460000000000004</v>
      </c>
      <c r="H259" s="104">
        <f t="shared" si="22"/>
        <v>30.860761904761912</v>
      </c>
      <c r="I259" s="104">
        <f t="shared" si="23"/>
        <v>35.349600000000002</v>
      </c>
      <c r="J259" s="133"/>
      <c r="K259" s="110">
        <f t="shared" si="24"/>
        <v>32.136000000000003</v>
      </c>
      <c r="L259" s="88"/>
      <c r="M259" s="2"/>
    </row>
    <row r="260" spans="1:13" ht="22.5" customHeight="1">
      <c r="A260" s="2" t="s">
        <v>777</v>
      </c>
      <c r="B260" s="2" t="s">
        <v>776</v>
      </c>
      <c r="D260" s="13" t="s">
        <v>778</v>
      </c>
      <c r="E260" s="14">
        <v>811.41257600000006</v>
      </c>
      <c r="F260" s="104">
        <f t="shared" si="20"/>
        <v>29.751794453333339</v>
      </c>
      <c r="G260" s="104">
        <f t="shared" si="21"/>
        <v>28.88523733333334</v>
      </c>
      <c r="H260" s="104">
        <f t="shared" si="22"/>
        <v>28.335042336507943</v>
      </c>
      <c r="I260" s="104">
        <f t="shared" si="23"/>
        <v>32.456503040000001</v>
      </c>
      <c r="J260" s="133"/>
      <c r="K260" s="110">
        <f t="shared" si="24"/>
        <v>29.505911854545452</v>
      </c>
      <c r="L260" s="88"/>
      <c r="M260" s="2"/>
    </row>
    <row r="261" spans="1:13" ht="22.5" customHeight="1">
      <c r="A261" s="2" t="s">
        <v>780</v>
      </c>
      <c r="B261" s="2" t="s">
        <v>779</v>
      </c>
      <c r="D261" s="13" t="s">
        <v>781</v>
      </c>
      <c r="E261" s="14">
        <v>811.41257600000006</v>
      </c>
      <c r="F261" s="104">
        <f t="shared" si="20"/>
        <v>29.751794453333339</v>
      </c>
      <c r="G261" s="104">
        <f t="shared" si="21"/>
        <v>28.88523733333334</v>
      </c>
      <c r="H261" s="104">
        <f t="shared" si="22"/>
        <v>28.335042336507943</v>
      </c>
      <c r="I261" s="104">
        <f t="shared" si="23"/>
        <v>32.456503040000001</v>
      </c>
      <c r="J261" s="133"/>
      <c r="K261" s="110">
        <f t="shared" si="24"/>
        <v>29.505911854545452</v>
      </c>
      <c r="L261" s="88"/>
      <c r="M261" s="2"/>
    </row>
    <row r="262" spans="1:13" ht="22.5" customHeight="1">
      <c r="A262" s="2" t="s">
        <v>783</v>
      </c>
      <c r="B262" s="2" t="s">
        <v>782</v>
      </c>
      <c r="D262" s="13" t="s">
        <v>784</v>
      </c>
      <c r="E262" s="14">
        <v>811.41257600000006</v>
      </c>
      <c r="F262" s="104">
        <f t="shared" si="20"/>
        <v>29.751794453333339</v>
      </c>
      <c r="G262" s="104">
        <f t="shared" si="21"/>
        <v>28.88523733333334</v>
      </c>
      <c r="H262" s="104">
        <f t="shared" si="22"/>
        <v>28.335042336507943</v>
      </c>
      <c r="I262" s="104">
        <f t="shared" si="23"/>
        <v>32.456503040000001</v>
      </c>
      <c r="J262" s="133"/>
      <c r="K262" s="110">
        <f t="shared" si="24"/>
        <v>29.505911854545452</v>
      </c>
      <c r="L262" s="88"/>
      <c r="M262" s="2"/>
    </row>
    <row r="263" spans="1:13" ht="22.5" customHeight="1">
      <c r="A263" s="2" t="s">
        <v>786</v>
      </c>
      <c r="B263" s="2" t="s">
        <v>785</v>
      </c>
      <c r="D263" s="13" t="s">
        <v>787</v>
      </c>
      <c r="E263" s="14">
        <v>811.41257600000006</v>
      </c>
      <c r="F263" s="104">
        <f t="shared" si="20"/>
        <v>29.751794453333339</v>
      </c>
      <c r="G263" s="104">
        <f t="shared" si="21"/>
        <v>28.88523733333334</v>
      </c>
      <c r="H263" s="104">
        <f t="shared" si="22"/>
        <v>28.335042336507943</v>
      </c>
      <c r="I263" s="104">
        <f t="shared" si="23"/>
        <v>32.456503040000001</v>
      </c>
      <c r="J263" s="133"/>
      <c r="K263" s="110">
        <f t="shared" si="24"/>
        <v>29.505911854545452</v>
      </c>
      <c r="L263" s="88"/>
      <c r="M263" s="2"/>
    </row>
    <row r="264" spans="1:13" ht="22.5" customHeight="1">
      <c r="A264" s="2" t="s">
        <v>789</v>
      </c>
      <c r="B264" s="2" t="s">
        <v>788</v>
      </c>
      <c r="D264" s="13" t="s">
        <v>790</v>
      </c>
      <c r="E264" s="14">
        <v>724.48469599999999</v>
      </c>
      <c r="F264" s="104">
        <f t="shared" si="20"/>
        <v>26.564438853333336</v>
      </c>
      <c r="G264" s="104">
        <f t="shared" si="21"/>
        <v>25.790717333333337</v>
      </c>
      <c r="H264" s="104">
        <f t="shared" si="22"/>
        <v>25.299465574603175</v>
      </c>
      <c r="I264" s="104">
        <f t="shared" si="23"/>
        <v>28.979387840000001</v>
      </c>
      <c r="J264" s="133"/>
      <c r="K264" s="110">
        <f t="shared" si="24"/>
        <v>26.344898036363638</v>
      </c>
      <c r="L264" s="88"/>
      <c r="M264" s="2"/>
    </row>
    <row r="265" spans="1:13" ht="22.5" customHeight="1">
      <c r="A265" s="2" t="s">
        <v>792</v>
      </c>
      <c r="B265" s="2" t="s">
        <v>791</v>
      </c>
      <c r="D265" s="13" t="s">
        <v>793</v>
      </c>
      <c r="E265" s="14">
        <v>492.75200000000001</v>
      </c>
      <c r="F265" s="104">
        <f t="shared" si="20"/>
        <v>18.067573333333335</v>
      </c>
      <c r="G265" s="104">
        <f t="shared" si="21"/>
        <v>17.541333333333334</v>
      </c>
      <c r="H265" s="104">
        <f t="shared" si="22"/>
        <v>17.2072126984127</v>
      </c>
      <c r="I265" s="104">
        <f t="shared" si="23"/>
        <v>19.710080000000001</v>
      </c>
      <c r="J265" s="133"/>
      <c r="K265" s="110">
        <f t="shared" si="24"/>
        <v>17.918254545454545</v>
      </c>
      <c r="L265" s="88"/>
      <c r="M265" s="2"/>
    </row>
    <row r="266" spans="1:13" ht="22.5" customHeight="1">
      <c r="A266" s="2" t="s">
        <v>795</v>
      </c>
      <c r="B266" s="2" t="s">
        <v>794</v>
      </c>
      <c r="D266" s="13" t="s">
        <v>796</v>
      </c>
      <c r="E266" s="14">
        <v>674.85599999999999</v>
      </c>
      <c r="F266" s="104">
        <f t="shared" si="20"/>
        <v>24.744720000000004</v>
      </c>
      <c r="G266" s="104">
        <f t="shared" si="21"/>
        <v>24.024000000000008</v>
      </c>
      <c r="H266" s="104">
        <f t="shared" si="22"/>
        <v>23.566400000000005</v>
      </c>
      <c r="I266" s="104">
        <f t="shared" si="23"/>
        <v>26.994239999999998</v>
      </c>
      <c r="J266" s="133"/>
      <c r="K266" s="110">
        <f t="shared" si="24"/>
        <v>24.540218181818179</v>
      </c>
      <c r="L266" s="88"/>
      <c r="M266" s="2"/>
    </row>
    <row r="267" spans="1:13" ht="22.5" customHeight="1">
      <c r="A267" s="2" t="s">
        <v>798</v>
      </c>
      <c r="B267" s="2" t="s">
        <v>797</v>
      </c>
      <c r="D267" s="13" t="s">
        <v>799</v>
      </c>
      <c r="E267" s="14">
        <v>724.48469599999999</v>
      </c>
      <c r="F267" s="104">
        <f t="shared" si="20"/>
        <v>26.564438853333336</v>
      </c>
      <c r="G267" s="104">
        <f t="shared" si="21"/>
        <v>25.790717333333337</v>
      </c>
      <c r="H267" s="104">
        <f t="shared" si="22"/>
        <v>25.299465574603175</v>
      </c>
      <c r="I267" s="104">
        <f t="shared" si="23"/>
        <v>28.979387840000001</v>
      </c>
      <c r="J267" s="133"/>
      <c r="K267" s="110">
        <f t="shared" si="24"/>
        <v>26.344898036363638</v>
      </c>
      <c r="L267" s="88"/>
      <c r="M267" s="2"/>
    </row>
    <row r="268" spans="1:13" ht="22.5" customHeight="1">
      <c r="A268" s="2" t="s">
        <v>801</v>
      </c>
      <c r="B268" s="2" t="s">
        <v>800</v>
      </c>
      <c r="D268" s="13" t="s">
        <v>802</v>
      </c>
      <c r="E268" s="14">
        <v>524.88800000000003</v>
      </c>
      <c r="F268" s="104">
        <f t="shared" si="20"/>
        <v>19.245893333333338</v>
      </c>
      <c r="G268" s="104">
        <f t="shared" si="21"/>
        <v>18.68533333333334</v>
      </c>
      <c r="H268" s="104">
        <f t="shared" si="22"/>
        <v>18.329422222222227</v>
      </c>
      <c r="I268" s="104">
        <f t="shared" si="23"/>
        <v>20.995519999999999</v>
      </c>
      <c r="J268" s="133"/>
      <c r="K268" s="110">
        <f t="shared" si="24"/>
        <v>19.086836363636362</v>
      </c>
      <c r="L268" s="88"/>
      <c r="M268" s="2"/>
    </row>
    <row r="269" spans="1:13" ht="22.5" customHeight="1">
      <c r="A269" s="2" t="s">
        <v>804</v>
      </c>
      <c r="B269" s="2" t="s">
        <v>803</v>
      </c>
      <c r="D269" s="13" t="s">
        <v>805</v>
      </c>
      <c r="E269" s="14">
        <v>674.85599999999999</v>
      </c>
      <c r="F269" s="104">
        <f t="shared" si="20"/>
        <v>24.744720000000004</v>
      </c>
      <c r="G269" s="104">
        <f t="shared" si="21"/>
        <v>24.024000000000008</v>
      </c>
      <c r="H269" s="104">
        <f t="shared" si="22"/>
        <v>23.566400000000005</v>
      </c>
      <c r="I269" s="104">
        <f t="shared" si="23"/>
        <v>26.994239999999998</v>
      </c>
      <c r="J269" s="133"/>
      <c r="K269" s="110">
        <f t="shared" si="24"/>
        <v>24.540218181818179</v>
      </c>
      <c r="L269" s="88"/>
      <c r="M269" s="2"/>
    </row>
    <row r="270" spans="1:13" ht="22.5" customHeight="1">
      <c r="A270" s="2" t="s">
        <v>807</v>
      </c>
      <c r="B270" s="2" t="s">
        <v>806</v>
      </c>
      <c r="D270" s="13" t="s">
        <v>808</v>
      </c>
      <c r="E270" s="14">
        <v>749.84</v>
      </c>
      <c r="F270" s="104">
        <f t="shared" si="20"/>
        <v>27.494133333333334</v>
      </c>
      <c r="G270" s="104">
        <f t="shared" si="21"/>
        <v>26.693333333333335</v>
      </c>
      <c r="H270" s="104">
        <f t="shared" si="22"/>
        <v>26.184888888888889</v>
      </c>
      <c r="I270" s="104">
        <f t="shared" si="23"/>
        <v>29.993600000000001</v>
      </c>
      <c r="J270" s="133"/>
      <c r="K270" s="110">
        <f t="shared" si="24"/>
        <v>27.266909090909092</v>
      </c>
      <c r="L270" s="88"/>
      <c r="M270" s="2"/>
    </row>
    <row r="271" spans="1:13" ht="22.5" customHeight="1">
      <c r="A271" s="2" t="s">
        <v>810</v>
      </c>
      <c r="B271" s="2" t="s">
        <v>809</v>
      </c>
      <c r="D271" s="13" t="s">
        <v>811</v>
      </c>
      <c r="E271" s="14">
        <v>760.55200000000002</v>
      </c>
      <c r="F271" s="104">
        <f t="shared" si="20"/>
        <v>27.886906666666668</v>
      </c>
      <c r="G271" s="104">
        <f t="shared" si="21"/>
        <v>27.074666666666669</v>
      </c>
      <c r="H271" s="104">
        <f t="shared" si="22"/>
        <v>26.558958730158732</v>
      </c>
      <c r="I271" s="104">
        <f t="shared" si="23"/>
        <v>30.422080000000001</v>
      </c>
      <c r="J271" s="133"/>
      <c r="K271" s="110">
        <f t="shared" si="24"/>
        <v>27.656436363636367</v>
      </c>
      <c r="L271" s="88"/>
      <c r="M271" s="2"/>
    </row>
    <row r="272" spans="1:13" ht="22.5" customHeight="1">
      <c r="A272" s="2" t="s">
        <v>813</v>
      </c>
      <c r="B272" s="2" t="s">
        <v>812</v>
      </c>
      <c r="D272" s="13" t="s">
        <v>814</v>
      </c>
      <c r="E272" s="14">
        <v>503.464</v>
      </c>
      <c r="F272" s="104">
        <f t="shared" si="20"/>
        <v>18.46034666666667</v>
      </c>
      <c r="G272" s="104">
        <f t="shared" si="21"/>
        <v>17.922666666666668</v>
      </c>
      <c r="H272" s="104">
        <f t="shared" si="22"/>
        <v>17.58128253968254</v>
      </c>
      <c r="I272" s="104">
        <f t="shared" si="23"/>
        <v>20.138559999999998</v>
      </c>
      <c r="J272" s="133"/>
      <c r="K272" s="110">
        <f t="shared" si="24"/>
        <v>18.307781818181816</v>
      </c>
      <c r="L272" s="88"/>
      <c r="M272" s="2"/>
    </row>
    <row r="273" spans="1:13" ht="22.5" customHeight="1">
      <c r="A273" s="2" t="s">
        <v>816</v>
      </c>
      <c r="B273" s="2" t="s">
        <v>815</v>
      </c>
      <c r="D273" s="13" t="s">
        <v>817</v>
      </c>
      <c r="E273" s="14">
        <v>567.98237600000004</v>
      </c>
      <c r="F273" s="104">
        <f t="shared" si="20"/>
        <v>20.826020453333339</v>
      </c>
      <c r="G273" s="104">
        <f t="shared" si="21"/>
        <v>20.219437333333339</v>
      </c>
      <c r="H273" s="104">
        <f t="shared" si="22"/>
        <v>19.834305193650799</v>
      </c>
      <c r="I273" s="104">
        <f t="shared" si="23"/>
        <v>22.719295040000002</v>
      </c>
      <c r="J273" s="133"/>
      <c r="K273" s="110">
        <f t="shared" si="24"/>
        <v>20.653904581818182</v>
      </c>
      <c r="L273" s="88"/>
      <c r="M273" s="2"/>
    </row>
    <row r="274" spans="1:13" ht="22.5" customHeight="1">
      <c r="A274" s="2" t="s">
        <v>819</v>
      </c>
      <c r="B274" s="2" t="s">
        <v>818</v>
      </c>
      <c r="D274" s="13" t="s">
        <v>820</v>
      </c>
      <c r="E274" s="14">
        <v>524.88800000000003</v>
      </c>
      <c r="F274" s="104">
        <f t="shared" si="20"/>
        <v>19.245893333333338</v>
      </c>
      <c r="G274" s="104">
        <f t="shared" si="21"/>
        <v>18.68533333333334</v>
      </c>
      <c r="H274" s="104">
        <f t="shared" si="22"/>
        <v>18.329422222222227</v>
      </c>
      <c r="I274" s="104">
        <f t="shared" si="23"/>
        <v>20.995519999999999</v>
      </c>
      <c r="J274" s="133"/>
      <c r="K274" s="110">
        <f t="shared" si="24"/>
        <v>19.086836363636362</v>
      </c>
      <c r="L274" s="88"/>
      <c r="M274" s="2"/>
    </row>
    <row r="275" spans="1:13" ht="22.5" customHeight="1">
      <c r="A275" s="2" t="s">
        <v>822</v>
      </c>
      <c r="B275" s="2" t="s">
        <v>821</v>
      </c>
      <c r="D275" s="13" t="s">
        <v>823</v>
      </c>
      <c r="E275" s="14">
        <v>632.00800000000004</v>
      </c>
      <c r="F275" s="104">
        <f t="shared" si="20"/>
        <v>23.173626666666671</v>
      </c>
      <c r="G275" s="104">
        <f t="shared" si="21"/>
        <v>22.498666666666669</v>
      </c>
      <c r="H275" s="104">
        <f t="shared" si="22"/>
        <v>22.070120634920638</v>
      </c>
      <c r="I275" s="104">
        <f t="shared" si="23"/>
        <v>25.280320000000003</v>
      </c>
      <c r="J275" s="133"/>
      <c r="K275" s="110">
        <f t="shared" si="24"/>
        <v>22.982109090909091</v>
      </c>
      <c r="L275" s="88"/>
      <c r="M275" s="2"/>
    </row>
    <row r="276" spans="1:13" ht="22.5" customHeight="1">
      <c r="A276" s="2" t="s">
        <v>825</v>
      </c>
      <c r="B276" s="2" t="s">
        <v>824</v>
      </c>
      <c r="D276" s="13" t="s">
        <v>826</v>
      </c>
      <c r="E276" s="14">
        <v>724.48469599999999</v>
      </c>
      <c r="F276" s="104">
        <f t="shared" si="20"/>
        <v>26.564438853333336</v>
      </c>
      <c r="G276" s="104">
        <f t="shared" si="21"/>
        <v>25.790717333333337</v>
      </c>
      <c r="H276" s="104">
        <f t="shared" si="22"/>
        <v>25.299465574603175</v>
      </c>
      <c r="I276" s="104">
        <f t="shared" si="23"/>
        <v>28.979387840000001</v>
      </c>
      <c r="J276" s="133"/>
      <c r="K276" s="110">
        <f t="shared" si="24"/>
        <v>26.344898036363638</v>
      </c>
      <c r="L276" s="88"/>
      <c r="M276" s="2"/>
    </row>
    <row r="277" spans="1:13" ht="22.5" customHeight="1">
      <c r="A277" s="2" t="s">
        <v>828</v>
      </c>
      <c r="B277" s="2" t="s">
        <v>827</v>
      </c>
      <c r="D277" s="13" t="s">
        <v>829</v>
      </c>
      <c r="E277" s="14">
        <v>724.48469599999999</v>
      </c>
      <c r="F277" s="104">
        <f t="shared" si="20"/>
        <v>26.564438853333336</v>
      </c>
      <c r="G277" s="104">
        <f t="shared" si="21"/>
        <v>25.790717333333337</v>
      </c>
      <c r="H277" s="104">
        <f t="shared" si="22"/>
        <v>25.299465574603175</v>
      </c>
      <c r="I277" s="104">
        <f t="shared" si="23"/>
        <v>28.979387840000001</v>
      </c>
      <c r="J277" s="133"/>
      <c r="K277" s="110">
        <f t="shared" si="24"/>
        <v>26.344898036363638</v>
      </c>
      <c r="L277" s="88"/>
      <c r="M277" s="2"/>
    </row>
    <row r="278" spans="1:13" ht="22.5" customHeight="1">
      <c r="A278" s="2" t="s">
        <v>831</v>
      </c>
      <c r="B278" s="2" t="s">
        <v>830</v>
      </c>
      <c r="D278" s="13" t="s">
        <v>832</v>
      </c>
      <c r="E278" s="14">
        <v>567.73599999999999</v>
      </c>
      <c r="F278" s="104">
        <f t="shared" si="20"/>
        <v>20.816986666666669</v>
      </c>
      <c r="G278" s="104">
        <f t="shared" si="21"/>
        <v>20.210666666666668</v>
      </c>
      <c r="H278" s="104">
        <f t="shared" si="22"/>
        <v>19.825701587301587</v>
      </c>
      <c r="I278" s="104">
        <f t="shared" si="23"/>
        <v>22.709439999999997</v>
      </c>
      <c r="J278" s="133"/>
      <c r="K278" s="110">
        <f t="shared" si="24"/>
        <v>20.644945454545454</v>
      </c>
      <c r="L278" s="88"/>
      <c r="M278" s="2"/>
    </row>
    <row r="279" spans="1:13" ht="22.5" customHeight="1">
      <c r="A279" s="2" t="s">
        <v>834</v>
      </c>
      <c r="B279" s="2" t="s">
        <v>833</v>
      </c>
      <c r="D279" s="13" t="s">
        <v>835</v>
      </c>
      <c r="E279" s="14">
        <v>524.88800000000003</v>
      </c>
      <c r="F279" s="104">
        <f t="shared" si="20"/>
        <v>19.245893333333338</v>
      </c>
      <c r="G279" s="104">
        <f t="shared" si="21"/>
        <v>18.68533333333334</v>
      </c>
      <c r="H279" s="104">
        <f t="shared" si="22"/>
        <v>18.329422222222227</v>
      </c>
      <c r="I279" s="104">
        <f t="shared" si="23"/>
        <v>20.995519999999999</v>
      </c>
      <c r="J279" s="133"/>
      <c r="K279" s="110">
        <f t="shared" si="24"/>
        <v>19.086836363636362</v>
      </c>
      <c r="L279" s="88"/>
      <c r="M279" s="2"/>
    </row>
    <row r="280" spans="1:13" ht="22.5" customHeight="1">
      <c r="A280" s="2" t="s">
        <v>837</v>
      </c>
      <c r="B280" s="2" t="s">
        <v>836</v>
      </c>
      <c r="D280" s="13" t="s">
        <v>838</v>
      </c>
      <c r="E280" s="14">
        <v>524.88800000000003</v>
      </c>
      <c r="F280" s="104">
        <f t="shared" si="20"/>
        <v>19.245893333333338</v>
      </c>
      <c r="G280" s="104">
        <f t="shared" si="21"/>
        <v>18.68533333333334</v>
      </c>
      <c r="H280" s="104">
        <f t="shared" si="22"/>
        <v>18.329422222222227</v>
      </c>
      <c r="I280" s="104">
        <f t="shared" si="23"/>
        <v>20.995519999999999</v>
      </c>
      <c r="J280" s="133"/>
      <c r="K280" s="110">
        <f t="shared" si="24"/>
        <v>19.086836363636362</v>
      </c>
      <c r="L280" s="88"/>
      <c r="M280" s="2"/>
    </row>
    <row r="281" spans="1:13" ht="22.5" customHeight="1">
      <c r="A281" s="2" t="s">
        <v>840</v>
      </c>
      <c r="B281" s="2" t="s">
        <v>839</v>
      </c>
      <c r="D281" s="13" t="s">
        <v>841</v>
      </c>
      <c r="E281" s="14">
        <v>621.29599999999994</v>
      </c>
      <c r="F281" s="104">
        <f t="shared" si="20"/>
        <v>22.780853333333333</v>
      </c>
      <c r="G281" s="104">
        <f t="shared" si="21"/>
        <v>22.117333333333335</v>
      </c>
      <c r="H281" s="104">
        <f t="shared" si="22"/>
        <v>21.696050793650794</v>
      </c>
      <c r="I281" s="104">
        <f t="shared" si="23"/>
        <v>24.851839999999996</v>
      </c>
      <c r="J281" s="133"/>
      <c r="K281" s="110">
        <f t="shared" si="24"/>
        <v>22.592581818181817</v>
      </c>
      <c r="L281" s="88"/>
      <c r="M281" s="2"/>
    </row>
    <row r="282" spans="1:13" ht="22.5" customHeight="1">
      <c r="A282" s="2" t="s">
        <v>843</v>
      </c>
      <c r="B282" s="2" t="s">
        <v>842</v>
      </c>
      <c r="D282" s="13" t="s">
        <v>844</v>
      </c>
      <c r="E282" s="14">
        <v>653.43200000000002</v>
      </c>
      <c r="F282" s="104">
        <f t="shared" si="20"/>
        <v>23.959173333333336</v>
      </c>
      <c r="G282" s="104">
        <f t="shared" si="21"/>
        <v>23.261333333333337</v>
      </c>
      <c r="H282" s="104">
        <f t="shared" si="22"/>
        <v>22.818260317460322</v>
      </c>
      <c r="I282" s="104">
        <f t="shared" si="23"/>
        <v>26.137279999999997</v>
      </c>
      <c r="J282" s="133"/>
      <c r="K282" s="110">
        <f t="shared" si="24"/>
        <v>23.761163636363634</v>
      </c>
      <c r="L282" s="88"/>
      <c r="M282" s="2"/>
    </row>
    <row r="283" spans="1:13" ht="22.5" customHeight="1">
      <c r="A283" s="2" t="s">
        <v>846</v>
      </c>
      <c r="B283" s="2" t="s">
        <v>845</v>
      </c>
      <c r="D283" s="13" t="s">
        <v>847</v>
      </c>
      <c r="E283" s="14">
        <v>632.00800000000004</v>
      </c>
      <c r="F283" s="104">
        <f t="shared" si="20"/>
        <v>23.173626666666671</v>
      </c>
      <c r="G283" s="104">
        <f t="shared" si="21"/>
        <v>22.498666666666669</v>
      </c>
      <c r="H283" s="104">
        <f t="shared" si="22"/>
        <v>22.070120634920638</v>
      </c>
      <c r="I283" s="104">
        <f t="shared" si="23"/>
        <v>25.280320000000003</v>
      </c>
      <c r="J283" s="133"/>
      <c r="K283" s="110">
        <f t="shared" si="24"/>
        <v>22.982109090909091</v>
      </c>
      <c r="L283" s="88"/>
      <c r="M283" s="2"/>
    </row>
    <row r="284" spans="1:13" ht="22.5" customHeight="1">
      <c r="A284" s="2" t="s">
        <v>849</v>
      </c>
      <c r="B284" s="2" t="s">
        <v>848</v>
      </c>
      <c r="D284" s="13" t="s">
        <v>850</v>
      </c>
      <c r="E284" s="14">
        <v>621.29599999999994</v>
      </c>
      <c r="F284" s="104">
        <f t="shared" si="20"/>
        <v>22.780853333333333</v>
      </c>
      <c r="G284" s="104">
        <f t="shared" si="21"/>
        <v>22.117333333333335</v>
      </c>
      <c r="H284" s="104">
        <f t="shared" si="22"/>
        <v>21.696050793650794</v>
      </c>
      <c r="I284" s="104">
        <f t="shared" si="23"/>
        <v>24.851839999999996</v>
      </c>
      <c r="J284" s="133"/>
      <c r="K284" s="110">
        <f t="shared" si="24"/>
        <v>22.592581818181817</v>
      </c>
      <c r="L284" s="88"/>
      <c r="M284" s="2"/>
    </row>
    <row r="285" spans="1:13" ht="22.5" customHeight="1">
      <c r="A285" s="2" t="s">
        <v>852</v>
      </c>
      <c r="B285" s="2" t="s">
        <v>851</v>
      </c>
      <c r="D285" s="13" t="s">
        <v>853</v>
      </c>
      <c r="E285" s="14">
        <v>653.43200000000002</v>
      </c>
      <c r="F285" s="104">
        <f t="shared" si="20"/>
        <v>23.959173333333336</v>
      </c>
      <c r="G285" s="104">
        <f t="shared" si="21"/>
        <v>23.261333333333337</v>
      </c>
      <c r="H285" s="104">
        <f t="shared" si="22"/>
        <v>22.818260317460322</v>
      </c>
      <c r="I285" s="104">
        <f t="shared" si="23"/>
        <v>26.137279999999997</v>
      </c>
      <c r="J285" s="133"/>
      <c r="K285" s="110">
        <f t="shared" si="24"/>
        <v>23.761163636363634</v>
      </c>
      <c r="L285" s="88"/>
      <c r="M285" s="2"/>
    </row>
    <row r="286" spans="1:13" ht="22.5" customHeight="1">
      <c r="A286" s="2" t="s">
        <v>855</v>
      </c>
      <c r="B286" s="2" t="s">
        <v>854</v>
      </c>
      <c r="D286" s="13" t="s">
        <v>856</v>
      </c>
      <c r="E286" s="14">
        <v>524.88800000000003</v>
      </c>
      <c r="F286" s="104">
        <f t="shared" si="20"/>
        <v>19.245893333333338</v>
      </c>
      <c r="G286" s="104">
        <f t="shared" si="21"/>
        <v>18.68533333333334</v>
      </c>
      <c r="H286" s="104">
        <f t="shared" si="22"/>
        <v>18.329422222222227</v>
      </c>
      <c r="I286" s="104">
        <f t="shared" si="23"/>
        <v>20.995519999999999</v>
      </c>
      <c r="J286" s="133"/>
      <c r="K286" s="110">
        <f t="shared" si="24"/>
        <v>19.086836363636362</v>
      </c>
      <c r="L286" s="88"/>
      <c r="M286" s="2"/>
    </row>
    <row r="287" spans="1:13" ht="22.5" customHeight="1">
      <c r="A287" s="2" t="s">
        <v>858</v>
      </c>
      <c r="B287" s="2" t="s">
        <v>857</v>
      </c>
      <c r="D287" s="13" t="s">
        <v>5</v>
      </c>
      <c r="E287" s="14">
        <v>706.99200000000008</v>
      </c>
      <c r="F287" s="104">
        <f t="shared" si="20"/>
        <v>25.923040000000004</v>
      </c>
      <c r="G287" s="104">
        <f t="shared" si="21"/>
        <v>25.168000000000006</v>
      </c>
      <c r="H287" s="104">
        <f t="shared" si="22"/>
        <v>24.688609523809529</v>
      </c>
      <c r="I287" s="104">
        <f t="shared" si="23"/>
        <v>28.279680000000003</v>
      </c>
      <c r="J287" s="133"/>
      <c r="K287" s="110">
        <f t="shared" si="24"/>
        <v>25.708800000000004</v>
      </c>
      <c r="L287" s="88"/>
      <c r="M287" s="2"/>
    </row>
    <row r="288" spans="1:13" ht="22.5" customHeight="1">
      <c r="A288" s="2" t="s">
        <v>860</v>
      </c>
      <c r="B288" s="2" t="s">
        <v>859</v>
      </c>
      <c r="D288" s="13" t="s">
        <v>861</v>
      </c>
      <c r="E288" s="14">
        <v>739.12800000000004</v>
      </c>
      <c r="F288" s="104">
        <f t="shared" si="20"/>
        <v>27.101360000000003</v>
      </c>
      <c r="G288" s="104">
        <f t="shared" si="21"/>
        <v>26.312000000000005</v>
      </c>
      <c r="H288" s="104">
        <f t="shared" si="22"/>
        <v>25.810819047619052</v>
      </c>
      <c r="I288" s="104">
        <f t="shared" si="23"/>
        <v>29.56512</v>
      </c>
      <c r="J288" s="133"/>
      <c r="K288" s="110">
        <f t="shared" si="24"/>
        <v>26.877381818181821</v>
      </c>
      <c r="L288" s="88"/>
      <c r="M288" s="2"/>
    </row>
    <row r="289" spans="1:13" ht="22.5" customHeight="1">
      <c r="A289" s="2" t="s">
        <v>863</v>
      </c>
      <c r="B289" s="2" t="s">
        <v>862</v>
      </c>
      <c r="D289" s="13"/>
      <c r="E289" s="14">
        <v>0</v>
      </c>
      <c r="F289" s="104">
        <f t="shared" si="20"/>
        <v>0</v>
      </c>
      <c r="G289" s="104">
        <f t="shared" si="21"/>
        <v>0</v>
      </c>
      <c r="H289" s="104">
        <f t="shared" si="22"/>
        <v>0</v>
      </c>
      <c r="I289" s="104">
        <f t="shared" si="23"/>
        <v>0</v>
      </c>
      <c r="J289" s="133"/>
      <c r="K289" s="110">
        <f t="shared" si="24"/>
        <v>0</v>
      </c>
      <c r="L289" s="88"/>
      <c r="M289" s="2"/>
    </row>
    <row r="290" spans="1:13" ht="22.5" customHeight="1">
      <c r="A290" s="2" t="s">
        <v>865</v>
      </c>
      <c r="B290" s="2" t="s">
        <v>864</v>
      </c>
      <c r="D290" s="13" t="s">
        <v>866</v>
      </c>
      <c r="E290" s="14">
        <v>524.88800000000003</v>
      </c>
      <c r="F290" s="104">
        <f t="shared" si="20"/>
        <v>19.245893333333338</v>
      </c>
      <c r="G290" s="104">
        <f t="shared" si="21"/>
        <v>18.68533333333334</v>
      </c>
      <c r="H290" s="104">
        <f t="shared" si="22"/>
        <v>18.329422222222227</v>
      </c>
      <c r="I290" s="104">
        <f t="shared" si="23"/>
        <v>20.995519999999999</v>
      </c>
      <c r="J290" s="133"/>
      <c r="K290" s="110">
        <f t="shared" si="24"/>
        <v>19.086836363636362</v>
      </c>
      <c r="L290" s="88"/>
      <c r="M290" s="2"/>
    </row>
    <row r="291" spans="1:13" ht="22.5" customHeight="1">
      <c r="A291" s="2" t="s">
        <v>868</v>
      </c>
      <c r="B291" s="2" t="s">
        <v>867</v>
      </c>
      <c r="D291" s="13" t="s">
        <v>869</v>
      </c>
      <c r="E291" s="14">
        <v>653.43200000000002</v>
      </c>
      <c r="F291" s="104">
        <f t="shared" si="20"/>
        <v>23.959173333333336</v>
      </c>
      <c r="G291" s="104">
        <f t="shared" si="21"/>
        <v>23.261333333333337</v>
      </c>
      <c r="H291" s="104">
        <f t="shared" si="22"/>
        <v>22.818260317460322</v>
      </c>
      <c r="I291" s="104">
        <f t="shared" si="23"/>
        <v>26.137279999999997</v>
      </c>
      <c r="J291" s="133"/>
      <c r="K291" s="110">
        <f t="shared" si="24"/>
        <v>23.761163636363634</v>
      </c>
      <c r="L291" s="88"/>
      <c r="M291" s="2"/>
    </row>
    <row r="292" spans="1:13" ht="22.5" customHeight="1">
      <c r="A292" s="2" t="s">
        <v>871</v>
      </c>
      <c r="B292" s="2" t="s">
        <v>870</v>
      </c>
      <c r="D292" s="13" t="s">
        <v>872</v>
      </c>
      <c r="E292" s="14">
        <v>771.26400000000001</v>
      </c>
      <c r="F292" s="104">
        <f t="shared" si="20"/>
        <v>28.279680000000003</v>
      </c>
      <c r="G292" s="104">
        <f t="shared" si="21"/>
        <v>27.456000000000003</v>
      </c>
      <c r="H292" s="104">
        <f t="shared" si="22"/>
        <v>26.933028571428576</v>
      </c>
      <c r="I292" s="104">
        <f t="shared" si="23"/>
        <v>30.850559999999998</v>
      </c>
      <c r="J292" s="133"/>
      <c r="K292" s="110">
        <f t="shared" si="24"/>
        <v>28.045963636363638</v>
      </c>
      <c r="L292" s="88"/>
      <c r="M292" s="2"/>
    </row>
    <row r="293" spans="1:13" ht="22.5" customHeight="1">
      <c r="A293" s="2" t="s">
        <v>874</v>
      </c>
      <c r="B293" s="2" t="s">
        <v>873</v>
      </c>
      <c r="D293" s="13" t="s">
        <v>875</v>
      </c>
      <c r="E293" s="14">
        <v>768.05039999999997</v>
      </c>
      <c r="F293" s="104">
        <f t="shared" si="20"/>
        <v>28.161848000000003</v>
      </c>
      <c r="G293" s="104">
        <f t="shared" si="21"/>
        <v>27.341600000000003</v>
      </c>
      <c r="H293" s="104">
        <f t="shared" si="22"/>
        <v>26.820807619047624</v>
      </c>
      <c r="I293" s="104">
        <f t="shared" si="23"/>
        <v>30.722015999999996</v>
      </c>
      <c r="J293" s="133"/>
      <c r="K293" s="110">
        <f t="shared" si="24"/>
        <v>27.92910545454545</v>
      </c>
      <c r="L293" s="88"/>
      <c r="M293" s="2"/>
    </row>
    <row r="294" spans="1:13" ht="22.5" customHeight="1">
      <c r="A294" s="2" t="s">
        <v>877</v>
      </c>
      <c r="B294" s="2" t="s">
        <v>876</v>
      </c>
      <c r="D294" s="13" t="s">
        <v>878</v>
      </c>
      <c r="E294" s="14">
        <v>811.41257600000006</v>
      </c>
      <c r="F294" s="104">
        <f t="shared" si="20"/>
        <v>29.751794453333339</v>
      </c>
      <c r="G294" s="104">
        <f t="shared" si="21"/>
        <v>28.88523733333334</v>
      </c>
      <c r="H294" s="104">
        <f t="shared" si="22"/>
        <v>28.335042336507943</v>
      </c>
      <c r="I294" s="104">
        <f t="shared" si="23"/>
        <v>32.456503040000001</v>
      </c>
      <c r="J294" s="133"/>
      <c r="K294" s="110">
        <f t="shared" si="24"/>
        <v>29.505911854545452</v>
      </c>
      <c r="L294" s="88"/>
      <c r="M294" s="2"/>
    </row>
    <row r="295" spans="1:13" ht="22.5" customHeight="1">
      <c r="A295" s="2" t="s">
        <v>880</v>
      </c>
      <c r="B295" s="2" t="s">
        <v>879</v>
      </c>
      <c r="D295" s="13" t="s">
        <v>881</v>
      </c>
      <c r="E295" s="14">
        <v>1162.252</v>
      </c>
      <c r="F295" s="104">
        <f t="shared" si="20"/>
        <v>42.615906666666667</v>
      </c>
      <c r="G295" s="104">
        <f t="shared" si="21"/>
        <v>41.37466666666667</v>
      </c>
      <c r="H295" s="104">
        <f t="shared" si="22"/>
        <v>40.586577777777784</v>
      </c>
      <c r="I295" s="104">
        <f t="shared" si="23"/>
        <v>46.490079999999999</v>
      </c>
      <c r="J295" s="133"/>
      <c r="K295" s="110">
        <f t="shared" si="24"/>
        <v>42.263709090909089</v>
      </c>
      <c r="L295" s="88"/>
      <c r="M295" s="2"/>
    </row>
    <row r="296" spans="1:13" ht="22.5" customHeight="1">
      <c r="A296" s="2" t="s">
        <v>883</v>
      </c>
      <c r="B296" s="2" t="s">
        <v>882</v>
      </c>
      <c r="D296" s="13" t="s">
        <v>884</v>
      </c>
      <c r="E296" s="14">
        <v>695.2088</v>
      </c>
      <c r="F296" s="104">
        <f t="shared" si="20"/>
        <v>25.490989333333335</v>
      </c>
      <c r="G296" s="104">
        <f t="shared" si="21"/>
        <v>24.748533333333338</v>
      </c>
      <c r="H296" s="104">
        <f t="shared" si="22"/>
        <v>24.2771326984127</v>
      </c>
      <c r="I296" s="104">
        <f t="shared" si="23"/>
        <v>27.808351999999999</v>
      </c>
      <c r="J296" s="133"/>
      <c r="K296" s="110">
        <f t="shared" si="24"/>
        <v>25.28032</v>
      </c>
      <c r="L296" s="88"/>
      <c r="M296" s="2"/>
    </row>
    <row r="297" spans="1:13" ht="22.5" customHeight="1">
      <c r="A297" s="2" t="s">
        <v>886</v>
      </c>
      <c r="B297" s="2" t="s">
        <v>885</v>
      </c>
      <c r="D297" s="13" t="s">
        <v>887</v>
      </c>
      <c r="E297" s="14">
        <v>792.6880000000001</v>
      </c>
      <c r="F297" s="104">
        <f t="shared" si="20"/>
        <v>29.065226666666671</v>
      </c>
      <c r="G297" s="104">
        <f t="shared" si="21"/>
        <v>28.218666666666671</v>
      </c>
      <c r="H297" s="104">
        <f t="shared" si="22"/>
        <v>27.681168253968259</v>
      </c>
      <c r="I297" s="104">
        <f t="shared" si="23"/>
        <v>31.707520000000002</v>
      </c>
      <c r="J297" s="133"/>
      <c r="K297" s="110">
        <f t="shared" si="24"/>
        <v>28.825018181818184</v>
      </c>
      <c r="L297" s="88"/>
      <c r="M297" s="2"/>
    </row>
    <row r="298" spans="1:13" ht="22.5" customHeight="1">
      <c r="A298" s="2" t="s">
        <v>889</v>
      </c>
      <c r="B298" s="2" t="s">
        <v>888</v>
      </c>
      <c r="D298" s="13" t="s">
        <v>890</v>
      </c>
      <c r="E298" s="14">
        <v>674.85599999999999</v>
      </c>
      <c r="F298" s="104">
        <f t="shared" si="20"/>
        <v>24.744720000000004</v>
      </c>
      <c r="G298" s="104">
        <f t="shared" si="21"/>
        <v>24.024000000000008</v>
      </c>
      <c r="H298" s="104">
        <f t="shared" si="22"/>
        <v>23.566400000000005</v>
      </c>
      <c r="I298" s="104">
        <f t="shared" si="23"/>
        <v>26.994239999999998</v>
      </c>
      <c r="J298" s="133"/>
      <c r="K298" s="110">
        <f t="shared" si="24"/>
        <v>24.540218181818179</v>
      </c>
      <c r="L298" s="88"/>
      <c r="M298" s="2"/>
    </row>
    <row r="299" spans="1:13" ht="22.5" customHeight="1">
      <c r="A299" s="2" t="s">
        <v>892</v>
      </c>
      <c r="B299" s="2" t="s">
        <v>891</v>
      </c>
      <c r="D299" s="13" t="s">
        <v>893</v>
      </c>
      <c r="E299" s="14">
        <v>632.00800000000004</v>
      </c>
      <c r="F299" s="104">
        <f t="shared" si="20"/>
        <v>23.173626666666671</v>
      </c>
      <c r="G299" s="104">
        <f t="shared" si="21"/>
        <v>22.498666666666669</v>
      </c>
      <c r="H299" s="104">
        <f t="shared" si="22"/>
        <v>22.070120634920638</v>
      </c>
      <c r="I299" s="104">
        <f t="shared" si="23"/>
        <v>25.280320000000003</v>
      </c>
      <c r="J299" s="133"/>
      <c r="K299" s="110">
        <f t="shared" si="24"/>
        <v>22.982109090909091</v>
      </c>
      <c r="L299" s="88"/>
      <c r="M299" s="2"/>
    </row>
    <row r="300" spans="1:13" ht="22.5" customHeight="1">
      <c r="A300" s="2" t="s">
        <v>895</v>
      </c>
      <c r="B300" s="2" t="s">
        <v>894</v>
      </c>
      <c r="D300" s="13" t="s">
        <v>896</v>
      </c>
      <c r="E300" s="14">
        <v>760.55200000000002</v>
      </c>
      <c r="F300" s="104">
        <f t="shared" si="20"/>
        <v>27.886906666666668</v>
      </c>
      <c r="G300" s="104">
        <f t="shared" si="21"/>
        <v>27.074666666666669</v>
      </c>
      <c r="H300" s="104">
        <f t="shared" si="22"/>
        <v>26.558958730158732</v>
      </c>
      <c r="I300" s="104">
        <f t="shared" si="23"/>
        <v>30.422080000000001</v>
      </c>
      <c r="J300" s="133"/>
      <c r="K300" s="110">
        <f t="shared" si="24"/>
        <v>27.656436363636367</v>
      </c>
      <c r="L300" s="88"/>
      <c r="M300" s="2"/>
    </row>
    <row r="301" spans="1:13" ht="22.5" customHeight="1">
      <c r="A301" s="2" t="s">
        <v>898</v>
      </c>
      <c r="B301" s="2" t="s">
        <v>897</v>
      </c>
      <c r="D301" s="13" t="s">
        <v>899</v>
      </c>
      <c r="E301" s="14">
        <v>674.85599999999999</v>
      </c>
      <c r="F301" s="104">
        <f t="shared" si="20"/>
        <v>24.744720000000004</v>
      </c>
      <c r="G301" s="104">
        <f t="shared" si="21"/>
        <v>24.024000000000008</v>
      </c>
      <c r="H301" s="104">
        <f t="shared" si="22"/>
        <v>23.566400000000005</v>
      </c>
      <c r="I301" s="104">
        <f t="shared" si="23"/>
        <v>26.994239999999998</v>
      </c>
      <c r="J301" s="133"/>
      <c r="K301" s="110">
        <f t="shared" si="24"/>
        <v>24.540218181818179</v>
      </c>
      <c r="L301" s="88"/>
      <c r="M301" s="2"/>
    </row>
    <row r="302" spans="1:13" ht="22.5" customHeight="1">
      <c r="A302" s="2" t="s">
        <v>901</v>
      </c>
      <c r="B302" s="2" t="s">
        <v>900</v>
      </c>
      <c r="D302" s="13" t="s">
        <v>902</v>
      </c>
      <c r="E302" s="14">
        <v>811.41257600000006</v>
      </c>
      <c r="F302" s="104">
        <f t="shared" si="20"/>
        <v>29.751794453333339</v>
      </c>
      <c r="G302" s="104">
        <f t="shared" si="21"/>
        <v>28.88523733333334</v>
      </c>
      <c r="H302" s="104">
        <f t="shared" si="22"/>
        <v>28.335042336507943</v>
      </c>
      <c r="I302" s="104">
        <f t="shared" si="23"/>
        <v>32.456503040000001</v>
      </c>
      <c r="J302" s="133"/>
      <c r="K302" s="110">
        <f t="shared" si="24"/>
        <v>29.505911854545452</v>
      </c>
      <c r="L302" s="88"/>
      <c r="M302" s="2"/>
    </row>
    <row r="303" spans="1:13" ht="22.5" customHeight="1">
      <c r="A303" s="2" t="s">
        <v>904</v>
      </c>
      <c r="B303" s="2" t="s">
        <v>903</v>
      </c>
      <c r="C303" s="2" t="s">
        <v>8663</v>
      </c>
      <c r="D303" s="13" t="s">
        <v>905</v>
      </c>
      <c r="E303" s="14">
        <v>664.14400000000001</v>
      </c>
      <c r="F303" s="104">
        <f t="shared" si="20"/>
        <v>24.35194666666667</v>
      </c>
      <c r="G303" s="104">
        <f t="shared" si="21"/>
        <v>23.64266666666667</v>
      </c>
      <c r="H303" s="104">
        <f t="shared" si="22"/>
        <v>23.192330158730165</v>
      </c>
      <c r="I303" s="104">
        <f t="shared" si="23"/>
        <v>26.565760000000001</v>
      </c>
      <c r="J303" s="133"/>
      <c r="K303" s="110">
        <f t="shared" si="24"/>
        <v>24.150690909090908</v>
      </c>
      <c r="L303" s="88"/>
      <c r="M303" s="2"/>
    </row>
    <row r="304" spans="1:13" ht="22.5" customHeight="1">
      <c r="A304" s="2" t="s">
        <v>907</v>
      </c>
      <c r="B304" s="2" t="s">
        <v>906</v>
      </c>
      <c r="C304" s="2" t="s">
        <v>8763</v>
      </c>
      <c r="D304" s="13" t="s">
        <v>908</v>
      </c>
      <c r="E304" s="14">
        <v>621.29599999999994</v>
      </c>
      <c r="F304" s="104">
        <f t="shared" si="20"/>
        <v>22.780853333333333</v>
      </c>
      <c r="G304" s="104">
        <f t="shared" si="21"/>
        <v>22.117333333333335</v>
      </c>
      <c r="H304" s="104">
        <f t="shared" si="22"/>
        <v>21.696050793650794</v>
      </c>
      <c r="I304" s="104">
        <f t="shared" si="23"/>
        <v>24.851839999999996</v>
      </c>
      <c r="J304" s="133"/>
      <c r="K304" s="110">
        <f t="shared" si="24"/>
        <v>22.592581818181817</v>
      </c>
      <c r="L304" s="88"/>
      <c r="M304" s="2"/>
    </row>
    <row r="305" spans="1:13" ht="22.5" customHeight="1">
      <c r="A305" s="2" t="s">
        <v>910</v>
      </c>
      <c r="B305" s="2" t="s">
        <v>909</v>
      </c>
      <c r="D305" s="13" t="s">
        <v>911</v>
      </c>
      <c r="E305" s="14">
        <v>632.00800000000004</v>
      </c>
      <c r="F305" s="104">
        <f t="shared" si="20"/>
        <v>23.173626666666671</v>
      </c>
      <c r="G305" s="104">
        <f t="shared" si="21"/>
        <v>22.498666666666669</v>
      </c>
      <c r="H305" s="104">
        <f t="shared" si="22"/>
        <v>22.070120634920638</v>
      </c>
      <c r="I305" s="104">
        <f t="shared" si="23"/>
        <v>25.280320000000003</v>
      </c>
      <c r="J305" s="133"/>
      <c r="K305" s="110">
        <f t="shared" si="24"/>
        <v>22.982109090909091</v>
      </c>
      <c r="L305" s="88"/>
      <c r="M305" s="2"/>
    </row>
    <row r="306" spans="1:13" ht="22.5" customHeight="1">
      <c r="A306" s="2" t="s">
        <v>913</v>
      </c>
      <c r="B306" s="2" t="s">
        <v>912</v>
      </c>
      <c r="D306" s="13" t="s">
        <v>914</v>
      </c>
      <c r="E306" s="14">
        <v>653.43200000000002</v>
      </c>
      <c r="F306" s="104">
        <f t="shared" si="20"/>
        <v>23.959173333333336</v>
      </c>
      <c r="G306" s="104">
        <f t="shared" si="21"/>
        <v>23.261333333333337</v>
      </c>
      <c r="H306" s="104">
        <f t="shared" si="22"/>
        <v>22.818260317460322</v>
      </c>
      <c r="I306" s="104">
        <f t="shared" si="23"/>
        <v>26.137279999999997</v>
      </c>
      <c r="J306" s="133"/>
      <c r="K306" s="110">
        <f t="shared" si="24"/>
        <v>23.761163636363634</v>
      </c>
      <c r="L306" s="88"/>
      <c r="M306" s="2"/>
    </row>
    <row r="307" spans="1:13" ht="22.5" customHeight="1">
      <c r="A307" s="2" t="s">
        <v>916</v>
      </c>
      <c r="B307" s="2" t="s">
        <v>915</v>
      </c>
      <c r="D307" s="13" t="s">
        <v>917</v>
      </c>
      <c r="E307" s="14">
        <v>664.14400000000001</v>
      </c>
      <c r="F307" s="104">
        <f t="shared" si="20"/>
        <v>24.35194666666667</v>
      </c>
      <c r="G307" s="104">
        <f t="shared" si="21"/>
        <v>23.64266666666667</v>
      </c>
      <c r="H307" s="104">
        <f t="shared" si="22"/>
        <v>23.192330158730165</v>
      </c>
      <c r="I307" s="104">
        <f t="shared" si="23"/>
        <v>26.565760000000001</v>
      </c>
      <c r="J307" s="133"/>
      <c r="K307" s="110">
        <f t="shared" si="24"/>
        <v>24.150690909090908</v>
      </c>
      <c r="L307" s="88"/>
      <c r="M307" s="2"/>
    </row>
    <row r="308" spans="1:13" ht="22.5" customHeight="1">
      <c r="A308" s="2" t="s">
        <v>919</v>
      </c>
      <c r="B308" s="2" t="s">
        <v>918</v>
      </c>
      <c r="D308" s="13" t="s">
        <v>920</v>
      </c>
      <c r="E308" s="14">
        <v>724.48469599999999</v>
      </c>
      <c r="F308" s="104">
        <f t="shared" si="20"/>
        <v>26.564438853333336</v>
      </c>
      <c r="G308" s="104">
        <f t="shared" si="21"/>
        <v>25.790717333333337</v>
      </c>
      <c r="H308" s="104">
        <f t="shared" si="22"/>
        <v>25.299465574603175</v>
      </c>
      <c r="I308" s="104">
        <f t="shared" si="23"/>
        <v>28.979387840000001</v>
      </c>
      <c r="J308" s="133"/>
      <c r="K308" s="110">
        <f t="shared" si="24"/>
        <v>26.344898036363638</v>
      </c>
      <c r="L308" s="88"/>
      <c r="M308" s="2"/>
    </row>
    <row r="309" spans="1:13" ht="22.5" customHeight="1">
      <c r="A309" s="2" t="s">
        <v>922</v>
      </c>
      <c r="B309" s="2" t="s">
        <v>921</v>
      </c>
      <c r="D309" s="13" t="s">
        <v>923</v>
      </c>
      <c r="E309" s="14">
        <v>724.48469599999999</v>
      </c>
      <c r="F309" s="104">
        <f t="shared" si="20"/>
        <v>26.564438853333336</v>
      </c>
      <c r="G309" s="104">
        <f t="shared" si="21"/>
        <v>25.790717333333337</v>
      </c>
      <c r="H309" s="104">
        <f t="shared" si="22"/>
        <v>25.299465574603175</v>
      </c>
      <c r="I309" s="104">
        <f t="shared" si="23"/>
        <v>28.979387840000001</v>
      </c>
      <c r="J309" s="133"/>
      <c r="K309" s="110">
        <f t="shared" si="24"/>
        <v>26.344898036363638</v>
      </c>
      <c r="L309" s="88"/>
      <c r="M309" s="2"/>
    </row>
    <row r="310" spans="1:13" ht="22.5" customHeight="1">
      <c r="A310" s="2" t="s">
        <v>925</v>
      </c>
      <c r="B310" s="2" t="s">
        <v>924</v>
      </c>
      <c r="D310" s="13" t="s">
        <v>926</v>
      </c>
      <c r="E310" s="14">
        <v>840</v>
      </c>
      <c r="F310" s="104">
        <f t="shared" si="20"/>
        <v>30.800000000000004</v>
      </c>
      <c r="G310" s="104">
        <f t="shared" si="21"/>
        <v>29.902912621359228</v>
      </c>
      <c r="H310" s="104">
        <f t="shared" si="22"/>
        <v>29.333333333333339</v>
      </c>
      <c r="I310" s="104">
        <f t="shared" si="23"/>
        <v>33.6</v>
      </c>
      <c r="J310" s="133"/>
      <c r="K310" s="110">
        <f t="shared" si="24"/>
        <v>30.545454545454547</v>
      </c>
      <c r="L310" s="88"/>
      <c r="M310" s="2"/>
    </row>
    <row r="311" spans="1:13" ht="22.5" customHeight="1">
      <c r="A311" s="2" t="s">
        <v>928</v>
      </c>
      <c r="B311" s="2" t="s">
        <v>927</v>
      </c>
      <c r="D311" s="13" t="s">
        <v>929</v>
      </c>
      <c r="E311" s="14">
        <v>664.14400000000001</v>
      </c>
      <c r="F311" s="104">
        <f t="shared" si="20"/>
        <v>24.35194666666667</v>
      </c>
      <c r="G311" s="104">
        <f t="shared" si="21"/>
        <v>23.64266666666667</v>
      </c>
      <c r="H311" s="104">
        <f t="shared" si="22"/>
        <v>23.192330158730165</v>
      </c>
      <c r="I311" s="104">
        <f t="shared" si="23"/>
        <v>26.565760000000001</v>
      </c>
      <c r="J311" s="133"/>
      <c r="K311" s="110">
        <f t="shared" si="24"/>
        <v>24.150690909090908</v>
      </c>
      <c r="L311" s="88"/>
      <c r="M311" s="2"/>
    </row>
    <row r="312" spans="1:13" ht="22.5" customHeight="1">
      <c r="A312" s="2" t="s">
        <v>931</v>
      </c>
      <c r="B312" s="2" t="s">
        <v>930</v>
      </c>
      <c r="D312" s="13" t="s">
        <v>932</v>
      </c>
      <c r="E312" s="14">
        <v>724.48469599999999</v>
      </c>
      <c r="F312" s="104">
        <f t="shared" si="20"/>
        <v>26.564438853333336</v>
      </c>
      <c r="G312" s="104">
        <f t="shared" si="21"/>
        <v>25.790717333333337</v>
      </c>
      <c r="H312" s="104">
        <f t="shared" si="22"/>
        <v>25.299465574603175</v>
      </c>
      <c r="I312" s="104">
        <f t="shared" si="23"/>
        <v>28.979387840000001</v>
      </c>
      <c r="J312" s="133"/>
      <c r="K312" s="110">
        <f t="shared" si="24"/>
        <v>26.344898036363638</v>
      </c>
      <c r="L312" s="88"/>
      <c r="M312" s="2"/>
    </row>
    <row r="313" spans="1:13" ht="22.5" customHeight="1">
      <c r="A313" s="2" t="s">
        <v>934</v>
      </c>
      <c r="B313" s="2" t="s">
        <v>933</v>
      </c>
      <c r="D313" s="13" t="s">
        <v>935</v>
      </c>
      <c r="E313" s="14">
        <v>632.00800000000004</v>
      </c>
      <c r="F313" s="104">
        <f t="shared" si="20"/>
        <v>23.173626666666671</v>
      </c>
      <c r="G313" s="104">
        <f t="shared" si="21"/>
        <v>22.498666666666669</v>
      </c>
      <c r="H313" s="104">
        <f t="shared" si="22"/>
        <v>22.070120634920638</v>
      </c>
      <c r="I313" s="104">
        <f t="shared" si="23"/>
        <v>25.280320000000003</v>
      </c>
      <c r="J313" s="133"/>
      <c r="K313" s="110">
        <f t="shared" si="24"/>
        <v>22.982109090909091</v>
      </c>
      <c r="L313" s="88"/>
      <c r="M313" s="2"/>
    </row>
    <row r="314" spans="1:13" ht="22.5" customHeight="1">
      <c r="A314" s="2" t="s">
        <v>937</v>
      </c>
      <c r="B314" s="2" t="s">
        <v>936</v>
      </c>
      <c r="D314" s="13" t="s">
        <v>938</v>
      </c>
      <c r="E314" s="14">
        <v>760</v>
      </c>
      <c r="F314" s="104">
        <f t="shared" si="20"/>
        <v>27.866666666666671</v>
      </c>
      <c r="G314" s="104">
        <f t="shared" si="21"/>
        <v>27.055016181229778</v>
      </c>
      <c r="H314" s="104">
        <f t="shared" si="22"/>
        <v>26.539682539682541</v>
      </c>
      <c r="I314" s="104">
        <f t="shared" si="23"/>
        <v>30.4</v>
      </c>
      <c r="J314" s="133"/>
      <c r="K314" s="110">
        <f t="shared" si="24"/>
        <v>27.636363636363637</v>
      </c>
      <c r="L314" s="88"/>
      <c r="M314" s="2"/>
    </row>
    <row r="315" spans="1:13" ht="22.5" customHeight="1">
      <c r="A315" s="2" t="s">
        <v>940</v>
      </c>
      <c r="B315" s="2" t="s">
        <v>939</v>
      </c>
      <c r="D315" s="13" t="s">
        <v>941</v>
      </c>
      <c r="E315" s="14">
        <v>696.28</v>
      </c>
      <c r="F315" s="104">
        <f t="shared" si="20"/>
        <v>25.530266666666666</v>
      </c>
      <c r="G315" s="104">
        <f t="shared" si="21"/>
        <v>24.786666666666665</v>
      </c>
      <c r="H315" s="104">
        <f t="shared" si="22"/>
        <v>24.314539682539682</v>
      </c>
      <c r="I315" s="104">
        <f t="shared" si="23"/>
        <v>27.851199999999999</v>
      </c>
      <c r="J315" s="133"/>
      <c r="K315" s="110">
        <f t="shared" si="24"/>
        <v>25.319272727272725</v>
      </c>
      <c r="L315" s="88"/>
      <c r="M315" s="2"/>
    </row>
    <row r="316" spans="1:13" ht="22.5" customHeight="1">
      <c r="A316" s="2" t="s">
        <v>943</v>
      </c>
      <c r="B316" s="2" t="s">
        <v>942</v>
      </c>
      <c r="D316" s="13" t="s">
        <v>944</v>
      </c>
      <c r="E316" s="14">
        <v>724.48469599999999</v>
      </c>
      <c r="F316" s="104">
        <f t="shared" si="20"/>
        <v>26.564438853333336</v>
      </c>
      <c r="G316" s="104">
        <f t="shared" si="21"/>
        <v>25.790717333333337</v>
      </c>
      <c r="H316" s="104">
        <f t="shared" si="22"/>
        <v>25.299465574603175</v>
      </c>
      <c r="I316" s="104">
        <f t="shared" si="23"/>
        <v>28.979387840000001</v>
      </c>
      <c r="J316" s="133"/>
      <c r="K316" s="110">
        <f t="shared" si="24"/>
        <v>26.344898036363638</v>
      </c>
      <c r="L316" s="88"/>
      <c r="M316" s="2"/>
    </row>
    <row r="317" spans="1:13" ht="22.5" customHeight="1">
      <c r="A317" s="2" t="s">
        <v>946</v>
      </c>
      <c r="B317" s="2" t="s">
        <v>945</v>
      </c>
      <c r="D317" s="13" t="s">
        <v>947</v>
      </c>
      <c r="E317" s="14">
        <v>680</v>
      </c>
      <c r="F317" s="104">
        <f t="shared" si="20"/>
        <v>24.933333333333337</v>
      </c>
      <c r="G317" s="104">
        <f t="shared" si="21"/>
        <v>24.207119741100328</v>
      </c>
      <c r="H317" s="104">
        <f t="shared" si="22"/>
        <v>23.74603174603175</v>
      </c>
      <c r="I317" s="104">
        <f t="shared" si="23"/>
        <v>27.2</v>
      </c>
      <c r="J317" s="133"/>
      <c r="K317" s="110">
        <f t="shared" si="24"/>
        <v>24.727272727272727</v>
      </c>
      <c r="L317" s="88"/>
      <c r="M317" s="2"/>
    </row>
    <row r="318" spans="1:13" ht="22.5" customHeight="1">
      <c r="A318" s="43" t="s">
        <v>949</v>
      </c>
      <c r="B318" s="43" t="s">
        <v>948</v>
      </c>
      <c r="C318" s="43"/>
      <c r="D318" s="44" t="s">
        <v>8398</v>
      </c>
      <c r="E318" s="45"/>
      <c r="F318" s="105">
        <f t="shared" si="20"/>
        <v>0</v>
      </c>
      <c r="G318" s="105">
        <f t="shared" si="21"/>
        <v>0</v>
      </c>
      <c r="H318" s="105">
        <f t="shared" si="22"/>
        <v>0</v>
      </c>
      <c r="I318" s="105">
        <f t="shared" si="23"/>
        <v>0</v>
      </c>
      <c r="J318" s="134"/>
      <c r="K318" s="105">
        <f t="shared" si="24"/>
        <v>0</v>
      </c>
      <c r="L318" s="89"/>
      <c r="M318" s="2"/>
    </row>
    <row r="319" spans="1:13" ht="22.5" customHeight="1">
      <c r="A319" s="2" t="s">
        <v>951</v>
      </c>
      <c r="B319" s="2" t="s">
        <v>950</v>
      </c>
      <c r="D319" s="13" t="s">
        <v>952</v>
      </c>
      <c r="E319" s="14">
        <v>760.55200000000002</v>
      </c>
      <c r="F319" s="104">
        <f t="shared" si="20"/>
        <v>27.886906666666668</v>
      </c>
      <c r="G319" s="104">
        <f t="shared" si="21"/>
        <v>27.074666666666669</v>
      </c>
      <c r="H319" s="104">
        <f t="shared" si="22"/>
        <v>26.558958730158732</v>
      </c>
      <c r="I319" s="104">
        <f t="shared" si="23"/>
        <v>30.422080000000001</v>
      </c>
      <c r="J319" s="133"/>
      <c r="K319" s="110">
        <f t="shared" si="24"/>
        <v>27.656436363636367</v>
      </c>
      <c r="L319" s="88"/>
      <c r="M319" s="2"/>
    </row>
    <row r="320" spans="1:13" ht="22.5" customHeight="1">
      <c r="A320" s="25" t="s">
        <v>954</v>
      </c>
      <c r="B320" s="25" t="s">
        <v>953</v>
      </c>
      <c r="C320" s="25"/>
      <c r="D320" s="26" t="s">
        <v>8402</v>
      </c>
      <c r="E320" s="27"/>
      <c r="F320" s="106">
        <f t="shared" si="20"/>
        <v>0</v>
      </c>
      <c r="G320" s="106">
        <f t="shared" si="21"/>
        <v>0</v>
      </c>
      <c r="H320" s="106">
        <f t="shared" si="22"/>
        <v>0</v>
      </c>
      <c r="I320" s="106">
        <f t="shared" si="23"/>
        <v>0</v>
      </c>
      <c r="J320" s="135"/>
      <c r="K320" s="111">
        <f t="shared" si="24"/>
        <v>0</v>
      </c>
      <c r="L320" s="89"/>
      <c r="M320" s="2"/>
    </row>
    <row r="321" spans="1:13" ht="22.5" customHeight="1">
      <c r="A321" s="2" t="s">
        <v>956</v>
      </c>
      <c r="B321" s="2" t="s">
        <v>955</v>
      </c>
      <c r="D321" s="13" t="s">
        <v>957</v>
      </c>
      <c r="E321" s="14">
        <v>738.05680000000007</v>
      </c>
      <c r="F321" s="104">
        <f t="shared" si="20"/>
        <v>27.062082666666672</v>
      </c>
      <c r="G321" s="104">
        <f t="shared" si="21"/>
        <v>26.273866666666674</v>
      </c>
      <c r="H321" s="104">
        <f t="shared" si="22"/>
        <v>25.773412063492071</v>
      </c>
      <c r="I321" s="104">
        <f t="shared" si="23"/>
        <v>29.522272000000001</v>
      </c>
      <c r="J321" s="133"/>
      <c r="K321" s="110">
        <f t="shared" si="24"/>
        <v>26.838429090909091</v>
      </c>
      <c r="L321" s="88"/>
      <c r="M321" s="2"/>
    </row>
    <row r="322" spans="1:13" ht="22.5" customHeight="1">
      <c r="A322" s="2" t="s">
        <v>959</v>
      </c>
      <c r="B322" s="2" t="s">
        <v>958</v>
      </c>
      <c r="D322" s="13" t="s">
        <v>960</v>
      </c>
      <c r="E322" s="14">
        <v>650</v>
      </c>
      <c r="F322" s="104">
        <f t="shared" ref="F322:F386" si="25">+(E322*1.1/30)</f>
        <v>23.833333333333336</v>
      </c>
      <c r="G322" s="104">
        <f t="shared" ref="G322:G386" si="26">+(F322*100/103)</f>
        <v>23.139158576051781</v>
      </c>
      <c r="H322" s="104">
        <f t="shared" ref="H322:H386" si="27">+(F322*100/105)</f>
        <v>22.698412698412699</v>
      </c>
      <c r="I322" s="104">
        <f t="shared" ref="I322:I385" si="28">+(E322*1.2/30)</f>
        <v>26</v>
      </c>
      <c r="J322" s="133"/>
      <c r="K322" s="110">
        <f t="shared" ref="K322:K386" si="29">+(E322*1.2/33)</f>
        <v>23.636363636363637</v>
      </c>
      <c r="L322" s="88"/>
      <c r="M322" s="2"/>
    </row>
    <row r="323" spans="1:13" ht="22.5" customHeight="1">
      <c r="A323" s="2" t="s">
        <v>962</v>
      </c>
      <c r="B323" s="2" t="s">
        <v>961</v>
      </c>
      <c r="D323" s="13" t="s">
        <v>963</v>
      </c>
      <c r="E323" s="14">
        <v>580</v>
      </c>
      <c r="F323" s="104">
        <f t="shared" si="25"/>
        <v>21.266666666666666</v>
      </c>
      <c r="G323" s="104">
        <f t="shared" si="26"/>
        <v>20.64724919093851</v>
      </c>
      <c r="H323" s="104">
        <f t="shared" si="27"/>
        <v>20.253968253968253</v>
      </c>
      <c r="I323" s="104">
        <f t="shared" si="28"/>
        <v>23.2</v>
      </c>
      <c r="J323" s="133"/>
      <c r="K323" s="110">
        <f t="shared" si="29"/>
        <v>21.09090909090909</v>
      </c>
      <c r="L323" s="88"/>
      <c r="M323" s="2"/>
    </row>
    <row r="324" spans="1:13" ht="22.5" customHeight="1">
      <c r="A324" s="2" t="s">
        <v>965</v>
      </c>
      <c r="B324" s="2" t="s">
        <v>964</v>
      </c>
      <c r="D324" s="13" t="s">
        <v>966</v>
      </c>
      <c r="E324" s="14">
        <v>620</v>
      </c>
      <c r="F324" s="104">
        <f t="shared" si="25"/>
        <v>22.733333333333334</v>
      </c>
      <c r="G324" s="104">
        <f t="shared" si="26"/>
        <v>22.071197411003237</v>
      </c>
      <c r="H324" s="104">
        <f t="shared" si="27"/>
        <v>21.650793650793652</v>
      </c>
      <c r="I324" s="104">
        <f t="shared" si="28"/>
        <v>24.8</v>
      </c>
      <c r="J324" s="133"/>
      <c r="K324" s="110">
        <f t="shared" si="29"/>
        <v>22.545454545454547</v>
      </c>
      <c r="L324" s="88"/>
      <c r="M324" s="2"/>
    </row>
    <row r="325" spans="1:13" ht="22.5" customHeight="1">
      <c r="A325" s="25" t="s">
        <v>968</v>
      </c>
      <c r="B325" s="25" t="s">
        <v>967</v>
      </c>
      <c r="C325" s="25"/>
      <c r="D325" s="26" t="s">
        <v>8403</v>
      </c>
      <c r="E325" s="27"/>
      <c r="F325" s="106">
        <f t="shared" si="25"/>
        <v>0</v>
      </c>
      <c r="G325" s="106">
        <f t="shared" si="26"/>
        <v>0</v>
      </c>
      <c r="H325" s="106">
        <f t="shared" si="27"/>
        <v>0</v>
      </c>
      <c r="I325" s="106">
        <f t="shared" si="28"/>
        <v>0</v>
      </c>
      <c r="J325" s="135"/>
      <c r="K325" s="111">
        <f t="shared" si="29"/>
        <v>0</v>
      </c>
      <c r="L325" s="89"/>
      <c r="M325" s="2"/>
    </row>
    <row r="326" spans="1:13" ht="22.5" customHeight="1">
      <c r="A326" s="2" t="s">
        <v>970</v>
      </c>
      <c r="B326" s="2" t="s">
        <v>969</v>
      </c>
      <c r="D326" s="13" t="s">
        <v>971</v>
      </c>
      <c r="F326" s="104">
        <f t="shared" si="25"/>
        <v>0</v>
      </c>
      <c r="G326" s="104">
        <f t="shared" si="26"/>
        <v>0</v>
      </c>
      <c r="H326" s="104">
        <f t="shared" si="27"/>
        <v>0</v>
      </c>
      <c r="I326" s="104">
        <f t="shared" si="28"/>
        <v>0</v>
      </c>
      <c r="J326" s="133"/>
      <c r="K326" s="110">
        <f t="shared" si="29"/>
        <v>0</v>
      </c>
      <c r="L326" s="88"/>
      <c r="M326" s="2"/>
    </row>
    <row r="327" spans="1:13" ht="22.5" customHeight="1">
      <c r="A327" s="2" t="s">
        <v>973</v>
      </c>
      <c r="B327" s="2" t="s">
        <v>972</v>
      </c>
      <c r="D327" s="13" t="s">
        <v>974</v>
      </c>
      <c r="E327" s="14">
        <v>724.48469599999999</v>
      </c>
      <c r="F327" s="104">
        <f t="shared" si="25"/>
        <v>26.564438853333336</v>
      </c>
      <c r="G327" s="104">
        <f t="shared" si="26"/>
        <v>25.790717333333337</v>
      </c>
      <c r="H327" s="104">
        <f t="shared" si="27"/>
        <v>25.299465574603175</v>
      </c>
      <c r="I327" s="104">
        <f t="shared" si="28"/>
        <v>28.979387840000001</v>
      </c>
      <c r="J327" s="133"/>
      <c r="K327" s="110">
        <f t="shared" si="29"/>
        <v>26.344898036363638</v>
      </c>
      <c r="L327" s="88"/>
      <c r="M327" s="2"/>
    </row>
    <row r="328" spans="1:13" ht="22.5" customHeight="1">
      <c r="A328" s="2" t="s">
        <v>976</v>
      </c>
      <c r="B328" s="2" t="s">
        <v>975</v>
      </c>
      <c r="D328" s="13" t="s">
        <v>977</v>
      </c>
      <c r="E328" s="14">
        <v>567.98237600000004</v>
      </c>
      <c r="F328" s="104">
        <f t="shared" si="25"/>
        <v>20.826020453333339</v>
      </c>
      <c r="G328" s="104">
        <f t="shared" si="26"/>
        <v>20.219437333333339</v>
      </c>
      <c r="H328" s="104">
        <f t="shared" si="27"/>
        <v>19.834305193650799</v>
      </c>
      <c r="I328" s="104">
        <f t="shared" si="28"/>
        <v>22.719295040000002</v>
      </c>
      <c r="J328" s="133"/>
      <c r="K328" s="110">
        <f t="shared" si="29"/>
        <v>20.653904581818182</v>
      </c>
      <c r="L328" s="88"/>
      <c r="M328" s="2"/>
    </row>
    <row r="329" spans="1:13" ht="22.5" customHeight="1">
      <c r="A329" s="2" t="s">
        <v>979</v>
      </c>
      <c r="B329" s="2" t="s">
        <v>978</v>
      </c>
      <c r="D329" s="13" t="s">
        <v>980</v>
      </c>
      <c r="E329" s="14">
        <v>724.13119999999992</v>
      </c>
      <c r="F329" s="104">
        <f t="shared" si="25"/>
        <v>26.551477333333331</v>
      </c>
      <c r="G329" s="104">
        <f t="shared" si="26"/>
        <v>25.778133333333333</v>
      </c>
      <c r="H329" s="104">
        <f t="shared" si="27"/>
        <v>25.287121269841268</v>
      </c>
      <c r="I329" s="104">
        <f t="shared" si="28"/>
        <v>28.965247999999995</v>
      </c>
      <c r="J329" s="133"/>
      <c r="K329" s="110">
        <f t="shared" si="29"/>
        <v>26.332043636363633</v>
      </c>
      <c r="L329" s="88"/>
      <c r="M329" s="2"/>
    </row>
    <row r="330" spans="1:13" ht="22.5" customHeight="1">
      <c r="A330" s="2" t="s">
        <v>982</v>
      </c>
      <c r="B330" s="2" t="s">
        <v>981</v>
      </c>
      <c r="D330" s="13" t="s">
        <v>983</v>
      </c>
      <c r="E330" s="14">
        <v>724.48469599999999</v>
      </c>
      <c r="F330" s="104">
        <f t="shared" si="25"/>
        <v>26.564438853333336</v>
      </c>
      <c r="G330" s="104">
        <f t="shared" si="26"/>
        <v>25.790717333333337</v>
      </c>
      <c r="H330" s="104">
        <f t="shared" si="27"/>
        <v>25.299465574603175</v>
      </c>
      <c r="I330" s="104">
        <f t="shared" si="28"/>
        <v>28.979387840000001</v>
      </c>
      <c r="J330" s="133"/>
      <c r="K330" s="110">
        <f t="shared" si="29"/>
        <v>26.344898036363638</v>
      </c>
      <c r="L330" s="88"/>
      <c r="M330" s="2"/>
    </row>
    <row r="331" spans="1:13" ht="22.5" customHeight="1">
      <c r="A331" s="2" t="s">
        <v>985</v>
      </c>
      <c r="B331" s="2" t="s">
        <v>984</v>
      </c>
      <c r="D331" s="13" t="s">
        <v>8095</v>
      </c>
      <c r="E331" s="14">
        <v>674.85599999999999</v>
      </c>
      <c r="F331" s="104">
        <f t="shared" si="25"/>
        <v>24.744720000000004</v>
      </c>
      <c r="G331" s="104">
        <f t="shared" si="26"/>
        <v>24.024000000000008</v>
      </c>
      <c r="H331" s="104">
        <f t="shared" si="27"/>
        <v>23.566400000000005</v>
      </c>
      <c r="I331" s="104">
        <f t="shared" si="28"/>
        <v>26.994239999999998</v>
      </c>
      <c r="J331" s="133"/>
      <c r="K331" s="110">
        <f t="shared" si="29"/>
        <v>24.540218181818179</v>
      </c>
      <c r="L331" s="88"/>
      <c r="M331" s="2"/>
    </row>
    <row r="332" spans="1:13" ht="22.5" customHeight="1">
      <c r="A332" s="2" t="s">
        <v>987</v>
      </c>
      <c r="B332" s="2" t="s">
        <v>986</v>
      </c>
      <c r="D332" s="13" t="s">
        <v>988</v>
      </c>
      <c r="E332" s="14">
        <v>811.41257600000006</v>
      </c>
      <c r="F332" s="104">
        <f t="shared" si="25"/>
        <v>29.751794453333339</v>
      </c>
      <c r="G332" s="104">
        <f t="shared" si="26"/>
        <v>28.88523733333334</v>
      </c>
      <c r="H332" s="104">
        <f t="shared" si="27"/>
        <v>28.335042336507943</v>
      </c>
      <c r="I332" s="104">
        <f t="shared" si="28"/>
        <v>32.456503040000001</v>
      </c>
      <c r="J332" s="133"/>
      <c r="K332" s="110">
        <f t="shared" si="29"/>
        <v>29.505911854545452</v>
      </c>
      <c r="L332" s="88"/>
      <c r="M332" s="2"/>
    </row>
    <row r="333" spans="1:13" ht="22.5" customHeight="1">
      <c r="A333" s="2" t="s">
        <v>990</v>
      </c>
      <c r="B333" s="2" t="s">
        <v>989</v>
      </c>
      <c r="D333" s="13" t="s">
        <v>991</v>
      </c>
      <c r="E333" s="14">
        <v>719.84640000000002</v>
      </c>
      <c r="F333" s="104">
        <f t="shared" si="25"/>
        <v>26.394368</v>
      </c>
      <c r="G333" s="104">
        <f t="shared" si="26"/>
        <v>25.625599999999999</v>
      </c>
      <c r="H333" s="104">
        <f t="shared" si="27"/>
        <v>25.137493333333332</v>
      </c>
      <c r="I333" s="104">
        <f t="shared" si="28"/>
        <v>28.793856000000002</v>
      </c>
      <c r="J333" s="133"/>
      <c r="K333" s="110">
        <f t="shared" si="29"/>
        <v>26.17623272727273</v>
      </c>
      <c r="L333" s="88"/>
      <c r="M333" s="2"/>
    </row>
    <row r="334" spans="1:13" ht="22.5" customHeight="1">
      <c r="A334" s="2" t="s">
        <v>993</v>
      </c>
      <c r="B334" s="2" t="s">
        <v>992</v>
      </c>
      <c r="D334" s="13" t="s">
        <v>994</v>
      </c>
      <c r="E334" s="14">
        <v>830</v>
      </c>
      <c r="F334" s="104">
        <f t="shared" si="25"/>
        <v>30.433333333333337</v>
      </c>
      <c r="G334" s="104">
        <f t="shared" si="26"/>
        <v>29.546925566343049</v>
      </c>
      <c r="H334" s="104">
        <f t="shared" si="27"/>
        <v>28.984126984126991</v>
      </c>
      <c r="I334" s="104">
        <f t="shared" si="28"/>
        <v>33.200000000000003</v>
      </c>
      <c r="J334" s="133"/>
      <c r="K334" s="110">
        <f t="shared" si="29"/>
        <v>30.181818181818183</v>
      </c>
      <c r="L334" s="88"/>
      <c r="M334" s="2"/>
    </row>
    <row r="335" spans="1:13" ht="22.5" customHeight="1">
      <c r="A335" s="2" t="s">
        <v>996</v>
      </c>
      <c r="B335" s="2" t="s">
        <v>995</v>
      </c>
      <c r="D335" s="13" t="s">
        <v>997</v>
      </c>
      <c r="E335" s="14">
        <v>811.41257600000006</v>
      </c>
      <c r="F335" s="104">
        <f t="shared" si="25"/>
        <v>29.751794453333339</v>
      </c>
      <c r="G335" s="104">
        <f t="shared" si="26"/>
        <v>28.88523733333334</v>
      </c>
      <c r="H335" s="104">
        <f t="shared" si="27"/>
        <v>28.335042336507943</v>
      </c>
      <c r="I335" s="104">
        <f t="shared" si="28"/>
        <v>32.456503040000001</v>
      </c>
      <c r="J335" s="133"/>
      <c r="K335" s="110">
        <f t="shared" si="29"/>
        <v>29.505911854545452</v>
      </c>
      <c r="L335" s="88"/>
      <c r="M335" s="2"/>
    </row>
    <row r="336" spans="1:13" ht="22.5" customHeight="1">
      <c r="A336" s="2" t="s">
        <v>999</v>
      </c>
      <c r="B336" s="2" t="s">
        <v>998</v>
      </c>
      <c r="D336" s="13" t="s">
        <v>1000</v>
      </c>
      <c r="E336" s="14">
        <v>830</v>
      </c>
      <c r="F336" s="104">
        <f t="shared" si="25"/>
        <v>30.433333333333337</v>
      </c>
      <c r="G336" s="104">
        <f t="shared" si="26"/>
        <v>29.546925566343049</v>
      </c>
      <c r="H336" s="104">
        <f t="shared" si="27"/>
        <v>28.984126984126991</v>
      </c>
      <c r="I336" s="104">
        <f t="shared" si="28"/>
        <v>33.200000000000003</v>
      </c>
      <c r="J336" s="133"/>
      <c r="K336" s="110">
        <f t="shared" si="29"/>
        <v>30.181818181818183</v>
      </c>
      <c r="L336" s="88"/>
      <c r="M336" s="2"/>
    </row>
    <row r="337" spans="1:13" ht="22.5" customHeight="1">
      <c r="A337" s="2" t="s">
        <v>1002</v>
      </c>
      <c r="B337" s="2" t="s">
        <v>1001</v>
      </c>
      <c r="D337" s="13" t="s">
        <v>1003</v>
      </c>
      <c r="E337" s="14">
        <v>664.14400000000001</v>
      </c>
      <c r="F337" s="104">
        <f t="shared" si="25"/>
        <v>24.35194666666667</v>
      </c>
      <c r="G337" s="104">
        <f t="shared" si="26"/>
        <v>23.64266666666667</v>
      </c>
      <c r="H337" s="104">
        <f t="shared" si="27"/>
        <v>23.192330158730165</v>
      </c>
      <c r="I337" s="104">
        <f t="shared" si="28"/>
        <v>26.565760000000001</v>
      </c>
      <c r="J337" s="133"/>
      <c r="K337" s="110">
        <f t="shared" si="29"/>
        <v>24.150690909090908</v>
      </c>
      <c r="L337" s="88"/>
      <c r="M337" s="2"/>
    </row>
    <row r="338" spans="1:13" ht="22.5" customHeight="1">
      <c r="A338" s="2" t="s">
        <v>1005</v>
      </c>
      <c r="B338" s="2" t="s">
        <v>1004</v>
      </c>
      <c r="D338" s="13" t="s">
        <v>1006</v>
      </c>
      <c r="E338" s="14">
        <v>764.83680000000004</v>
      </c>
      <c r="F338" s="104">
        <f t="shared" si="25"/>
        <v>28.044016000000003</v>
      </c>
      <c r="G338" s="104">
        <f t="shared" si="26"/>
        <v>27.2272</v>
      </c>
      <c r="H338" s="104">
        <f t="shared" si="27"/>
        <v>26.708586666666669</v>
      </c>
      <c r="I338" s="104">
        <f t="shared" si="28"/>
        <v>30.593472000000002</v>
      </c>
      <c r="J338" s="133"/>
      <c r="K338" s="110">
        <f t="shared" si="29"/>
        <v>27.812247272727273</v>
      </c>
      <c r="L338" s="88"/>
      <c r="M338" s="2"/>
    </row>
    <row r="339" spans="1:13" ht="22.5" customHeight="1">
      <c r="A339" s="2" t="s">
        <v>1008</v>
      </c>
      <c r="B339" s="2" t="s">
        <v>1007</v>
      </c>
      <c r="D339" s="13" t="s">
        <v>1009</v>
      </c>
      <c r="E339" s="14">
        <v>760</v>
      </c>
      <c r="F339" s="104">
        <f t="shared" si="25"/>
        <v>27.866666666666671</v>
      </c>
      <c r="G339" s="104">
        <f t="shared" si="26"/>
        <v>27.055016181229778</v>
      </c>
      <c r="H339" s="104">
        <f t="shared" si="27"/>
        <v>26.539682539682541</v>
      </c>
      <c r="I339" s="104">
        <f t="shared" si="28"/>
        <v>30.4</v>
      </c>
      <c r="J339" s="133"/>
      <c r="K339" s="110">
        <f t="shared" si="29"/>
        <v>27.636363636363637</v>
      </c>
      <c r="L339" s="88"/>
      <c r="M339" s="2"/>
    </row>
    <row r="340" spans="1:13" ht="22.5" customHeight="1">
      <c r="A340" s="2" t="s">
        <v>1011</v>
      </c>
      <c r="B340" s="2" t="s">
        <v>1010</v>
      </c>
      <c r="D340" s="13" t="s">
        <v>1012</v>
      </c>
      <c r="E340" s="14">
        <v>524.88800000000003</v>
      </c>
      <c r="F340" s="104">
        <f t="shared" si="25"/>
        <v>19.245893333333338</v>
      </c>
      <c r="G340" s="104">
        <f t="shared" si="26"/>
        <v>18.68533333333334</v>
      </c>
      <c r="H340" s="104">
        <f t="shared" si="27"/>
        <v>18.329422222222227</v>
      </c>
      <c r="I340" s="104">
        <f t="shared" si="28"/>
        <v>20.995519999999999</v>
      </c>
      <c r="J340" s="133"/>
      <c r="K340" s="110">
        <f t="shared" si="29"/>
        <v>19.086836363636362</v>
      </c>
      <c r="L340" s="88"/>
      <c r="M340" s="2"/>
    </row>
    <row r="341" spans="1:13" ht="22.5" customHeight="1">
      <c r="A341" s="2" t="s">
        <v>1014</v>
      </c>
      <c r="B341" s="2" t="s">
        <v>1013</v>
      </c>
      <c r="D341" s="13" t="s">
        <v>1015</v>
      </c>
      <c r="E341" s="14">
        <v>524.88800000000003</v>
      </c>
      <c r="F341" s="104">
        <f t="shared" si="25"/>
        <v>19.245893333333338</v>
      </c>
      <c r="G341" s="104">
        <f t="shared" si="26"/>
        <v>18.68533333333334</v>
      </c>
      <c r="H341" s="104">
        <f t="shared" si="27"/>
        <v>18.329422222222227</v>
      </c>
      <c r="I341" s="104">
        <f t="shared" si="28"/>
        <v>20.995519999999999</v>
      </c>
      <c r="J341" s="133"/>
      <c r="K341" s="110">
        <f t="shared" si="29"/>
        <v>19.086836363636362</v>
      </c>
      <c r="L341" s="88"/>
      <c r="M341" s="2"/>
    </row>
    <row r="342" spans="1:13" ht="22.5" customHeight="1">
      <c r="A342" s="2" t="s">
        <v>1017</v>
      </c>
      <c r="B342" s="2" t="s">
        <v>1016</v>
      </c>
      <c r="D342" s="13" t="s">
        <v>1018</v>
      </c>
      <c r="E342" s="14">
        <v>653.43200000000002</v>
      </c>
      <c r="F342" s="104">
        <f t="shared" si="25"/>
        <v>23.959173333333336</v>
      </c>
      <c r="G342" s="104">
        <f t="shared" si="26"/>
        <v>23.261333333333337</v>
      </c>
      <c r="H342" s="104">
        <f t="shared" si="27"/>
        <v>22.818260317460322</v>
      </c>
      <c r="I342" s="104">
        <f t="shared" si="28"/>
        <v>26.137279999999997</v>
      </c>
      <c r="J342" s="133"/>
      <c r="K342" s="110">
        <f t="shared" si="29"/>
        <v>23.761163636363634</v>
      </c>
      <c r="L342" s="88"/>
      <c r="M342" s="2"/>
    </row>
    <row r="343" spans="1:13" ht="22.5" customHeight="1">
      <c r="A343" s="2" t="s">
        <v>1020</v>
      </c>
      <c r="B343" s="2" t="s">
        <v>1019</v>
      </c>
      <c r="D343" s="13" t="s">
        <v>1021</v>
      </c>
      <c r="E343" s="14">
        <v>674.85599999999999</v>
      </c>
      <c r="F343" s="104">
        <f t="shared" si="25"/>
        <v>24.744720000000004</v>
      </c>
      <c r="G343" s="104">
        <f t="shared" si="26"/>
        <v>24.024000000000008</v>
      </c>
      <c r="H343" s="104">
        <f t="shared" si="27"/>
        <v>23.566400000000005</v>
      </c>
      <c r="I343" s="104">
        <f t="shared" si="28"/>
        <v>26.994239999999998</v>
      </c>
      <c r="J343" s="133"/>
      <c r="K343" s="110">
        <f t="shared" si="29"/>
        <v>24.540218181818179</v>
      </c>
      <c r="L343" s="88"/>
      <c r="M343" s="2"/>
    </row>
    <row r="344" spans="1:13" ht="22.5" customHeight="1">
      <c r="A344" s="2" t="s">
        <v>1023</v>
      </c>
      <c r="B344" s="2" t="s">
        <v>1022</v>
      </c>
      <c r="D344" s="13" t="s">
        <v>1024</v>
      </c>
      <c r="E344" s="14">
        <v>696.28</v>
      </c>
      <c r="F344" s="104">
        <f t="shared" si="25"/>
        <v>25.530266666666666</v>
      </c>
      <c r="G344" s="104">
        <f t="shared" si="26"/>
        <v>24.786666666666665</v>
      </c>
      <c r="H344" s="104">
        <f t="shared" si="27"/>
        <v>24.314539682539682</v>
      </c>
      <c r="I344" s="104">
        <f t="shared" si="28"/>
        <v>27.851199999999999</v>
      </c>
      <c r="J344" s="133"/>
      <c r="K344" s="110">
        <f t="shared" si="29"/>
        <v>25.319272727272725</v>
      </c>
      <c r="L344" s="88"/>
      <c r="M344" s="2"/>
    </row>
    <row r="345" spans="1:13" ht="22.5" customHeight="1">
      <c r="A345" s="2" t="s">
        <v>1026</v>
      </c>
      <c r="B345" s="2" t="s">
        <v>1025</v>
      </c>
      <c r="D345" s="13" t="s">
        <v>1027</v>
      </c>
      <c r="E345" s="14">
        <v>724.48469599999999</v>
      </c>
      <c r="F345" s="104">
        <f t="shared" si="25"/>
        <v>26.564438853333336</v>
      </c>
      <c r="G345" s="104">
        <f t="shared" si="26"/>
        <v>25.790717333333337</v>
      </c>
      <c r="H345" s="104">
        <f t="shared" si="27"/>
        <v>25.299465574603175</v>
      </c>
      <c r="I345" s="104">
        <f t="shared" si="28"/>
        <v>28.979387840000001</v>
      </c>
      <c r="J345" s="133"/>
      <c r="K345" s="110">
        <f t="shared" si="29"/>
        <v>26.344898036363638</v>
      </c>
      <c r="L345" s="88"/>
      <c r="M345" s="2"/>
    </row>
    <row r="346" spans="1:13" ht="22.5" customHeight="1">
      <c r="A346" s="2" t="s">
        <v>1029</v>
      </c>
      <c r="B346" s="2" t="s">
        <v>1028</v>
      </c>
      <c r="D346" s="13" t="s">
        <v>1030</v>
      </c>
      <c r="E346" s="14">
        <v>780</v>
      </c>
      <c r="F346" s="104">
        <f t="shared" si="25"/>
        <v>28.600000000000005</v>
      </c>
      <c r="G346" s="104">
        <f t="shared" si="26"/>
        <v>27.76699029126214</v>
      </c>
      <c r="H346" s="104">
        <f t="shared" si="27"/>
        <v>27.238095238095241</v>
      </c>
      <c r="I346" s="104">
        <f t="shared" si="28"/>
        <v>31.2</v>
      </c>
      <c r="J346" s="133"/>
      <c r="K346" s="110">
        <f t="shared" si="29"/>
        <v>28.363636363636363</v>
      </c>
      <c r="L346" s="88"/>
      <c r="M346" s="2"/>
    </row>
    <row r="347" spans="1:13" ht="22.5" customHeight="1">
      <c r="A347" s="2" t="s">
        <v>1032</v>
      </c>
      <c r="B347" s="2" t="s">
        <v>1031</v>
      </c>
      <c r="D347" s="13" t="s">
        <v>1033</v>
      </c>
      <c r="E347" s="14">
        <v>780</v>
      </c>
      <c r="F347" s="104">
        <f t="shared" si="25"/>
        <v>28.600000000000005</v>
      </c>
      <c r="G347" s="104">
        <f t="shared" si="26"/>
        <v>27.76699029126214</v>
      </c>
      <c r="H347" s="104">
        <f t="shared" si="27"/>
        <v>27.238095238095241</v>
      </c>
      <c r="I347" s="104">
        <f t="shared" si="28"/>
        <v>31.2</v>
      </c>
      <c r="J347" s="133"/>
      <c r="K347" s="110">
        <f t="shared" si="29"/>
        <v>28.363636363636363</v>
      </c>
      <c r="L347" s="88"/>
      <c r="M347" s="2"/>
    </row>
    <row r="348" spans="1:13" ht="22.5" customHeight="1">
      <c r="A348" s="2" t="s">
        <v>1035</v>
      </c>
      <c r="B348" s="2" t="s">
        <v>1034</v>
      </c>
      <c r="D348" s="13" t="s">
        <v>1036</v>
      </c>
      <c r="E348" s="14">
        <v>596.65840000000003</v>
      </c>
      <c r="F348" s="104">
        <f t="shared" si="25"/>
        <v>21.877474666666668</v>
      </c>
      <c r="G348" s="104">
        <f t="shared" si="26"/>
        <v>21.240266666666667</v>
      </c>
      <c r="H348" s="104">
        <f t="shared" si="27"/>
        <v>20.835690158730159</v>
      </c>
      <c r="I348" s="104">
        <f t="shared" si="28"/>
        <v>23.866336</v>
      </c>
      <c r="J348" s="133"/>
      <c r="K348" s="110">
        <f t="shared" si="29"/>
        <v>21.696669090909094</v>
      </c>
      <c r="L348" s="88"/>
      <c r="M348" s="2"/>
    </row>
    <row r="349" spans="1:13" ht="22.5" customHeight="1">
      <c r="A349" s="2" t="s">
        <v>1038</v>
      </c>
      <c r="B349" s="2" t="s">
        <v>1037</v>
      </c>
      <c r="D349" s="13" t="s">
        <v>1039</v>
      </c>
      <c r="E349" s="14">
        <v>674.85599999999999</v>
      </c>
      <c r="F349" s="104">
        <f t="shared" si="25"/>
        <v>24.744720000000004</v>
      </c>
      <c r="G349" s="104">
        <f t="shared" si="26"/>
        <v>24.024000000000008</v>
      </c>
      <c r="H349" s="104">
        <f t="shared" si="27"/>
        <v>23.566400000000005</v>
      </c>
      <c r="I349" s="104">
        <f t="shared" si="28"/>
        <v>26.994239999999998</v>
      </c>
      <c r="J349" s="133"/>
      <c r="K349" s="110">
        <f t="shared" si="29"/>
        <v>24.540218181818179</v>
      </c>
      <c r="L349" s="88"/>
      <c r="M349" s="2"/>
    </row>
    <row r="350" spans="1:13" ht="22.5" customHeight="1">
      <c r="A350" s="2" t="s">
        <v>1041</v>
      </c>
      <c r="B350" s="2" t="s">
        <v>1040</v>
      </c>
      <c r="D350" s="13" t="s">
        <v>1042</v>
      </c>
      <c r="E350" s="14">
        <v>621.29599999999994</v>
      </c>
      <c r="F350" s="104">
        <f t="shared" si="25"/>
        <v>22.780853333333333</v>
      </c>
      <c r="G350" s="104">
        <f t="shared" si="26"/>
        <v>22.117333333333335</v>
      </c>
      <c r="H350" s="104">
        <f t="shared" si="27"/>
        <v>21.696050793650794</v>
      </c>
      <c r="I350" s="104">
        <f t="shared" si="28"/>
        <v>24.851839999999996</v>
      </c>
      <c r="J350" s="133"/>
      <c r="K350" s="110">
        <f t="shared" si="29"/>
        <v>22.592581818181817</v>
      </c>
      <c r="L350" s="88"/>
      <c r="M350" s="2"/>
    </row>
    <row r="351" spans="1:13" ht="22.5" customHeight="1">
      <c r="A351" s="2" t="s">
        <v>1044</v>
      </c>
      <c r="B351" s="2" t="s">
        <v>1043</v>
      </c>
      <c r="D351" s="13" t="s">
        <v>1045</v>
      </c>
      <c r="E351" s="14">
        <v>724.47398400000009</v>
      </c>
      <c r="F351" s="104">
        <f t="shared" si="25"/>
        <v>26.564046080000008</v>
      </c>
      <c r="G351" s="104">
        <f t="shared" si="26"/>
        <v>25.790336000000007</v>
      </c>
      <c r="H351" s="104">
        <f t="shared" si="27"/>
        <v>25.299091504761911</v>
      </c>
      <c r="I351" s="104">
        <f t="shared" si="28"/>
        <v>28.978959360000001</v>
      </c>
      <c r="J351" s="133"/>
      <c r="K351" s="110">
        <f t="shared" si="29"/>
        <v>26.344508509090911</v>
      </c>
      <c r="L351" s="88"/>
      <c r="M351" s="2"/>
    </row>
    <row r="352" spans="1:13" ht="22.5" customHeight="1">
      <c r="A352" s="2" t="s">
        <v>1047</v>
      </c>
      <c r="B352" s="2" t="s">
        <v>1046</v>
      </c>
      <c r="D352" s="13" t="s">
        <v>1048</v>
      </c>
      <c r="E352" s="14">
        <v>850</v>
      </c>
      <c r="F352" s="104">
        <f t="shared" si="25"/>
        <v>31.166666666666671</v>
      </c>
      <c r="G352" s="104">
        <f t="shared" si="26"/>
        <v>30.258899676375407</v>
      </c>
      <c r="H352" s="104">
        <f t="shared" si="27"/>
        <v>29.682539682539684</v>
      </c>
      <c r="I352" s="104">
        <f t="shared" si="28"/>
        <v>34</v>
      </c>
      <c r="J352" s="133"/>
      <c r="K352" s="110">
        <f t="shared" si="29"/>
        <v>30.90909090909091</v>
      </c>
      <c r="L352" s="88"/>
      <c r="M352" s="2"/>
    </row>
    <row r="353" spans="1:13" ht="22.5" customHeight="1">
      <c r="A353" s="2" t="s">
        <v>1050</v>
      </c>
      <c r="B353" s="2" t="s">
        <v>1049</v>
      </c>
      <c r="D353" s="13" t="s">
        <v>1051</v>
      </c>
      <c r="E353" s="14">
        <v>653.43200000000002</v>
      </c>
      <c r="F353" s="104">
        <f t="shared" si="25"/>
        <v>23.959173333333336</v>
      </c>
      <c r="G353" s="104">
        <f t="shared" si="26"/>
        <v>23.261333333333337</v>
      </c>
      <c r="H353" s="104">
        <f t="shared" si="27"/>
        <v>22.818260317460322</v>
      </c>
      <c r="I353" s="104">
        <f t="shared" si="28"/>
        <v>26.137279999999997</v>
      </c>
      <c r="J353" s="133"/>
      <c r="K353" s="110">
        <f t="shared" si="29"/>
        <v>23.761163636363634</v>
      </c>
      <c r="L353" s="88"/>
      <c r="M353" s="2"/>
    </row>
    <row r="354" spans="1:13" ht="22.5" customHeight="1">
      <c r="A354" s="2" t="s">
        <v>1053</v>
      </c>
      <c r="B354" s="2" t="s">
        <v>1052</v>
      </c>
      <c r="D354" s="13" t="s">
        <v>1054</v>
      </c>
      <c r="E354" s="14">
        <v>809.82720000000006</v>
      </c>
      <c r="F354" s="104">
        <f t="shared" si="25"/>
        <v>29.693664000000005</v>
      </c>
      <c r="G354" s="104">
        <f t="shared" si="26"/>
        <v>28.828800000000005</v>
      </c>
      <c r="H354" s="104">
        <f t="shared" si="27"/>
        <v>28.279680000000003</v>
      </c>
      <c r="I354" s="104">
        <f t="shared" si="28"/>
        <v>32.393087999999999</v>
      </c>
      <c r="J354" s="133"/>
      <c r="K354" s="110">
        <f t="shared" si="29"/>
        <v>29.44826181818182</v>
      </c>
      <c r="L354" s="88"/>
      <c r="M354" s="2"/>
    </row>
    <row r="355" spans="1:13" ht="22.5" customHeight="1">
      <c r="A355" s="2" t="s">
        <v>1056</v>
      </c>
      <c r="B355" s="2" t="s">
        <v>1055</v>
      </c>
      <c r="D355" s="13" t="s">
        <v>1057</v>
      </c>
      <c r="E355" s="14">
        <v>686.63920000000007</v>
      </c>
      <c r="F355" s="104">
        <f t="shared" si="25"/>
        <v>25.176770666666673</v>
      </c>
      <c r="G355" s="104">
        <f t="shared" si="26"/>
        <v>24.443466666666676</v>
      </c>
      <c r="H355" s="104">
        <f t="shared" si="27"/>
        <v>23.977876825396834</v>
      </c>
      <c r="I355" s="104">
        <f t="shared" si="28"/>
        <v>27.465568000000005</v>
      </c>
      <c r="J355" s="133"/>
      <c r="K355" s="110">
        <f t="shared" si="29"/>
        <v>24.968698181818183</v>
      </c>
      <c r="L355" s="88"/>
      <c r="M355" s="2"/>
    </row>
    <row r="356" spans="1:13" ht="22.5" customHeight="1">
      <c r="A356" s="2" t="s">
        <v>1059</v>
      </c>
      <c r="B356" s="2" t="s">
        <v>1058</v>
      </c>
      <c r="D356" s="13" t="s">
        <v>1060</v>
      </c>
      <c r="E356" s="14">
        <v>653.43200000000002</v>
      </c>
      <c r="F356" s="104">
        <f t="shared" si="25"/>
        <v>23.959173333333336</v>
      </c>
      <c r="G356" s="104">
        <f t="shared" si="26"/>
        <v>23.261333333333337</v>
      </c>
      <c r="H356" s="104">
        <f t="shared" si="27"/>
        <v>22.818260317460322</v>
      </c>
      <c r="I356" s="104">
        <f t="shared" si="28"/>
        <v>26.137279999999997</v>
      </c>
      <c r="J356" s="133"/>
      <c r="K356" s="110">
        <f t="shared" si="29"/>
        <v>23.761163636363634</v>
      </c>
      <c r="L356" s="88"/>
      <c r="M356" s="2"/>
    </row>
    <row r="357" spans="1:13" ht="22.5" customHeight="1">
      <c r="A357" s="2" t="s">
        <v>1062</v>
      </c>
      <c r="B357" s="2" t="s">
        <v>1061</v>
      </c>
      <c r="D357" s="13" t="s">
        <v>1063</v>
      </c>
      <c r="E357" s="14">
        <v>610</v>
      </c>
      <c r="F357" s="104">
        <f t="shared" si="25"/>
        <v>22.366666666666667</v>
      </c>
      <c r="G357" s="104">
        <f t="shared" si="26"/>
        <v>21.715210355987054</v>
      </c>
      <c r="H357" s="104">
        <f t="shared" si="27"/>
        <v>21.301587301587301</v>
      </c>
      <c r="I357" s="104">
        <f t="shared" si="28"/>
        <v>24.4</v>
      </c>
      <c r="J357" s="133"/>
      <c r="K357" s="110">
        <f t="shared" si="29"/>
        <v>22.181818181818183</v>
      </c>
      <c r="L357" s="88"/>
      <c r="M357" s="2"/>
    </row>
    <row r="358" spans="1:13" ht="22.5" customHeight="1">
      <c r="A358" s="2" t="s">
        <v>1065</v>
      </c>
      <c r="B358" s="2" t="s">
        <v>1064</v>
      </c>
      <c r="D358" s="13" t="s">
        <v>1066</v>
      </c>
      <c r="E358" s="14">
        <v>985.50400000000002</v>
      </c>
      <c r="F358" s="104">
        <f t="shared" si="25"/>
        <v>36.135146666666671</v>
      </c>
      <c r="G358" s="104">
        <f t="shared" si="26"/>
        <v>35.082666666666668</v>
      </c>
      <c r="H358" s="104">
        <f t="shared" si="27"/>
        <v>34.414425396825401</v>
      </c>
      <c r="I358" s="104">
        <f t="shared" si="28"/>
        <v>39.420160000000003</v>
      </c>
      <c r="J358" s="133"/>
      <c r="K358" s="110">
        <f t="shared" si="29"/>
        <v>35.83650909090909</v>
      </c>
      <c r="L358" s="88"/>
      <c r="M358" s="2"/>
    </row>
    <row r="359" spans="1:13" ht="22.5" customHeight="1">
      <c r="A359" s="2" t="s">
        <v>1068</v>
      </c>
      <c r="B359" s="2" t="s">
        <v>1067</v>
      </c>
      <c r="D359" s="13" t="s">
        <v>1069</v>
      </c>
      <c r="E359" s="14">
        <v>749.84</v>
      </c>
      <c r="F359" s="104">
        <f t="shared" si="25"/>
        <v>27.494133333333334</v>
      </c>
      <c r="G359" s="104">
        <f t="shared" si="26"/>
        <v>26.693333333333335</v>
      </c>
      <c r="H359" s="104">
        <f t="shared" si="27"/>
        <v>26.184888888888889</v>
      </c>
      <c r="I359" s="104">
        <f t="shared" si="28"/>
        <v>29.993600000000001</v>
      </c>
      <c r="J359" s="133"/>
      <c r="K359" s="110">
        <f t="shared" si="29"/>
        <v>27.266909090909092</v>
      </c>
      <c r="L359" s="88"/>
      <c r="M359" s="2"/>
    </row>
    <row r="360" spans="1:13" ht="22.5" customHeight="1">
      <c r="A360" s="2" t="s">
        <v>1071</v>
      </c>
      <c r="B360" s="2" t="s">
        <v>1070</v>
      </c>
      <c r="D360" s="13" t="s">
        <v>1072</v>
      </c>
      <c r="E360" s="14">
        <v>596.65840000000003</v>
      </c>
      <c r="F360" s="104">
        <f t="shared" si="25"/>
        <v>21.877474666666668</v>
      </c>
      <c r="G360" s="104">
        <f t="shared" si="26"/>
        <v>21.240266666666667</v>
      </c>
      <c r="H360" s="104">
        <f t="shared" si="27"/>
        <v>20.835690158730159</v>
      </c>
      <c r="I360" s="104">
        <f t="shared" si="28"/>
        <v>23.866336</v>
      </c>
      <c r="J360" s="133"/>
      <c r="K360" s="110">
        <f t="shared" si="29"/>
        <v>21.696669090909094</v>
      </c>
      <c r="L360" s="88"/>
      <c r="M360" s="2"/>
    </row>
    <row r="361" spans="1:13" ht="22.5" customHeight="1">
      <c r="A361" s="2" t="s">
        <v>1074</v>
      </c>
      <c r="B361" s="2" t="s">
        <v>1073</v>
      </c>
      <c r="D361" s="13" t="s">
        <v>1075</v>
      </c>
      <c r="E361" s="14">
        <v>810</v>
      </c>
      <c r="F361" s="104">
        <f t="shared" si="25"/>
        <v>29.700000000000003</v>
      </c>
      <c r="G361" s="104">
        <f t="shared" si="26"/>
        <v>28.834951456310684</v>
      </c>
      <c r="H361" s="104">
        <f t="shared" si="27"/>
        <v>28.285714285714292</v>
      </c>
      <c r="I361" s="104">
        <f t="shared" si="28"/>
        <v>32.4</v>
      </c>
      <c r="J361" s="133"/>
      <c r="K361" s="110">
        <f t="shared" si="29"/>
        <v>29.454545454545453</v>
      </c>
      <c r="L361" s="88"/>
      <c r="M361" s="2"/>
    </row>
    <row r="362" spans="1:13" ht="22.5" customHeight="1">
      <c r="A362" s="2" t="s">
        <v>1077</v>
      </c>
      <c r="B362" s="2" t="s">
        <v>1076</v>
      </c>
      <c r="D362" s="13" t="s">
        <v>1078</v>
      </c>
      <c r="E362" s="14">
        <v>927.32712800000013</v>
      </c>
      <c r="F362" s="104">
        <f t="shared" si="25"/>
        <v>34.001994693333337</v>
      </c>
      <c r="G362" s="104">
        <f t="shared" si="26"/>
        <v>33.011645333333334</v>
      </c>
      <c r="H362" s="104">
        <f t="shared" si="27"/>
        <v>32.382852088888889</v>
      </c>
      <c r="I362" s="104">
        <f t="shared" si="28"/>
        <v>37.093085119999998</v>
      </c>
      <c r="J362" s="133"/>
      <c r="K362" s="110">
        <f t="shared" si="29"/>
        <v>33.720986472727276</v>
      </c>
      <c r="L362" s="88"/>
      <c r="M362" s="2"/>
    </row>
    <row r="363" spans="1:13" ht="22.5" customHeight="1">
      <c r="A363" s="2" t="s">
        <v>1080</v>
      </c>
      <c r="B363" s="2" t="s">
        <v>1079</v>
      </c>
      <c r="D363" s="13" t="s">
        <v>1081</v>
      </c>
      <c r="E363" s="14">
        <v>670</v>
      </c>
      <c r="F363" s="104">
        <f t="shared" si="25"/>
        <v>24.56666666666667</v>
      </c>
      <c r="G363" s="104">
        <f t="shared" si="26"/>
        <v>23.851132686084146</v>
      </c>
      <c r="H363" s="104">
        <f t="shared" si="27"/>
        <v>23.396825396825399</v>
      </c>
      <c r="I363" s="104">
        <f t="shared" si="28"/>
        <v>26.8</v>
      </c>
      <c r="J363" s="133"/>
      <c r="K363" s="110">
        <f t="shared" si="29"/>
        <v>24.363636363636363</v>
      </c>
      <c r="L363" s="88"/>
      <c r="M363" s="2"/>
    </row>
    <row r="364" spans="1:13" ht="22.5" customHeight="1">
      <c r="A364" s="2" t="s">
        <v>1083</v>
      </c>
      <c r="B364" s="2" t="s">
        <v>1082</v>
      </c>
      <c r="D364" s="13" t="s">
        <v>1084</v>
      </c>
      <c r="E364" s="14">
        <v>724.48469599999999</v>
      </c>
      <c r="F364" s="104">
        <f t="shared" si="25"/>
        <v>26.564438853333336</v>
      </c>
      <c r="G364" s="104">
        <f t="shared" si="26"/>
        <v>25.790717333333337</v>
      </c>
      <c r="H364" s="104">
        <f t="shared" si="27"/>
        <v>25.299465574603175</v>
      </c>
      <c r="I364" s="104">
        <f t="shared" si="28"/>
        <v>28.979387840000001</v>
      </c>
      <c r="J364" s="133"/>
      <c r="K364" s="110">
        <f t="shared" si="29"/>
        <v>26.344898036363638</v>
      </c>
      <c r="L364" s="88"/>
      <c r="M364" s="2"/>
    </row>
    <row r="365" spans="1:13" ht="22.5" customHeight="1">
      <c r="A365" s="2" t="s">
        <v>1086</v>
      </c>
      <c r="B365" s="2" t="s">
        <v>1085</v>
      </c>
      <c r="D365" s="13" t="s">
        <v>1087</v>
      </c>
      <c r="E365" s="14">
        <v>670</v>
      </c>
      <c r="F365" s="104">
        <f t="shared" si="25"/>
        <v>24.56666666666667</v>
      </c>
      <c r="G365" s="104">
        <f t="shared" si="26"/>
        <v>23.851132686084146</v>
      </c>
      <c r="H365" s="104">
        <f t="shared" si="27"/>
        <v>23.396825396825399</v>
      </c>
      <c r="I365" s="104">
        <f t="shared" si="28"/>
        <v>26.8</v>
      </c>
      <c r="J365" s="133"/>
      <c r="K365" s="110">
        <f t="shared" si="29"/>
        <v>24.363636363636363</v>
      </c>
      <c r="L365" s="88"/>
      <c r="M365" s="2"/>
    </row>
    <row r="366" spans="1:13" ht="22.5" customHeight="1">
      <c r="A366" s="2" t="s">
        <v>1089</v>
      </c>
      <c r="B366" s="2" t="s">
        <v>1088</v>
      </c>
      <c r="D366" s="13" t="s">
        <v>1090</v>
      </c>
      <c r="E366" s="14">
        <v>670</v>
      </c>
      <c r="F366" s="104">
        <f t="shared" si="25"/>
        <v>24.56666666666667</v>
      </c>
      <c r="G366" s="104">
        <f t="shared" si="26"/>
        <v>23.851132686084146</v>
      </c>
      <c r="H366" s="104">
        <f t="shared" si="27"/>
        <v>23.396825396825399</v>
      </c>
      <c r="I366" s="104">
        <f t="shared" si="28"/>
        <v>26.8</v>
      </c>
      <c r="J366" s="133"/>
      <c r="K366" s="110">
        <f t="shared" si="29"/>
        <v>24.363636363636363</v>
      </c>
      <c r="L366" s="88"/>
      <c r="M366" s="2"/>
    </row>
    <row r="367" spans="1:13" ht="22.5" customHeight="1">
      <c r="A367" s="2" t="s">
        <v>1092</v>
      </c>
      <c r="B367" s="2" t="s">
        <v>1091</v>
      </c>
      <c r="D367" s="13" t="s">
        <v>1093</v>
      </c>
      <c r="E367" s="14">
        <v>620</v>
      </c>
      <c r="F367" s="104">
        <f t="shared" si="25"/>
        <v>22.733333333333334</v>
      </c>
      <c r="G367" s="104">
        <f t="shared" si="26"/>
        <v>22.071197411003237</v>
      </c>
      <c r="H367" s="104">
        <f t="shared" si="27"/>
        <v>21.650793650793652</v>
      </c>
      <c r="I367" s="104">
        <f t="shared" si="28"/>
        <v>24.8</v>
      </c>
      <c r="J367" s="133"/>
      <c r="K367" s="110">
        <f t="shared" si="29"/>
        <v>22.545454545454547</v>
      </c>
      <c r="L367" s="88"/>
      <c r="M367" s="2"/>
    </row>
    <row r="368" spans="1:13" ht="22.5" customHeight="1">
      <c r="A368" s="2" t="s">
        <v>1095</v>
      </c>
      <c r="B368" s="2" t="s">
        <v>1094</v>
      </c>
      <c r="D368" s="13" t="s">
        <v>1096</v>
      </c>
      <c r="E368" s="14">
        <v>724.48469599999999</v>
      </c>
      <c r="F368" s="104">
        <f t="shared" si="25"/>
        <v>26.564438853333336</v>
      </c>
      <c r="G368" s="104">
        <f t="shared" si="26"/>
        <v>25.790717333333337</v>
      </c>
      <c r="H368" s="104">
        <f t="shared" si="27"/>
        <v>25.299465574603175</v>
      </c>
      <c r="I368" s="104">
        <f t="shared" si="28"/>
        <v>28.979387840000001</v>
      </c>
      <c r="J368" s="133"/>
      <c r="K368" s="110">
        <f t="shared" si="29"/>
        <v>26.344898036363638</v>
      </c>
      <c r="L368" s="88"/>
      <c r="M368" s="2"/>
    </row>
    <row r="369" spans="1:13" ht="22.5" customHeight="1">
      <c r="A369" s="2" t="s">
        <v>1098</v>
      </c>
      <c r="B369" s="2" t="s">
        <v>1097</v>
      </c>
      <c r="D369" s="13" t="s">
        <v>1099</v>
      </c>
      <c r="E369" s="14">
        <v>852.67520000000002</v>
      </c>
      <c r="F369" s="104">
        <f t="shared" si="25"/>
        <v>31.264757333333339</v>
      </c>
      <c r="G369" s="104">
        <f t="shared" si="26"/>
        <v>30.354133333333341</v>
      </c>
      <c r="H369" s="104">
        <f t="shared" si="27"/>
        <v>29.775959365079373</v>
      </c>
      <c r="I369" s="104">
        <f t="shared" si="28"/>
        <v>34.107008</v>
      </c>
      <c r="J369" s="133"/>
      <c r="K369" s="110">
        <f t="shared" si="29"/>
        <v>31.006370909090908</v>
      </c>
      <c r="L369" s="88"/>
      <c r="M369" s="2"/>
    </row>
    <row r="370" spans="1:13" ht="22.5" customHeight="1">
      <c r="A370" s="2" t="s">
        <v>1101</v>
      </c>
      <c r="B370" s="2" t="s">
        <v>1100</v>
      </c>
      <c r="D370" s="13" t="s">
        <v>1102</v>
      </c>
      <c r="E370" s="14">
        <v>700</v>
      </c>
      <c r="F370" s="104">
        <f t="shared" si="25"/>
        <v>25.666666666666671</v>
      </c>
      <c r="G370" s="104">
        <f t="shared" si="26"/>
        <v>24.91909385113269</v>
      </c>
      <c r="H370" s="104">
        <f t="shared" si="27"/>
        <v>24.444444444444446</v>
      </c>
      <c r="I370" s="104">
        <f t="shared" si="28"/>
        <v>28</v>
      </c>
      <c r="J370" s="133"/>
      <c r="K370" s="110">
        <f t="shared" si="29"/>
        <v>25.454545454545453</v>
      </c>
      <c r="L370" s="88"/>
      <c r="M370" s="2"/>
    </row>
    <row r="371" spans="1:13" ht="22.5" customHeight="1">
      <c r="A371" s="2" t="s">
        <v>1104</v>
      </c>
      <c r="B371" s="2" t="s">
        <v>1103</v>
      </c>
      <c r="D371" s="13" t="s">
        <v>1105</v>
      </c>
      <c r="E371" s="14">
        <v>700</v>
      </c>
      <c r="F371" s="104">
        <f t="shared" si="25"/>
        <v>25.666666666666671</v>
      </c>
      <c r="G371" s="104">
        <f t="shared" si="26"/>
        <v>24.91909385113269</v>
      </c>
      <c r="H371" s="104">
        <f t="shared" si="27"/>
        <v>24.444444444444446</v>
      </c>
      <c r="I371" s="104">
        <f t="shared" si="28"/>
        <v>28</v>
      </c>
      <c r="J371" s="133"/>
      <c r="K371" s="110">
        <f t="shared" si="29"/>
        <v>25.454545454545453</v>
      </c>
      <c r="L371" s="88"/>
      <c r="M371" s="2"/>
    </row>
    <row r="372" spans="1:13" ht="22.5" customHeight="1">
      <c r="A372" s="2" t="s">
        <v>1107</v>
      </c>
      <c r="B372" s="2" t="s">
        <v>1106</v>
      </c>
      <c r="D372" s="13" t="s">
        <v>1108</v>
      </c>
      <c r="E372" s="14">
        <v>472.39920000000001</v>
      </c>
      <c r="F372" s="104">
        <f t="shared" si="25"/>
        <v>17.321304000000001</v>
      </c>
      <c r="G372" s="104">
        <f t="shared" si="26"/>
        <v>16.816800000000001</v>
      </c>
      <c r="H372" s="104">
        <f t="shared" si="27"/>
        <v>16.496480000000002</v>
      </c>
      <c r="I372" s="104">
        <f t="shared" si="28"/>
        <v>18.895968</v>
      </c>
      <c r="J372" s="133"/>
      <c r="K372" s="110">
        <f t="shared" si="29"/>
        <v>17.178152727272728</v>
      </c>
      <c r="L372" s="88"/>
      <c r="M372" s="2"/>
    </row>
    <row r="373" spans="1:13" ht="22.5" customHeight="1">
      <c r="A373" s="2" t="s">
        <v>1110</v>
      </c>
      <c r="B373" s="2" t="s">
        <v>1109</v>
      </c>
      <c r="D373" s="13" t="s">
        <v>1111</v>
      </c>
      <c r="E373" s="14">
        <v>725.20240000000001</v>
      </c>
      <c r="F373" s="104">
        <f t="shared" si="25"/>
        <v>26.590754666666669</v>
      </c>
      <c r="G373" s="104">
        <f t="shared" si="26"/>
        <v>25.816266666666671</v>
      </c>
      <c r="H373" s="104">
        <f t="shared" si="27"/>
        <v>25.324528253968257</v>
      </c>
      <c r="I373" s="104">
        <f t="shared" si="28"/>
        <v>29.008096000000002</v>
      </c>
      <c r="J373" s="133"/>
      <c r="K373" s="110">
        <f t="shared" si="29"/>
        <v>26.370996363636365</v>
      </c>
      <c r="L373" s="88"/>
      <c r="M373" s="2"/>
    </row>
    <row r="374" spans="1:13" ht="22.5" customHeight="1">
      <c r="A374" s="2" t="s">
        <v>1113</v>
      </c>
      <c r="B374" s="2" t="s">
        <v>1112</v>
      </c>
      <c r="D374" s="13" t="s">
        <v>1114</v>
      </c>
      <c r="E374" s="14">
        <v>760.55200000000002</v>
      </c>
      <c r="F374" s="104">
        <f t="shared" si="25"/>
        <v>27.886906666666668</v>
      </c>
      <c r="G374" s="104">
        <f t="shared" si="26"/>
        <v>27.074666666666669</v>
      </c>
      <c r="H374" s="104">
        <f t="shared" si="27"/>
        <v>26.558958730158732</v>
      </c>
      <c r="I374" s="104">
        <f t="shared" si="28"/>
        <v>30.422080000000001</v>
      </c>
      <c r="J374" s="133"/>
      <c r="K374" s="110">
        <f t="shared" si="29"/>
        <v>27.656436363636367</v>
      </c>
      <c r="L374" s="88"/>
      <c r="M374" s="2"/>
    </row>
    <row r="375" spans="1:13" ht="22.5" customHeight="1">
      <c r="A375" s="2" t="s">
        <v>1116</v>
      </c>
      <c r="B375" s="2" t="s">
        <v>1115</v>
      </c>
      <c r="D375" s="13" t="s">
        <v>1117</v>
      </c>
      <c r="E375" s="14">
        <v>674.85599999999999</v>
      </c>
      <c r="F375" s="104">
        <f t="shared" si="25"/>
        <v>24.744720000000004</v>
      </c>
      <c r="G375" s="104">
        <f t="shared" si="26"/>
        <v>24.024000000000008</v>
      </c>
      <c r="H375" s="104">
        <f t="shared" si="27"/>
        <v>23.566400000000005</v>
      </c>
      <c r="I375" s="104">
        <f t="shared" si="28"/>
        <v>26.994239999999998</v>
      </c>
      <c r="J375" s="133"/>
      <c r="K375" s="110">
        <f t="shared" si="29"/>
        <v>24.540218181818179</v>
      </c>
      <c r="L375" s="88"/>
      <c r="M375" s="2"/>
    </row>
    <row r="376" spans="1:13" ht="22.5" customHeight="1">
      <c r="A376" s="2" t="s">
        <v>1119</v>
      </c>
      <c r="B376" s="2" t="s">
        <v>1118</v>
      </c>
      <c r="D376" s="13" t="s">
        <v>1120</v>
      </c>
      <c r="E376" s="14">
        <v>674.85599999999999</v>
      </c>
      <c r="F376" s="104">
        <f t="shared" si="25"/>
        <v>24.744720000000004</v>
      </c>
      <c r="G376" s="104">
        <f t="shared" si="26"/>
        <v>24.024000000000008</v>
      </c>
      <c r="H376" s="104">
        <f t="shared" si="27"/>
        <v>23.566400000000005</v>
      </c>
      <c r="I376" s="104">
        <f t="shared" si="28"/>
        <v>26.994239999999998</v>
      </c>
      <c r="J376" s="133"/>
      <c r="K376" s="110">
        <f t="shared" si="29"/>
        <v>24.540218181818179</v>
      </c>
      <c r="L376" s="88"/>
      <c r="M376" s="2"/>
    </row>
    <row r="377" spans="1:13" ht="22.5" customHeight="1">
      <c r="A377" s="2" t="s">
        <v>1122</v>
      </c>
      <c r="B377" s="2" t="s">
        <v>1121</v>
      </c>
      <c r="D377" s="13" t="s">
        <v>1123</v>
      </c>
      <c r="E377" s="14">
        <v>524.88800000000003</v>
      </c>
      <c r="F377" s="104">
        <f t="shared" si="25"/>
        <v>19.245893333333338</v>
      </c>
      <c r="G377" s="104">
        <f t="shared" si="26"/>
        <v>18.68533333333334</v>
      </c>
      <c r="H377" s="104">
        <f t="shared" si="27"/>
        <v>18.329422222222227</v>
      </c>
      <c r="I377" s="104">
        <f t="shared" si="28"/>
        <v>20.995519999999999</v>
      </c>
      <c r="J377" s="133"/>
      <c r="K377" s="110">
        <f t="shared" si="29"/>
        <v>19.086836363636362</v>
      </c>
      <c r="L377" s="88"/>
      <c r="M377" s="2"/>
    </row>
    <row r="378" spans="1:13" ht="22.5" customHeight="1">
      <c r="A378" s="2" t="s">
        <v>1125</v>
      </c>
      <c r="B378" s="2" t="s">
        <v>1124</v>
      </c>
      <c r="D378" s="13" t="s">
        <v>1126</v>
      </c>
      <c r="E378" s="14">
        <v>650</v>
      </c>
      <c r="F378" s="104">
        <f t="shared" si="25"/>
        <v>23.833333333333336</v>
      </c>
      <c r="G378" s="104">
        <f t="shared" si="26"/>
        <v>23.139158576051781</v>
      </c>
      <c r="H378" s="104">
        <f t="shared" si="27"/>
        <v>22.698412698412699</v>
      </c>
      <c r="I378" s="104">
        <f t="shared" si="28"/>
        <v>26</v>
      </c>
      <c r="J378" s="133"/>
      <c r="K378" s="110">
        <f t="shared" si="29"/>
        <v>23.636363636363637</v>
      </c>
      <c r="L378" s="88"/>
      <c r="M378" s="2"/>
    </row>
    <row r="379" spans="1:13" ht="22.5" customHeight="1">
      <c r="A379" s="2" t="s">
        <v>1128</v>
      </c>
      <c r="B379" s="2" t="s">
        <v>1127</v>
      </c>
      <c r="D379" s="13" t="s">
        <v>1129</v>
      </c>
      <c r="E379" s="14">
        <v>567.98237600000004</v>
      </c>
      <c r="F379" s="104">
        <f t="shared" si="25"/>
        <v>20.826020453333339</v>
      </c>
      <c r="G379" s="104">
        <f t="shared" si="26"/>
        <v>20.219437333333339</v>
      </c>
      <c r="H379" s="104">
        <f t="shared" si="27"/>
        <v>19.834305193650799</v>
      </c>
      <c r="I379" s="104">
        <f t="shared" si="28"/>
        <v>22.719295040000002</v>
      </c>
      <c r="J379" s="133"/>
      <c r="K379" s="110">
        <f t="shared" si="29"/>
        <v>20.653904581818182</v>
      </c>
      <c r="L379" s="88"/>
      <c r="M379" s="2"/>
    </row>
    <row r="380" spans="1:13" ht="22.5" customHeight="1">
      <c r="A380" s="2" t="s">
        <v>1131</v>
      </c>
      <c r="B380" s="2" t="s">
        <v>1130</v>
      </c>
      <c r="D380" s="13" t="s">
        <v>1132</v>
      </c>
      <c r="E380" s="14">
        <v>724.48469599999999</v>
      </c>
      <c r="F380" s="104">
        <f t="shared" si="25"/>
        <v>26.564438853333336</v>
      </c>
      <c r="G380" s="104">
        <f t="shared" si="26"/>
        <v>25.790717333333337</v>
      </c>
      <c r="H380" s="104">
        <f t="shared" si="27"/>
        <v>25.299465574603175</v>
      </c>
      <c r="I380" s="104">
        <f t="shared" si="28"/>
        <v>28.979387840000001</v>
      </c>
      <c r="J380" s="133"/>
      <c r="K380" s="110">
        <f t="shared" si="29"/>
        <v>26.344898036363638</v>
      </c>
      <c r="L380" s="88"/>
      <c r="M380" s="2"/>
    </row>
    <row r="381" spans="1:13">
      <c r="A381" s="2" t="s">
        <v>8673</v>
      </c>
      <c r="B381" s="2" t="s">
        <v>8674</v>
      </c>
      <c r="D381" s="13" t="s">
        <v>8675</v>
      </c>
      <c r="E381" s="14">
        <v>1207</v>
      </c>
      <c r="F381" s="107">
        <f>+(E381*1.1/30)</f>
        <v>44.256666666666668</v>
      </c>
      <c r="G381" s="107">
        <f>+(F381*100/103)</f>
        <v>42.967637540453076</v>
      </c>
      <c r="H381" s="107">
        <f>+(F381*100/105)</f>
        <v>42.149206349206352</v>
      </c>
      <c r="I381" s="107">
        <f t="shared" si="28"/>
        <v>48.279999999999994</v>
      </c>
      <c r="J381" s="136"/>
      <c r="K381" s="112">
        <f>+(E381*1.2/33)</f>
        <v>43.890909090909084</v>
      </c>
    </row>
    <row r="382" spans="1:13" ht="22.5" customHeight="1">
      <c r="A382" s="2" t="s">
        <v>1134</v>
      </c>
      <c r="B382" s="2" t="s">
        <v>1133</v>
      </c>
      <c r="D382" s="13" t="s">
        <v>1135</v>
      </c>
      <c r="E382" s="14">
        <v>674.85599999999999</v>
      </c>
      <c r="F382" s="104">
        <f t="shared" si="25"/>
        <v>24.744720000000004</v>
      </c>
      <c r="G382" s="104">
        <f t="shared" si="26"/>
        <v>24.024000000000008</v>
      </c>
      <c r="H382" s="104">
        <f t="shared" si="27"/>
        <v>23.566400000000005</v>
      </c>
      <c r="I382" s="104">
        <f t="shared" si="28"/>
        <v>26.994239999999998</v>
      </c>
      <c r="J382" s="133"/>
      <c r="K382" s="110">
        <f t="shared" si="29"/>
        <v>24.540218181818179</v>
      </c>
      <c r="L382" s="88"/>
      <c r="M382" s="2"/>
    </row>
    <row r="383" spans="1:13" ht="22.5" customHeight="1">
      <c r="A383" s="2" t="s">
        <v>1137</v>
      </c>
      <c r="B383" s="2" t="s">
        <v>1136</v>
      </c>
      <c r="D383" s="13" t="s">
        <v>1138</v>
      </c>
      <c r="E383" s="14">
        <v>664.14400000000001</v>
      </c>
      <c r="F383" s="104">
        <f t="shared" si="25"/>
        <v>24.35194666666667</v>
      </c>
      <c r="G383" s="104">
        <f t="shared" si="26"/>
        <v>23.64266666666667</v>
      </c>
      <c r="H383" s="104">
        <f t="shared" si="27"/>
        <v>23.192330158730165</v>
      </c>
      <c r="I383" s="104">
        <f t="shared" si="28"/>
        <v>26.565760000000001</v>
      </c>
      <c r="J383" s="133"/>
      <c r="K383" s="110">
        <f t="shared" si="29"/>
        <v>24.150690909090908</v>
      </c>
      <c r="L383" s="88"/>
      <c r="M383" s="2"/>
    </row>
    <row r="384" spans="1:13" ht="22.5" customHeight="1">
      <c r="A384" s="2" t="s">
        <v>1140</v>
      </c>
      <c r="B384" s="2" t="s">
        <v>1139</v>
      </c>
      <c r="D384" s="13" t="s">
        <v>1141</v>
      </c>
      <c r="E384" s="14">
        <v>717.70400000000006</v>
      </c>
      <c r="F384" s="104">
        <f t="shared" si="25"/>
        <v>26.315813333333338</v>
      </c>
      <c r="G384" s="104">
        <f t="shared" si="26"/>
        <v>25.54933333333334</v>
      </c>
      <c r="H384" s="104">
        <f t="shared" si="27"/>
        <v>25.062679365079372</v>
      </c>
      <c r="I384" s="104">
        <f t="shared" si="28"/>
        <v>28.708160000000003</v>
      </c>
      <c r="J384" s="133"/>
      <c r="K384" s="110">
        <f t="shared" si="29"/>
        <v>26.098327272727275</v>
      </c>
      <c r="L384" s="88"/>
      <c r="M384" s="2"/>
    </row>
    <row r="385" spans="1:13" ht="22.5" customHeight="1">
      <c r="A385" s="2" t="s">
        <v>1142</v>
      </c>
      <c r="B385" s="2" t="s">
        <v>489</v>
      </c>
      <c r="D385" s="13" t="s">
        <v>491</v>
      </c>
      <c r="E385" s="14">
        <v>724.48469599999999</v>
      </c>
      <c r="F385" s="104">
        <f t="shared" si="25"/>
        <v>26.564438853333336</v>
      </c>
      <c r="G385" s="104">
        <f t="shared" si="26"/>
        <v>25.790717333333337</v>
      </c>
      <c r="H385" s="104">
        <f t="shared" si="27"/>
        <v>25.299465574603175</v>
      </c>
      <c r="I385" s="104">
        <f t="shared" si="28"/>
        <v>28.979387840000001</v>
      </c>
      <c r="J385" s="133"/>
      <c r="K385" s="110">
        <f t="shared" si="29"/>
        <v>26.344898036363638</v>
      </c>
      <c r="L385" s="88"/>
      <c r="M385" s="2"/>
    </row>
    <row r="386" spans="1:13" ht="22.5" customHeight="1">
      <c r="A386" s="2" t="s">
        <v>1144</v>
      </c>
      <c r="B386" s="2" t="s">
        <v>1143</v>
      </c>
      <c r="D386" s="13" t="s">
        <v>1145</v>
      </c>
      <c r="E386" s="14">
        <v>629.86559999999997</v>
      </c>
      <c r="F386" s="104">
        <f t="shared" si="25"/>
        <v>23.095072000000002</v>
      </c>
      <c r="G386" s="104">
        <f t="shared" si="26"/>
        <v>22.4224</v>
      </c>
      <c r="H386" s="104">
        <f t="shared" si="27"/>
        <v>21.995306666666668</v>
      </c>
      <c r="I386" s="104">
        <f t="shared" ref="I386:I449" si="30">+(E386*1.2/30)</f>
        <v>25.194623999999997</v>
      </c>
      <c r="J386" s="133"/>
      <c r="K386" s="110">
        <f t="shared" si="29"/>
        <v>22.904203636363636</v>
      </c>
      <c r="L386" s="88"/>
      <c r="M386" s="2"/>
    </row>
    <row r="387" spans="1:13" ht="22.5" customHeight="1">
      <c r="A387" s="2" t="s">
        <v>1147</v>
      </c>
      <c r="B387" s="2" t="s">
        <v>1146</v>
      </c>
      <c r="D387" s="13" t="s">
        <v>1148</v>
      </c>
      <c r="E387" s="14">
        <v>567.98237600000004</v>
      </c>
      <c r="F387" s="104">
        <f t="shared" ref="F387:F450" si="31">+(E387*1.1/30)</f>
        <v>20.826020453333339</v>
      </c>
      <c r="G387" s="104">
        <f t="shared" ref="G387:G450" si="32">+(F387*100/103)</f>
        <v>20.219437333333339</v>
      </c>
      <c r="H387" s="104">
        <f t="shared" ref="H387:H450" si="33">+(F387*100/105)</f>
        <v>19.834305193650799</v>
      </c>
      <c r="I387" s="104">
        <f t="shared" si="30"/>
        <v>22.719295040000002</v>
      </c>
      <c r="J387" s="133"/>
      <c r="K387" s="110">
        <f t="shared" ref="K387:K450" si="34">+(E387*1.2/33)</f>
        <v>20.653904581818182</v>
      </c>
      <c r="L387" s="88"/>
      <c r="M387" s="2"/>
    </row>
    <row r="388" spans="1:13" ht="22.5" customHeight="1">
      <c r="A388" s="2" t="s">
        <v>1150</v>
      </c>
      <c r="B388" s="2" t="s">
        <v>1149</v>
      </c>
      <c r="D388" s="13" t="s">
        <v>1151</v>
      </c>
      <c r="E388" s="14">
        <v>840</v>
      </c>
      <c r="F388" s="104">
        <f t="shared" si="31"/>
        <v>30.800000000000004</v>
      </c>
      <c r="G388" s="104">
        <f t="shared" si="32"/>
        <v>29.902912621359228</v>
      </c>
      <c r="H388" s="104">
        <f t="shared" si="33"/>
        <v>29.333333333333339</v>
      </c>
      <c r="I388" s="104">
        <f t="shared" si="30"/>
        <v>33.6</v>
      </c>
      <c r="J388" s="133"/>
      <c r="K388" s="110">
        <f t="shared" si="34"/>
        <v>30.545454545454547</v>
      </c>
      <c r="L388" s="88"/>
      <c r="M388" s="2"/>
    </row>
    <row r="389" spans="1:13" ht="22.5" customHeight="1">
      <c r="A389" s="2" t="s">
        <v>1153</v>
      </c>
      <c r="B389" s="2" t="s">
        <v>1152</v>
      </c>
      <c r="D389" s="13" t="s">
        <v>1154</v>
      </c>
      <c r="E389" s="14">
        <v>700</v>
      </c>
      <c r="F389" s="104">
        <f t="shared" si="31"/>
        <v>25.666666666666671</v>
      </c>
      <c r="G389" s="104">
        <f t="shared" si="32"/>
        <v>24.91909385113269</v>
      </c>
      <c r="H389" s="104">
        <f t="shared" si="33"/>
        <v>24.444444444444446</v>
      </c>
      <c r="I389" s="104">
        <f t="shared" si="30"/>
        <v>28</v>
      </c>
      <c r="J389" s="133"/>
      <c r="K389" s="110">
        <f t="shared" si="34"/>
        <v>25.454545454545453</v>
      </c>
      <c r="L389" s="88"/>
      <c r="M389" s="2"/>
    </row>
    <row r="390" spans="1:13" ht="22.5" customHeight="1">
      <c r="A390" s="2" t="s">
        <v>1156</v>
      </c>
      <c r="B390" s="2" t="s">
        <v>1155</v>
      </c>
      <c r="D390" s="13" t="s">
        <v>1157</v>
      </c>
      <c r="E390" s="14">
        <v>720</v>
      </c>
      <c r="F390" s="104">
        <f t="shared" si="31"/>
        <v>26.400000000000002</v>
      </c>
      <c r="G390" s="104">
        <f t="shared" si="32"/>
        <v>25.631067961165048</v>
      </c>
      <c r="H390" s="104">
        <f t="shared" si="33"/>
        <v>25.142857142857142</v>
      </c>
      <c r="I390" s="104">
        <f t="shared" si="30"/>
        <v>28.8</v>
      </c>
      <c r="J390" s="133"/>
      <c r="K390" s="110">
        <f t="shared" si="34"/>
        <v>26.181818181818183</v>
      </c>
      <c r="L390" s="88"/>
      <c r="M390" s="2"/>
    </row>
    <row r="391" spans="1:13" ht="22.5" customHeight="1">
      <c r="A391" s="2" t="s">
        <v>1159</v>
      </c>
      <c r="B391" s="2" t="s">
        <v>1158</v>
      </c>
      <c r="D391" s="13" t="s">
        <v>1160</v>
      </c>
      <c r="E391" s="14">
        <v>724.48469599999999</v>
      </c>
      <c r="F391" s="104">
        <f t="shared" si="31"/>
        <v>26.564438853333336</v>
      </c>
      <c r="G391" s="104">
        <f t="shared" si="32"/>
        <v>25.790717333333337</v>
      </c>
      <c r="H391" s="104">
        <f t="shared" si="33"/>
        <v>25.299465574603175</v>
      </c>
      <c r="I391" s="104">
        <f t="shared" si="30"/>
        <v>28.979387840000001</v>
      </c>
      <c r="J391" s="133"/>
      <c r="K391" s="110">
        <f t="shared" si="34"/>
        <v>26.344898036363638</v>
      </c>
      <c r="L391" s="88"/>
      <c r="M391" s="2"/>
    </row>
    <row r="392" spans="1:13" ht="22.5" customHeight="1">
      <c r="A392" s="2" t="s">
        <v>1162</v>
      </c>
      <c r="B392" s="2" t="s">
        <v>1161</v>
      </c>
      <c r="D392" s="13" t="s">
        <v>1163</v>
      </c>
      <c r="E392" s="14">
        <v>490</v>
      </c>
      <c r="F392" s="104">
        <f t="shared" si="31"/>
        <v>17.966666666666665</v>
      </c>
      <c r="G392" s="104">
        <f t="shared" si="32"/>
        <v>17.443365695792878</v>
      </c>
      <c r="H392" s="104">
        <f t="shared" si="33"/>
        <v>17.111111111111111</v>
      </c>
      <c r="I392" s="104">
        <f t="shared" si="30"/>
        <v>19.600000000000001</v>
      </c>
      <c r="J392" s="133"/>
      <c r="K392" s="110">
        <f t="shared" si="34"/>
        <v>17.818181818181817</v>
      </c>
      <c r="L392" s="88"/>
      <c r="M392" s="2"/>
    </row>
    <row r="393" spans="1:13" ht="22.5" customHeight="1">
      <c r="A393" s="2" t="s">
        <v>1165</v>
      </c>
      <c r="B393" s="2" t="s">
        <v>1164</v>
      </c>
      <c r="D393" s="13" t="s">
        <v>1166</v>
      </c>
      <c r="E393" s="14">
        <v>546.31200000000013</v>
      </c>
      <c r="F393" s="104">
        <f t="shared" si="31"/>
        <v>20.031440000000007</v>
      </c>
      <c r="G393" s="104">
        <f t="shared" si="32"/>
        <v>19.448000000000008</v>
      </c>
      <c r="H393" s="104">
        <f t="shared" si="33"/>
        <v>19.077561904761911</v>
      </c>
      <c r="I393" s="104">
        <f t="shared" si="30"/>
        <v>21.852480000000003</v>
      </c>
      <c r="J393" s="133"/>
      <c r="K393" s="110">
        <f t="shared" si="34"/>
        <v>19.865890909090911</v>
      </c>
      <c r="L393" s="88"/>
      <c r="M393" s="2"/>
    </row>
    <row r="394" spans="1:13" ht="22.5" customHeight="1">
      <c r="A394" s="2" t="s">
        <v>1168</v>
      </c>
      <c r="B394" s="2" t="s">
        <v>1167</v>
      </c>
      <c r="D394" s="13" t="s">
        <v>1169</v>
      </c>
      <c r="E394" s="14">
        <v>690</v>
      </c>
      <c r="F394" s="104">
        <f t="shared" si="31"/>
        <v>25.300000000000004</v>
      </c>
      <c r="G394" s="104">
        <f t="shared" si="32"/>
        <v>24.563106796116511</v>
      </c>
      <c r="H394" s="104">
        <f t="shared" si="33"/>
        <v>24.095238095238098</v>
      </c>
      <c r="I394" s="104">
        <f t="shared" si="30"/>
        <v>27.6</v>
      </c>
      <c r="J394" s="133"/>
      <c r="K394" s="110">
        <f t="shared" si="34"/>
        <v>25.09090909090909</v>
      </c>
      <c r="L394" s="88"/>
      <c r="M394" s="2"/>
    </row>
    <row r="395" spans="1:13" ht="22.5" customHeight="1">
      <c r="A395" s="2" t="s">
        <v>1171</v>
      </c>
      <c r="B395" s="2" t="s">
        <v>1170</v>
      </c>
      <c r="D395" s="13" t="s">
        <v>1172</v>
      </c>
      <c r="E395" s="14">
        <v>674.85599999999999</v>
      </c>
      <c r="F395" s="104">
        <f t="shared" si="31"/>
        <v>24.744720000000004</v>
      </c>
      <c r="G395" s="104">
        <f t="shared" si="32"/>
        <v>24.024000000000008</v>
      </c>
      <c r="H395" s="104">
        <f t="shared" si="33"/>
        <v>23.566400000000005</v>
      </c>
      <c r="I395" s="104">
        <f t="shared" si="30"/>
        <v>26.994239999999998</v>
      </c>
      <c r="J395" s="133"/>
      <c r="K395" s="110">
        <f t="shared" si="34"/>
        <v>24.540218181818179</v>
      </c>
      <c r="L395" s="88"/>
      <c r="M395" s="2"/>
    </row>
    <row r="396" spans="1:13" ht="22.5" customHeight="1">
      <c r="A396" s="2" t="s">
        <v>1174</v>
      </c>
      <c r="B396" s="2" t="s">
        <v>1173</v>
      </c>
      <c r="D396" s="13" t="s">
        <v>1175</v>
      </c>
      <c r="E396" s="14">
        <v>730</v>
      </c>
      <c r="F396" s="104">
        <f t="shared" si="31"/>
        <v>26.766666666666669</v>
      </c>
      <c r="G396" s="104">
        <f t="shared" si="32"/>
        <v>25.987055016181234</v>
      </c>
      <c r="H396" s="104">
        <f t="shared" si="33"/>
        <v>25.492063492063494</v>
      </c>
      <c r="I396" s="104">
        <f t="shared" si="30"/>
        <v>29.2</v>
      </c>
      <c r="J396" s="133"/>
      <c r="K396" s="110">
        <f t="shared" si="34"/>
        <v>26.545454545454547</v>
      </c>
      <c r="L396" s="88"/>
      <c r="M396" s="2"/>
    </row>
    <row r="397" spans="1:13" ht="22.5" customHeight="1">
      <c r="A397" s="2" t="s">
        <v>1177</v>
      </c>
      <c r="B397" s="2" t="s">
        <v>1176</v>
      </c>
      <c r="D397" s="13" t="s">
        <v>1178</v>
      </c>
      <c r="E397" s="14">
        <v>674.85599999999999</v>
      </c>
      <c r="F397" s="104">
        <f t="shared" si="31"/>
        <v>24.744720000000004</v>
      </c>
      <c r="G397" s="104">
        <f t="shared" si="32"/>
        <v>24.024000000000008</v>
      </c>
      <c r="H397" s="104">
        <f t="shared" si="33"/>
        <v>23.566400000000005</v>
      </c>
      <c r="I397" s="104">
        <f t="shared" si="30"/>
        <v>26.994239999999998</v>
      </c>
      <c r="J397" s="133"/>
      <c r="K397" s="110">
        <f t="shared" si="34"/>
        <v>24.540218181818179</v>
      </c>
      <c r="L397" s="88"/>
      <c r="M397" s="2"/>
    </row>
    <row r="398" spans="1:13" ht="22.5" customHeight="1">
      <c r="A398" s="2" t="s">
        <v>1180</v>
      </c>
      <c r="B398" s="2" t="s">
        <v>1179</v>
      </c>
      <c r="D398" s="13" t="s">
        <v>1181</v>
      </c>
      <c r="E398" s="14">
        <v>664.14400000000001</v>
      </c>
      <c r="F398" s="104">
        <f t="shared" si="31"/>
        <v>24.35194666666667</v>
      </c>
      <c r="G398" s="104">
        <f t="shared" si="32"/>
        <v>23.64266666666667</v>
      </c>
      <c r="H398" s="104">
        <f t="shared" si="33"/>
        <v>23.192330158730165</v>
      </c>
      <c r="I398" s="104">
        <f t="shared" si="30"/>
        <v>26.565760000000001</v>
      </c>
      <c r="J398" s="133"/>
      <c r="K398" s="110">
        <f t="shared" si="34"/>
        <v>24.150690909090908</v>
      </c>
      <c r="L398" s="88"/>
      <c r="M398" s="2"/>
    </row>
    <row r="399" spans="1:13" ht="22.5" customHeight="1">
      <c r="A399" s="2" t="s">
        <v>1183</v>
      </c>
      <c r="B399" s="2" t="s">
        <v>1182</v>
      </c>
      <c r="D399" s="13" t="s">
        <v>1184</v>
      </c>
      <c r="E399" s="14">
        <v>596.65840000000003</v>
      </c>
      <c r="F399" s="104">
        <f t="shared" si="31"/>
        <v>21.877474666666668</v>
      </c>
      <c r="G399" s="104">
        <f t="shared" si="32"/>
        <v>21.240266666666667</v>
      </c>
      <c r="H399" s="104">
        <f t="shared" si="33"/>
        <v>20.835690158730159</v>
      </c>
      <c r="I399" s="104">
        <f t="shared" si="30"/>
        <v>23.866336</v>
      </c>
      <c r="J399" s="133"/>
      <c r="K399" s="110">
        <f t="shared" si="34"/>
        <v>21.696669090909094</v>
      </c>
      <c r="L399" s="88"/>
      <c r="M399" s="2"/>
    </row>
    <row r="400" spans="1:13" ht="22.5" customHeight="1">
      <c r="A400" s="2" t="s">
        <v>1186</v>
      </c>
      <c r="B400" s="2" t="s">
        <v>1185</v>
      </c>
      <c r="D400" s="13" t="s">
        <v>1187</v>
      </c>
      <c r="E400" s="14">
        <v>641.64880000000005</v>
      </c>
      <c r="F400" s="104">
        <f t="shared" si="31"/>
        <v>23.527122666666671</v>
      </c>
      <c r="G400" s="104">
        <f t="shared" si="32"/>
        <v>22.841866666666668</v>
      </c>
      <c r="H400" s="104">
        <f t="shared" si="33"/>
        <v>22.406783492063493</v>
      </c>
      <c r="I400" s="104">
        <f t="shared" si="30"/>
        <v>25.665952000000001</v>
      </c>
      <c r="J400" s="133"/>
      <c r="K400" s="110">
        <f t="shared" si="34"/>
        <v>23.332683636363637</v>
      </c>
      <c r="L400" s="88"/>
      <c r="M400" s="2"/>
    </row>
    <row r="401" spans="1:13" ht="22.5" customHeight="1">
      <c r="A401" s="2" t="s">
        <v>1189</v>
      </c>
      <c r="B401" s="2" t="s">
        <v>1188</v>
      </c>
      <c r="D401" s="13" t="s">
        <v>1190</v>
      </c>
      <c r="E401" s="14">
        <v>835.53599999999994</v>
      </c>
      <c r="F401" s="104">
        <f t="shared" si="31"/>
        <v>30.636320000000001</v>
      </c>
      <c r="G401" s="104">
        <f t="shared" si="32"/>
        <v>29.744</v>
      </c>
      <c r="H401" s="104">
        <f t="shared" si="33"/>
        <v>29.177447619047619</v>
      </c>
      <c r="I401" s="104">
        <f t="shared" si="30"/>
        <v>33.421439999999997</v>
      </c>
      <c r="J401" s="133"/>
      <c r="K401" s="110">
        <f t="shared" si="34"/>
        <v>30.383127272727268</v>
      </c>
      <c r="L401" s="88"/>
      <c r="M401" s="2"/>
    </row>
    <row r="402" spans="1:13" ht="22.5" customHeight="1">
      <c r="A402" s="2" t="s">
        <v>1192</v>
      </c>
      <c r="B402" s="2" t="s">
        <v>1191</v>
      </c>
      <c r="D402" s="13" t="s">
        <v>1193</v>
      </c>
      <c r="E402" s="14">
        <v>728.41599999999994</v>
      </c>
      <c r="F402" s="104">
        <f t="shared" si="31"/>
        <v>26.708586666666669</v>
      </c>
      <c r="G402" s="104">
        <f t="shared" si="32"/>
        <v>25.930666666666671</v>
      </c>
      <c r="H402" s="104">
        <f t="shared" si="33"/>
        <v>25.436749206349209</v>
      </c>
      <c r="I402" s="104">
        <f t="shared" si="30"/>
        <v>29.136639999999996</v>
      </c>
      <c r="J402" s="133"/>
      <c r="K402" s="110">
        <f t="shared" si="34"/>
        <v>26.487854545454542</v>
      </c>
      <c r="L402" s="88"/>
      <c r="M402" s="2"/>
    </row>
    <row r="403" spans="1:13" ht="22.5" customHeight="1">
      <c r="A403" s="2" t="s">
        <v>1195</v>
      </c>
      <c r="B403" s="2" t="s">
        <v>1194</v>
      </c>
      <c r="D403" s="13" t="s">
        <v>1196</v>
      </c>
      <c r="E403" s="14">
        <v>557.024</v>
      </c>
      <c r="F403" s="104">
        <f t="shared" si="31"/>
        <v>20.424213333333334</v>
      </c>
      <c r="G403" s="104">
        <f t="shared" si="32"/>
        <v>19.829333333333334</v>
      </c>
      <c r="H403" s="104">
        <f t="shared" si="33"/>
        <v>19.451631746031747</v>
      </c>
      <c r="I403" s="104">
        <f t="shared" si="30"/>
        <v>22.28096</v>
      </c>
      <c r="J403" s="133"/>
      <c r="K403" s="110">
        <f t="shared" si="34"/>
        <v>20.255418181818182</v>
      </c>
      <c r="L403" s="88"/>
      <c r="M403" s="2"/>
    </row>
    <row r="404" spans="1:13" ht="22.5" customHeight="1">
      <c r="A404" s="25" t="s">
        <v>1198</v>
      </c>
      <c r="B404" s="25" t="s">
        <v>1197</v>
      </c>
      <c r="C404" s="25"/>
      <c r="D404" s="26" t="s">
        <v>8411</v>
      </c>
      <c r="E404" s="27"/>
      <c r="F404" s="106">
        <f t="shared" si="31"/>
        <v>0</v>
      </c>
      <c r="G404" s="106">
        <f t="shared" si="32"/>
        <v>0</v>
      </c>
      <c r="H404" s="106">
        <f t="shared" si="33"/>
        <v>0</v>
      </c>
      <c r="I404" s="106">
        <f t="shared" si="30"/>
        <v>0</v>
      </c>
      <c r="J404" s="135"/>
      <c r="K404" s="111">
        <f t="shared" si="34"/>
        <v>0</v>
      </c>
      <c r="L404" s="89"/>
      <c r="M404" s="2"/>
    </row>
    <row r="405" spans="1:13" ht="22.5" customHeight="1">
      <c r="A405" s="2" t="s">
        <v>1201</v>
      </c>
      <c r="B405" s="2" t="s">
        <v>1200</v>
      </c>
      <c r="D405" s="13" t="s">
        <v>1202</v>
      </c>
      <c r="E405" s="14">
        <v>660</v>
      </c>
      <c r="F405" s="104">
        <f t="shared" si="31"/>
        <v>24.200000000000003</v>
      </c>
      <c r="G405" s="104">
        <f t="shared" si="32"/>
        <v>23.495145631067967</v>
      </c>
      <c r="H405" s="104">
        <f t="shared" si="33"/>
        <v>23.047619047619051</v>
      </c>
      <c r="I405" s="104">
        <f t="shared" si="30"/>
        <v>26.4</v>
      </c>
      <c r="J405" s="133"/>
      <c r="K405" s="110">
        <f t="shared" si="34"/>
        <v>24</v>
      </c>
      <c r="L405" s="88"/>
      <c r="M405" s="2"/>
    </row>
    <row r="406" spans="1:13" ht="22.5" customHeight="1">
      <c r="A406" s="2" t="s">
        <v>1204</v>
      </c>
      <c r="B406" s="2" t="s">
        <v>1203</v>
      </c>
      <c r="D406" s="13" t="s">
        <v>1205</v>
      </c>
      <c r="E406" s="14">
        <v>685.5680000000001</v>
      </c>
      <c r="F406" s="104">
        <f t="shared" si="31"/>
        <v>25.137493333333339</v>
      </c>
      <c r="G406" s="104">
        <f t="shared" si="32"/>
        <v>24.405333333333342</v>
      </c>
      <c r="H406" s="104">
        <f t="shared" si="33"/>
        <v>23.940469841269849</v>
      </c>
      <c r="I406" s="104">
        <f t="shared" si="30"/>
        <v>27.422720000000005</v>
      </c>
      <c r="J406" s="133"/>
      <c r="K406" s="110">
        <f t="shared" si="34"/>
        <v>24.929745454545458</v>
      </c>
      <c r="L406" s="88"/>
      <c r="M406" s="2"/>
    </row>
    <row r="407" spans="1:13" ht="22.5" customHeight="1">
      <c r="A407" s="2" t="s">
        <v>1207</v>
      </c>
      <c r="B407" s="2" t="s">
        <v>1206</v>
      </c>
      <c r="D407" s="13" t="s">
        <v>1208</v>
      </c>
      <c r="E407" s="14">
        <v>630</v>
      </c>
      <c r="F407" s="104">
        <f t="shared" si="31"/>
        <v>23.1</v>
      </c>
      <c r="G407" s="104">
        <f t="shared" si="32"/>
        <v>22.427184466019419</v>
      </c>
      <c r="H407" s="104">
        <f t="shared" si="33"/>
        <v>22</v>
      </c>
      <c r="I407" s="104">
        <f t="shared" si="30"/>
        <v>25.2</v>
      </c>
      <c r="J407" s="133"/>
      <c r="K407" s="110">
        <f t="shared" si="34"/>
        <v>22.90909090909091</v>
      </c>
      <c r="L407" s="88"/>
      <c r="M407" s="2"/>
    </row>
    <row r="408" spans="1:13" ht="22.5" customHeight="1">
      <c r="A408" s="2" t="s">
        <v>1209</v>
      </c>
      <c r="B408" s="2" t="s">
        <v>1197</v>
      </c>
      <c r="D408" s="13" t="s">
        <v>1199</v>
      </c>
      <c r="E408" s="14">
        <v>630</v>
      </c>
      <c r="F408" s="104">
        <f t="shared" si="31"/>
        <v>23.1</v>
      </c>
      <c r="G408" s="104">
        <f t="shared" si="32"/>
        <v>22.427184466019419</v>
      </c>
      <c r="H408" s="104">
        <f t="shared" si="33"/>
        <v>22</v>
      </c>
      <c r="I408" s="104">
        <f t="shared" si="30"/>
        <v>25.2</v>
      </c>
      <c r="J408" s="133"/>
      <c r="K408" s="110">
        <f t="shared" si="34"/>
        <v>22.90909090909091</v>
      </c>
      <c r="L408" s="88"/>
      <c r="M408" s="2"/>
    </row>
    <row r="409" spans="1:13" ht="22.5" customHeight="1">
      <c r="A409" s="2" t="s">
        <v>1211</v>
      </c>
      <c r="B409" s="2" t="s">
        <v>1210</v>
      </c>
      <c r="D409" s="13" t="s">
        <v>1212</v>
      </c>
      <c r="E409" s="14">
        <v>642.72</v>
      </c>
      <c r="F409" s="104">
        <f t="shared" si="31"/>
        <v>23.566400000000002</v>
      </c>
      <c r="G409" s="104">
        <f t="shared" si="32"/>
        <v>22.880000000000003</v>
      </c>
      <c r="H409" s="104">
        <f t="shared" si="33"/>
        <v>22.444190476190478</v>
      </c>
      <c r="I409" s="104">
        <f t="shared" si="30"/>
        <v>25.7088</v>
      </c>
      <c r="J409" s="133"/>
      <c r="K409" s="110">
        <f t="shared" si="34"/>
        <v>23.371636363636362</v>
      </c>
      <c r="L409" s="88"/>
      <c r="M409" s="2"/>
    </row>
    <row r="410" spans="1:13" ht="22.5" customHeight="1">
      <c r="A410" s="2" t="s">
        <v>1214</v>
      </c>
      <c r="B410" s="2" t="s">
        <v>1213</v>
      </c>
      <c r="D410" s="13" t="s">
        <v>1215</v>
      </c>
      <c r="E410" s="14">
        <v>724.48469599999999</v>
      </c>
      <c r="F410" s="104">
        <f t="shared" si="31"/>
        <v>26.564438853333336</v>
      </c>
      <c r="G410" s="104">
        <f t="shared" si="32"/>
        <v>25.790717333333337</v>
      </c>
      <c r="H410" s="104">
        <f t="shared" si="33"/>
        <v>25.299465574603175</v>
      </c>
      <c r="I410" s="104">
        <f t="shared" si="30"/>
        <v>28.979387840000001</v>
      </c>
      <c r="J410" s="133"/>
      <c r="K410" s="110">
        <f t="shared" si="34"/>
        <v>26.344898036363638</v>
      </c>
      <c r="L410" s="88"/>
      <c r="M410" s="2"/>
    </row>
    <row r="411" spans="1:13" ht="22.5" customHeight="1">
      <c r="A411" s="2" t="s">
        <v>1217</v>
      </c>
      <c r="B411" s="2" t="s">
        <v>1216</v>
      </c>
      <c r="D411" s="13" t="s">
        <v>1218</v>
      </c>
      <c r="E411" s="14">
        <v>664.14400000000001</v>
      </c>
      <c r="F411" s="104">
        <f t="shared" si="31"/>
        <v>24.35194666666667</v>
      </c>
      <c r="G411" s="104">
        <f t="shared" si="32"/>
        <v>23.64266666666667</v>
      </c>
      <c r="H411" s="104">
        <f t="shared" si="33"/>
        <v>23.192330158730165</v>
      </c>
      <c r="I411" s="104">
        <f t="shared" si="30"/>
        <v>26.565760000000001</v>
      </c>
      <c r="J411" s="133"/>
      <c r="K411" s="110">
        <f t="shared" si="34"/>
        <v>24.150690909090908</v>
      </c>
      <c r="L411" s="88"/>
      <c r="M411" s="2"/>
    </row>
    <row r="412" spans="1:13" ht="22.5" customHeight="1">
      <c r="A412" s="2" t="s">
        <v>2289</v>
      </c>
      <c r="B412" s="2" t="s">
        <v>2288</v>
      </c>
      <c r="D412" s="13" t="s">
        <v>2290</v>
      </c>
      <c r="E412" s="14">
        <v>760</v>
      </c>
      <c r="F412" s="104">
        <f t="shared" si="31"/>
        <v>27.866666666666671</v>
      </c>
      <c r="G412" s="104">
        <f t="shared" si="32"/>
        <v>27.055016181229778</v>
      </c>
      <c r="H412" s="104">
        <f t="shared" si="33"/>
        <v>26.539682539682541</v>
      </c>
      <c r="I412" s="104">
        <f t="shared" si="30"/>
        <v>30.4</v>
      </c>
      <c r="J412" s="133"/>
      <c r="K412" s="110">
        <f t="shared" si="34"/>
        <v>27.636363636363637</v>
      </c>
      <c r="L412" s="88"/>
      <c r="M412" s="2"/>
    </row>
    <row r="413" spans="1:13" ht="22.5" customHeight="1">
      <c r="A413" s="2" t="s">
        <v>1220</v>
      </c>
      <c r="B413" s="2" t="s">
        <v>1219</v>
      </c>
      <c r="D413" s="13" t="s">
        <v>1221</v>
      </c>
      <c r="E413" s="14">
        <v>760.55200000000002</v>
      </c>
      <c r="F413" s="104">
        <f t="shared" si="31"/>
        <v>27.886906666666668</v>
      </c>
      <c r="G413" s="104">
        <f t="shared" si="32"/>
        <v>27.074666666666669</v>
      </c>
      <c r="H413" s="104">
        <f t="shared" si="33"/>
        <v>26.558958730158732</v>
      </c>
      <c r="I413" s="104">
        <f t="shared" si="30"/>
        <v>30.422080000000001</v>
      </c>
      <c r="J413" s="133"/>
      <c r="K413" s="110">
        <f t="shared" si="34"/>
        <v>27.656436363636367</v>
      </c>
      <c r="L413" s="88"/>
      <c r="M413" s="2"/>
    </row>
    <row r="414" spans="1:13" ht="22.5" customHeight="1">
      <c r="A414" s="2" t="s">
        <v>1223</v>
      </c>
      <c r="B414" s="2" t="s">
        <v>1222</v>
      </c>
      <c r="D414" s="13" t="s">
        <v>1224</v>
      </c>
      <c r="E414" s="14">
        <v>820</v>
      </c>
      <c r="F414" s="104">
        <f t="shared" si="31"/>
        <v>30.06666666666667</v>
      </c>
      <c r="G414" s="104">
        <f t="shared" si="32"/>
        <v>29.190938511326863</v>
      </c>
      <c r="H414" s="104">
        <f t="shared" si="33"/>
        <v>28.634920634920636</v>
      </c>
      <c r="I414" s="104">
        <f t="shared" si="30"/>
        <v>32.799999999999997</v>
      </c>
      <c r="J414" s="133"/>
      <c r="K414" s="110">
        <f t="shared" si="34"/>
        <v>29.818181818181817</v>
      </c>
      <c r="L414" s="88"/>
      <c r="M414" s="2"/>
    </row>
    <row r="415" spans="1:13" ht="22.5" customHeight="1">
      <c r="A415" s="2" t="s">
        <v>1226</v>
      </c>
      <c r="B415" s="2" t="s">
        <v>1225</v>
      </c>
      <c r="D415" s="13" t="s">
        <v>1227</v>
      </c>
      <c r="E415" s="14">
        <v>851.60400000000004</v>
      </c>
      <c r="F415" s="104">
        <f t="shared" si="31"/>
        <v>31.225480000000005</v>
      </c>
      <c r="G415" s="104">
        <f t="shared" si="32"/>
        <v>30.316000000000006</v>
      </c>
      <c r="H415" s="104">
        <f t="shared" si="33"/>
        <v>29.738552380952388</v>
      </c>
      <c r="I415" s="104">
        <f t="shared" si="30"/>
        <v>34.064160000000001</v>
      </c>
      <c r="J415" s="133"/>
      <c r="K415" s="110">
        <f t="shared" si="34"/>
        <v>30.967418181818182</v>
      </c>
      <c r="L415" s="88"/>
      <c r="M415" s="2"/>
    </row>
    <row r="416" spans="1:13" ht="22.5" customHeight="1">
      <c r="A416" s="2" t="s">
        <v>1229</v>
      </c>
      <c r="B416" s="2" t="s">
        <v>1228</v>
      </c>
      <c r="D416" s="13" t="s">
        <v>1230</v>
      </c>
      <c r="E416" s="14">
        <v>739.12800000000004</v>
      </c>
      <c r="F416" s="104">
        <f t="shared" si="31"/>
        <v>27.101360000000003</v>
      </c>
      <c r="G416" s="104">
        <f t="shared" si="32"/>
        <v>26.312000000000005</v>
      </c>
      <c r="H416" s="104">
        <f t="shared" si="33"/>
        <v>25.810819047619052</v>
      </c>
      <c r="I416" s="104">
        <f t="shared" si="30"/>
        <v>29.56512</v>
      </c>
      <c r="J416" s="133"/>
      <c r="K416" s="110">
        <f t="shared" si="34"/>
        <v>26.877381818181821</v>
      </c>
      <c r="L416" s="88"/>
      <c r="M416" s="2"/>
    </row>
    <row r="417" spans="1:14" ht="22.5" customHeight="1">
      <c r="A417" s="2" t="s">
        <v>1232</v>
      </c>
      <c r="B417" s="2" t="s">
        <v>1231</v>
      </c>
      <c r="D417" s="13" t="s">
        <v>1233</v>
      </c>
      <c r="E417" s="14">
        <v>674.85599999999999</v>
      </c>
      <c r="F417" s="104">
        <f t="shared" si="31"/>
        <v>24.744720000000004</v>
      </c>
      <c r="G417" s="104">
        <f t="shared" si="32"/>
        <v>24.024000000000008</v>
      </c>
      <c r="H417" s="104">
        <f t="shared" si="33"/>
        <v>23.566400000000005</v>
      </c>
      <c r="I417" s="104">
        <f t="shared" si="30"/>
        <v>26.994239999999998</v>
      </c>
      <c r="J417" s="133"/>
      <c r="K417" s="110">
        <f t="shared" si="34"/>
        <v>24.540218181818179</v>
      </c>
      <c r="L417" s="88"/>
      <c r="M417" s="2"/>
    </row>
    <row r="418" spans="1:14" ht="22.5" customHeight="1">
      <c r="A418" s="2" t="s">
        <v>1235</v>
      </c>
      <c r="B418" s="2" t="s">
        <v>1234</v>
      </c>
      <c r="D418" s="13" t="s">
        <v>1236</v>
      </c>
      <c r="E418" s="14">
        <v>567.98237600000004</v>
      </c>
      <c r="F418" s="104">
        <f t="shared" si="31"/>
        <v>20.826020453333339</v>
      </c>
      <c r="G418" s="104">
        <f t="shared" si="32"/>
        <v>20.219437333333339</v>
      </c>
      <c r="H418" s="104">
        <f t="shared" si="33"/>
        <v>19.834305193650799</v>
      </c>
      <c r="I418" s="104">
        <f t="shared" si="30"/>
        <v>22.719295040000002</v>
      </c>
      <c r="J418" s="133"/>
      <c r="K418" s="110">
        <f t="shared" si="34"/>
        <v>20.653904581818182</v>
      </c>
      <c r="L418" s="88"/>
      <c r="M418" s="2"/>
    </row>
    <row r="419" spans="1:14" ht="22.5" customHeight="1">
      <c r="A419" s="2" t="s">
        <v>1238</v>
      </c>
      <c r="B419" s="2" t="s">
        <v>1237</v>
      </c>
      <c r="D419" s="13" t="s">
        <v>1239</v>
      </c>
      <c r="E419" s="14">
        <v>670</v>
      </c>
      <c r="F419" s="104">
        <f t="shared" si="31"/>
        <v>24.56666666666667</v>
      </c>
      <c r="G419" s="104">
        <f t="shared" si="32"/>
        <v>23.851132686084146</v>
      </c>
      <c r="H419" s="104">
        <f t="shared" si="33"/>
        <v>23.396825396825399</v>
      </c>
      <c r="I419" s="104">
        <f t="shared" si="30"/>
        <v>26.8</v>
      </c>
      <c r="J419" s="133"/>
      <c r="K419" s="110">
        <f t="shared" si="34"/>
        <v>24.363636363636363</v>
      </c>
      <c r="L419" s="88"/>
      <c r="M419" s="2"/>
    </row>
    <row r="420" spans="1:14" ht="22.5" customHeight="1">
      <c r="A420" s="2" t="s">
        <v>1241</v>
      </c>
      <c r="B420" s="2" t="s">
        <v>1240</v>
      </c>
      <c r="D420" s="13" t="s">
        <v>1242</v>
      </c>
      <c r="E420" s="14">
        <v>596.65840000000003</v>
      </c>
      <c r="F420" s="104">
        <f t="shared" si="31"/>
        <v>21.877474666666668</v>
      </c>
      <c r="G420" s="104">
        <f t="shared" si="32"/>
        <v>21.240266666666667</v>
      </c>
      <c r="H420" s="104">
        <f t="shared" si="33"/>
        <v>20.835690158730159</v>
      </c>
      <c r="I420" s="104">
        <f t="shared" si="30"/>
        <v>23.866336</v>
      </c>
      <c r="J420" s="133"/>
      <c r="K420" s="110">
        <f t="shared" si="34"/>
        <v>21.696669090909094</v>
      </c>
      <c r="L420" s="88"/>
      <c r="M420" s="2"/>
    </row>
    <row r="421" spans="1:14" ht="22.5" customHeight="1">
      <c r="A421" s="2" t="s">
        <v>1244</v>
      </c>
      <c r="B421" s="2" t="s">
        <v>1243</v>
      </c>
      <c r="D421" s="13" t="s">
        <v>1245</v>
      </c>
      <c r="E421" s="14">
        <v>670</v>
      </c>
      <c r="F421" s="104">
        <f t="shared" si="31"/>
        <v>24.56666666666667</v>
      </c>
      <c r="G421" s="104">
        <f t="shared" si="32"/>
        <v>23.851132686084146</v>
      </c>
      <c r="H421" s="104">
        <f t="shared" si="33"/>
        <v>23.396825396825399</v>
      </c>
      <c r="I421" s="104">
        <f t="shared" si="30"/>
        <v>26.8</v>
      </c>
      <c r="J421" s="133"/>
      <c r="K421" s="110">
        <f t="shared" si="34"/>
        <v>24.363636363636363</v>
      </c>
      <c r="L421" s="88"/>
      <c r="M421" s="2"/>
    </row>
    <row r="422" spans="1:14" ht="22.5" customHeight="1">
      <c r="A422" s="2" t="s">
        <v>1247</v>
      </c>
      <c r="B422" s="2" t="s">
        <v>1246</v>
      </c>
      <c r="D422" s="13" t="s">
        <v>1248</v>
      </c>
      <c r="E422" s="14">
        <v>596.65840000000003</v>
      </c>
      <c r="F422" s="104">
        <f t="shared" si="31"/>
        <v>21.877474666666668</v>
      </c>
      <c r="G422" s="104">
        <f t="shared" si="32"/>
        <v>21.240266666666667</v>
      </c>
      <c r="H422" s="104">
        <f t="shared" si="33"/>
        <v>20.835690158730159</v>
      </c>
      <c r="I422" s="104">
        <f t="shared" si="30"/>
        <v>23.866336</v>
      </c>
      <c r="J422" s="133"/>
      <c r="K422" s="110">
        <f t="shared" si="34"/>
        <v>21.696669090909094</v>
      </c>
      <c r="L422" s="88"/>
      <c r="M422" s="2"/>
    </row>
    <row r="423" spans="1:14" ht="22.5" customHeight="1">
      <c r="A423" s="2" t="s">
        <v>1250</v>
      </c>
      <c r="B423" s="2" t="s">
        <v>1249</v>
      </c>
      <c r="D423" s="13" t="s">
        <v>1251</v>
      </c>
      <c r="E423" s="14">
        <v>630</v>
      </c>
      <c r="F423" s="104">
        <f t="shared" si="31"/>
        <v>23.1</v>
      </c>
      <c r="G423" s="104">
        <f t="shared" si="32"/>
        <v>22.427184466019419</v>
      </c>
      <c r="H423" s="104">
        <f t="shared" si="33"/>
        <v>22</v>
      </c>
      <c r="I423" s="104">
        <f t="shared" si="30"/>
        <v>25.2</v>
      </c>
      <c r="J423" s="133"/>
      <c r="K423" s="110">
        <f t="shared" si="34"/>
        <v>22.90909090909091</v>
      </c>
      <c r="L423" s="88"/>
      <c r="M423" s="2"/>
    </row>
    <row r="424" spans="1:14" ht="22.5" customHeight="1">
      <c r="A424" s="2" t="s">
        <v>1253</v>
      </c>
      <c r="B424" s="2" t="s">
        <v>1252</v>
      </c>
      <c r="D424" s="13" t="s">
        <v>1254</v>
      </c>
      <c r="E424" s="14">
        <v>632.00800000000004</v>
      </c>
      <c r="F424" s="104">
        <f t="shared" si="31"/>
        <v>23.173626666666671</v>
      </c>
      <c r="G424" s="104">
        <f t="shared" si="32"/>
        <v>22.498666666666669</v>
      </c>
      <c r="H424" s="104">
        <f t="shared" si="33"/>
        <v>22.070120634920638</v>
      </c>
      <c r="I424" s="104">
        <f t="shared" si="30"/>
        <v>25.280320000000003</v>
      </c>
      <c r="J424" s="133"/>
      <c r="K424" s="110">
        <f t="shared" si="34"/>
        <v>22.982109090909091</v>
      </c>
      <c r="L424" s="88"/>
      <c r="M424" s="2"/>
    </row>
    <row r="425" spans="1:14" ht="22.5" customHeight="1">
      <c r="A425" s="2" t="s">
        <v>1256</v>
      </c>
      <c r="B425" s="2" t="s">
        <v>1255</v>
      </c>
      <c r="D425" s="13" t="s">
        <v>1257</v>
      </c>
      <c r="E425" s="14">
        <v>664.14400000000001</v>
      </c>
      <c r="F425" s="104">
        <f t="shared" si="31"/>
        <v>24.35194666666667</v>
      </c>
      <c r="G425" s="104">
        <f t="shared" si="32"/>
        <v>23.64266666666667</v>
      </c>
      <c r="H425" s="104">
        <f t="shared" si="33"/>
        <v>23.192330158730165</v>
      </c>
      <c r="I425" s="104">
        <f t="shared" si="30"/>
        <v>26.565760000000001</v>
      </c>
      <c r="J425" s="133"/>
      <c r="K425" s="110">
        <f t="shared" si="34"/>
        <v>24.150690909090908</v>
      </c>
      <c r="L425" s="88"/>
      <c r="M425" s="2"/>
    </row>
    <row r="426" spans="1:14" ht="22.5" customHeight="1">
      <c r="A426" s="2" t="s">
        <v>1259</v>
      </c>
      <c r="B426" s="2" t="s">
        <v>1258</v>
      </c>
      <c r="D426" s="13" t="s">
        <v>1260</v>
      </c>
      <c r="E426" s="14">
        <v>740</v>
      </c>
      <c r="F426" s="104">
        <f t="shared" si="31"/>
        <v>27.133333333333336</v>
      </c>
      <c r="G426" s="104">
        <f t="shared" si="32"/>
        <v>26.343042071197413</v>
      </c>
      <c r="H426" s="104">
        <f t="shared" si="33"/>
        <v>25.841269841269842</v>
      </c>
      <c r="I426" s="104">
        <f t="shared" si="30"/>
        <v>29.6</v>
      </c>
      <c r="J426" s="133"/>
      <c r="K426" s="110">
        <f t="shared" si="34"/>
        <v>26.90909090909091</v>
      </c>
      <c r="L426" s="88"/>
      <c r="M426" s="2"/>
    </row>
    <row r="427" spans="1:14" ht="22.5" customHeight="1">
      <c r="A427" s="2" t="s">
        <v>1262</v>
      </c>
      <c r="B427" s="2" t="s">
        <v>1261</v>
      </c>
      <c r="D427" s="13" t="s">
        <v>1263</v>
      </c>
      <c r="E427" s="14">
        <v>525</v>
      </c>
      <c r="F427" s="104">
        <f t="shared" si="31"/>
        <v>19.25</v>
      </c>
      <c r="G427" s="104">
        <f t="shared" si="32"/>
        <v>18.689320388349515</v>
      </c>
      <c r="H427" s="104">
        <f t="shared" si="33"/>
        <v>18.333333333333332</v>
      </c>
      <c r="I427" s="104">
        <f t="shared" si="30"/>
        <v>21</v>
      </c>
      <c r="J427" s="133"/>
      <c r="K427" s="110">
        <f t="shared" si="34"/>
        <v>19.09090909090909</v>
      </c>
      <c r="L427" s="88"/>
      <c r="M427" s="2"/>
      <c r="N427" s="10" t="s">
        <v>8672</v>
      </c>
    </row>
    <row r="428" spans="1:14" ht="22.5" customHeight="1">
      <c r="A428" s="2" t="s">
        <v>1265</v>
      </c>
      <c r="B428" s="2" t="s">
        <v>1264</v>
      </c>
      <c r="D428" s="13" t="s">
        <v>1266</v>
      </c>
      <c r="E428" s="14">
        <v>596.65840000000003</v>
      </c>
      <c r="F428" s="104">
        <f t="shared" si="31"/>
        <v>21.877474666666668</v>
      </c>
      <c r="G428" s="104">
        <f t="shared" si="32"/>
        <v>21.240266666666667</v>
      </c>
      <c r="H428" s="104">
        <f t="shared" si="33"/>
        <v>20.835690158730159</v>
      </c>
      <c r="I428" s="104">
        <f t="shared" si="30"/>
        <v>23.866336</v>
      </c>
      <c r="J428" s="133"/>
      <c r="K428" s="110">
        <f t="shared" si="34"/>
        <v>21.696669090909094</v>
      </c>
      <c r="L428" s="88"/>
      <c r="M428" s="2"/>
    </row>
    <row r="429" spans="1:14" ht="22.5" customHeight="1">
      <c r="A429" s="2" t="s">
        <v>1268</v>
      </c>
      <c r="B429" s="2" t="s">
        <v>1267</v>
      </c>
      <c r="D429" s="13" t="s">
        <v>1269</v>
      </c>
      <c r="E429" s="14">
        <v>784.11840000000007</v>
      </c>
      <c r="F429" s="104">
        <f t="shared" si="31"/>
        <v>28.751008000000006</v>
      </c>
      <c r="G429" s="104">
        <f t="shared" si="32"/>
        <v>27.913600000000006</v>
      </c>
      <c r="H429" s="104">
        <f t="shared" si="33"/>
        <v>27.381912380952386</v>
      </c>
      <c r="I429" s="104">
        <f t="shared" si="30"/>
        <v>31.364736000000001</v>
      </c>
      <c r="J429" s="133"/>
      <c r="K429" s="110">
        <f t="shared" si="34"/>
        <v>28.513396363636364</v>
      </c>
      <c r="L429" s="88"/>
      <c r="M429" s="2"/>
    </row>
    <row r="430" spans="1:14" ht="22.5" customHeight="1">
      <c r="A430" s="2" t="s">
        <v>1271</v>
      </c>
      <c r="B430" s="2" t="s">
        <v>1270</v>
      </c>
      <c r="D430" s="13" t="s">
        <v>1272</v>
      </c>
      <c r="E430" s="14">
        <v>840</v>
      </c>
      <c r="F430" s="104">
        <f t="shared" si="31"/>
        <v>30.800000000000004</v>
      </c>
      <c r="G430" s="104">
        <f t="shared" si="32"/>
        <v>29.902912621359228</v>
      </c>
      <c r="H430" s="104">
        <f t="shared" si="33"/>
        <v>29.333333333333339</v>
      </c>
      <c r="I430" s="104">
        <f t="shared" si="30"/>
        <v>33.6</v>
      </c>
      <c r="J430" s="133"/>
      <c r="K430" s="110">
        <f t="shared" si="34"/>
        <v>30.545454545454547</v>
      </c>
      <c r="L430" s="88"/>
      <c r="M430" s="2"/>
    </row>
    <row r="431" spans="1:14" ht="22.5" customHeight="1">
      <c r="A431" s="2" t="s">
        <v>1274</v>
      </c>
      <c r="B431" s="2" t="s">
        <v>1273</v>
      </c>
      <c r="D431" s="13" t="s">
        <v>1275</v>
      </c>
      <c r="E431" s="14">
        <v>660</v>
      </c>
      <c r="F431" s="104">
        <f t="shared" si="31"/>
        <v>24.200000000000003</v>
      </c>
      <c r="G431" s="104">
        <f t="shared" si="32"/>
        <v>23.495145631067967</v>
      </c>
      <c r="H431" s="104">
        <f t="shared" si="33"/>
        <v>23.047619047619051</v>
      </c>
      <c r="I431" s="104">
        <f t="shared" si="30"/>
        <v>26.4</v>
      </c>
      <c r="J431" s="133"/>
      <c r="K431" s="110">
        <f t="shared" si="34"/>
        <v>24</v>
      </c>
      <c r="L431" s="88"/>
      <c r="M431" s="2"/>
    </row>
    <row r="432" spans="1:14" ht="22.5" customHeight="1">
      <c r="A432" s="2" t="s">
        <v>1277</v>
      </c>
      <c r="B432" s="2" t="s">
        <v>1276</v>
      </c>
      <c r="D432" s="13" t="s">
        <v>1278</v>
      </c>
      <c r="E432" s="14">
        <v>567.98237600000004</v>
      </c>
      <c r="F432" s="104">
        <f t="shared" si="31"/>
        <v>20.826020453333339</v>
      </c>
      <c r="G432" s="104">
        <f t="shared" si="32"/>
        <v>20.219437333333339</v>
      </c>
      <c r="H432" s="104">
        <f t="shared" si="33"/>
        <v>19.834305193650799</v>
      </c>
      <c r="I432" s="104">
        <f t="shared" si="30"/>
        <v>22.719295040000002</v>
      </c>
      <c r="J432" s="133"/>
      <c r="K432" s="110">
        <f t="shared" si="34"/>
        <v>20.653904581818182</v>
      </c>
      <c r="L432" s="88"/>
      <c r="M432" s="2"/>
    </row>
    <row r="433" spans="1:13" ht="22.5" customHeight="1">
      <c r="A433" s="2" t="s">
        <v>1280</v>
      </c>
      <c r="B433" s="2" t="s">
        <v>1279</v>
      </c>
      <c r="D433" s="13" t="s">
        <v>1281</v>
      </c>
      <c r="E433" s="14">
        <v>724.48469599999999</v>
      </c>
      <c r="F433" s="104">
        <f t="shared" si="31"/>
        <v>26.564438853333336</v>
      </c>
      <c r="G433" s="104">
        <f t="shared" si="32"/>
        <v>25.790717333333337</v>
      </c>
      <c r="H433" s="104">
        <f t="shared" si="33"/>
        <v>25.299465574603175</v>
      </c>
      <c r="I433" s="104">
        <f t="shared" si="30"/>
        <v>28.979387840000001</v>
      </c>
      <c r="J433" s="133"/>
      <c r="K433" s="110">
        <f t="shared" si="34"/>
        <v>26.344898036363638</v>
      </c>
      <c r="L433" s="88"/>
      <c r="M433" s="2"/>
    </row>
    <row r="434" spans="1:13" ht="22.5" customHeight="1">
      <c r="A434" s="2" t="s">
        <v>1283</v>
      </c>
      <c r="B434" s="2" t="s">
        <v>1282</v>
      </c>
      <c r="D434" s="13" t="s">
        <v>1284</v>
      </c>
      <c r="E434" s="14">
        <v>720</v>
      </c>
      <c r="F434" s="104">
        <f t="shared" si="31"/>
        <v>26.400000000000002</v>
      </c>
      <c r="G434" s="104">
        <f t="shared" si="32"/>
        <v>25.631067961165048</v>
      </c>
      <c r="H434" s="104">
        <f t="shared" si="33"/>
        <v>25.142857142857142</v>
      </c>
      <c r="I434" s="104">
        <f t="shared" si="30"/>
        <v>28.8</v>
      </c>
      <c r="J434" s="133"/>
      <c r="K434" s="110">
        <f t="shared" si="34"/>
        <v>26.181818181818183</v>
      </c>
      <c r="L434" s="88"/>
      <c r="M434" s="2"/>
    </row>
    <row r="435" spans="1:13" ht="22.5" customHeight="1">
      <c r="A435" s="2" t="s">
        <v>1286</v>
      </c>
      <c r="B435" s="2" t="s">
        <v>1285</v>
      </c>
      <c r="D435" s="13" t="s">
        <v>1287</v>
      </c>
      <c r="E435" s="14">
        <v>900</v>
      </c>
      <c r="F435" s="104">
        <f t="shared" si="31"/>
        <v>33.000000000000007</v>
      </c>
      <c r="G435" s="104">
        <f t="shared" si="32"/>
        <v>32.038834951456316</v>
      </c>
      <c r="H435" s="104">
        <f t="shared" si="33"/>
        <v>31.428571428571438</v>
      </c>
      <c r="I435" s="104">
        <f t="shared" si="30"/>
        <v>36</v>
      </c>
      <c r="J435" s="133"/>
      <c r="K435" s="110">
        <f t="shared" si="34"/>
        <v>32.727272727272727</v>
      </c>
      <c r="L435" s="88"/>
      <c r="M435" s="2"/>
    </row>
    <row r="436" spans="1:13" ht="22.5" customHeight="1">
      <c r="A436" s="2" t="s">
        <v>1289</v>
      </c>
      <c r="B436" s="2" t="s">
        <v>1288</v>
      </c>
      <c r="D436" s="13" t="s">
        <v>1290</v>
      </c>
      <c r="E436" s="14">
        <v>710</v>
      </c>
      <c r="F436" s="104">
        <f t="shared" si="31"/>
        <v>26.033333333333339</v>
      </c>
      <c r="G436" s="104">
        <f t="shared" si="32"/>
        <v>25.275080906148872</v>
      </c>
      <c r="H436" s="104">
        <f t="shared" si="33"/>
        <v>24.793650793650798</v>
      </c>
      <c r="I436" s="104">
        <f t="shared" si="30"/>
        <v>28.4</v>
      </c>
      <c r="J436" s="133"/>
      <c r="K436" s="110">
        <f t="shared" si="34"/>
        <v>25.818181818181817</v>
      </c>
      <c r="L436" s="88"/>
      <c r="M436" s="2"/>
    </row>
    <row r="437" spans="1:13" ht="22.5" customHeight="1">
      <c r="A437" s="2" t="s">
        <v>1292</v>
      </c>
      <c r="B437" s="2" t="s">
        <v>1291</v>
      </c>
      <c r="D437" s="13" t="s">
        <v>1293</v>
      </c>
      <c r="E437" s="14">
        <v>820</v>
      </c>
      <c r="F437" s="104">
        <f t="shared" si="31"/>
        <v>30.06666666666667</v>
      </c>
      <c r="G437" s="104">
        <f t="shared" si="32"/>
        <v>29.190938511326863</v>
      </c>
      <c r="H437" s="104">
        <f t="shared" si="33"/>
        <v>28.634920634920636</v>
      </c>
      <c r="I437" s="104">
        <f t="shared" si="30"/>
        <v>32.799999999999997</v>
      </c>
      <c r="J437" s="133"/>
      <c r="K437" s="110">
        <f t="shared" si="34"/>
        <v>29.818181818181817</v>
      </c>
      <c r="L437" s="88"/>
      <c r="M437" s="2"/>
    </row>
    <row r="438" spans="1:13" ht="22.5" customHeight="1">
      <c r="A438" s="2" t="s">
        <v>1295</v>
      </c>
      <c r="B438" s="2" t="s">
        <v>1294</v>
      </c>
      <c r="D438" s="13" t="s">
        <v>1296</v>
      </c>
      <c r="E438" s="14">
        <v>860</v>
      </c>
      <c r="F438" s="104">
        <f t="shared" si="31"/>
        <v>31.533333333333339</v>
      </c>
      <c r="G438" s="104">
        <f t="shared" si="32"/>
        <v>30.614886731391593</v>
      </c>
      <c r="H438" s="104">
        <f t="shared" si="33"/>
        <v>30.031746031746039</v>
      </c>
      <c r="I438" s="104">
        <f t="shared" si="30"/>
        <v>34.4</v>
      </c>
      <c r="J438" s="133"/>
      <c r="K438" s="110">
        <f t="shared" si="34"/>
        <v>31.272727272727273</v>
      </c>
      <c r="L438" s="88"/>
      <c r="M438" s="2"/>
    </row>
    <row r="439" spans="1:13" ht="22.5" customHeight="1">
      <c r="A439" s="2" t="s">
        <v>1298</v>
      </c>
      <c r="B439" s="2" t="s">
        <v>1297</v>
      </c>
      <c r="D439" s="13" t="s">
        <v>1299</v>
      </c>
      <c r="E439" s="14">
        <v>746.62639999999999</v>
      </c>
      <c r="F439" s="104">
        <f t="shared" si="31"/>
        <v>27.376301333333334</v>
      </c>
      <c r="G439" s="104">
        <f t="shared" si="32"/>
        <v>26.578933333333335</v>
      </c>
      <c r="H439" s="104">
        <f t="shared" si="33"/>
        <v>26.072667936507937</v>
      </c>
      <c r="I439" s="104">
        <f t="shared" si="30"/>
        <v>29.865055999999999</v>
      </c>
      <c r="J439" s="133"/>
      <c r="K439" s="110">
        <f t="shared" si="34"/>
        <v>27.150050909090908</v>
      </c>
      <c r="L439" s="88"/>
      <c r="M439" s="2"/>
    </row>
    <row r="440" spans="1:13" ht="22.5" customHeight="1">
      <c r="A440" s="2" t="s">
        <v>1301</v>
      </c>
      <c r="B440" s="2" t="s">
        <v>1300</v>
      </c>
      <c r="D440" s="13" t="s">
        <v>1302</v>
      </c>
      <c r="E440" s="14">
        <v>781.976</v>
      </c>
      <c r="F440" s="104">
        <f t="shared" si="31"/>
        <v>28.672453333333337</v>
      </c>
      <c r="G440" s="104">
        <f t="shared" si="32"/>
        <v>27.837333333333337</v>
      </c>
      <c r="H440" s="104">
        <f t="shared" si="33"/>
        <v>27.307098412698416</v>
      </c>
      <c r="I440" s="104">
        <f t="shared" si="30"/>
        <v>31.279039999999998</v>
      </c>
      <c r="J440" s="133"/>
      <c r="K440" s="110">
        <f t="shared" si="34"/>
        <v>28.435490909090905</v>
      </c>
      <c r="L440" s="88"/>
      <c r="M440" s="2"/>
    </row>
    <row r="441" spans="1:13" ht="22.5" customHeight="1">
      <c r="A441" s="2" t="s">
        <v>1304</v>
      </c>
      <c r="B441" s="2" t="s">
        <v>1303</v>
      </c>
      <c r="D441" s="13" t="s">
        <v>1305</v>
      </c>
      <c r="E441" s="14">
        <v>630</v>
      </c>
      <c r="F441" s="104">
        <f t="shared" si="31"/>
        <v>23.1</v>
      </c>
      <c r="G441" s="104">
        <f t="shared" si="32"/>
        <v>22.427184466019419</v>
      </c>
      <c r="H441" s="104">
        <f t="shared" si="33"/>
        <v>22</v>
      </c>
      <c r="I441" s="104">
        <f t="shared" si="30"/>
        <v>25.2</v>
      </c>
      <c r="J441" s="133"/>
      <c r="K441" s="110">
        <f t="shared" si="34"/>
        <v>22.90909090909091</v>
      </c>
      <c r="L441" s="88"/>
      <c r="M441" s="2"/>
    </row>
    <row r="442" spans="1:13" ht="22.5" customHeight="1">
      <c r="A442" s="2" t="s">
        <v>1307</v>
      </c>
      <c r="B442" s="2" t="s">
        <v>1306</v>
      </c>
      <c r="D442" s="13" t="s">
        <v>1308</v>
      </c>
      <c r="E442" s="14">
        <v>724.48469599999999</v>
      </c>
      <c r="F442" s="104">
        <f t="shared" si="31"/>
        <v>26.564438853333336</v>
      </c>
      <c r="G442" s="104">
        <f t="shared" si="32"/>
        <v>25.790717333333337</v>
      </c>
      <c r="H442" s="104">
        <f t="shared" si="33"/>
        <v>25.299465574603175</v>
      </c>
      <c r="I442" s="104">
        <f t="shared" si="30"/>
        <v>28.979387840000001</v>
      </c>
      <c r="J442" s="133"/>
      <c r="K442" s="110">
        <f t="shared" si="34"/>
        <v>26.344898036363638</v>
      </c>
      <c r="L442" s="88"/>
      <c r="M442" s="2"/>
    </row>
    <row r="443" spans="1:13" ht="22.5" customHeight="1">
      <c r="A443" s="2" t="s">
        <v>1310</v>
      </c>
      <c r="B443" s="2" t="s">
        <v>1309</v>
      </c>
      <c r="D443" s="13" t="s">
        <v>1311</v>
      </c>
      <c r="E443" s="14">
        <v>724.48469599999999</v>
      </c>
      <c r="F443" s="104">
        <f t="shared" si="31"/>
        <v>26.564438853333336</v>
      </c>
      <c r="G443" s="104">
        <f t="shared" si="32"/>
        <v>25.790717333333337</v>
      </c>
      <c r="H443" s="104">
        <f t="shared" si="33"/>
        <v>25.299465574603175</v>
      </c>
      <c r="I443" s="104">
        <f t="shared" si="30"/>
        <v>28.979387840000001</v>
      </c>
      <c r="J443" s="133"/>
      <c r="K443" s="110">
        <f t="shared" si="34"/>
        <v>26.344898036363638</v>
      </c>
      <c r="L443" s="88"/>
      <c r="M443" s="2"/>
    </row>
    <row r="444" spans="1:13" ht="22.5" customHeight="1">
      <c r="A444" s="2" t="s">
        <v>1313</v>
      </c>
      <c r="B444" s="2" t="s">
        <v>1312</v>
      </c>
      <c r="D444" s="13" t="s">
        <v>1314</v>
      </c>
      <c r="E444" s="14">
        <v>653.43200000000002</v>
      </c>
      <c r="F444" s="104">
        <f t="shared" si="31"/>
        <v>23.959173333333336</v>
      </c>
      <c r="G444" s="104">
        <f t="shared" si="32"/>
        <v>23.261333333333337</v>
      </c>
      <c r="H444" s="104">
        <f t="shared" si="33"/>
        <v>22.818260317460322</v>
      </c>
      <c r="I444" s="104">
        <f t="shared" si="30"/>
        <v>26.137279999999997</v>
      </c>
      <c r="J444" s="133"/>
      <c r="K444" s="110">
        <f t="shared" si="34"/>
        <v>23.761163636363634</v>
      </c>
      <c r="L444" s="88"/>
      <c r="M444" s="2"/>
    </row>
    <row r="445" spans="1:13" ht="22.5" customHeight="1">
      <c r="A445" s="2" t="s">
        <v>1316</v>
      </c>
      <c r="B445" s="2" t="s">
        <v>1315</v>
      </c>
      <c r="D445" s="13" t="s">
        <v>1317</v>
      </c>
      <c r="E445" s="14">
        <v>830</v>
      </c>
      <c r="F445" s="104">
        <f t="shared" si="31"/>
        <v>30.433333333333337</v>
      </c>
      <c r="G445" s="104">
        <f t="shared" si="32"/>
        <v>29.546925566343049</v>
      </c>
      <c r="H445" s="104">
        <f t="shared" si="33"/>
        <v>28.984126984126991</v>
      </c>
      <c r="I445" s="104">
        <f t="shared" si="30"/>
        <v>33.200000000000003</v>
      </c>
      <c r="J445" s="133"/>
      <c r="K445" s="110">
        <f t="shared" si="34"/>
        <v>30.181818181818183</v>
      </c>
      <c r="L445" s="88"/>
      <c r="M445" s="2"/>
    </row>
    <row r="446" spans="1:13" ht="22.5" customHeight="1">
      <c r="A446" s="2" t="s">
        <v>1319</v>
      </c>
      <c r="B446" s="2" t="s">
        <v>1318</v>
      </c>
      <c r="D446" s="13" t="s">
        <v>1320</v>
      </c>
      <c r="E446" s="14">
        <v>653.43200000000002</v>
      </c>
      <c r="F446" s="104">
        <f t="shared" si="31"/>
        <v>23.959173333333336</v>
      </c>
      <c r="G446" s="104">
        <f t="shared" si="32"/>
        <v>23.261333333333337</v>
      </c>
      <c r="H446" s="104">
        <f t="shared" si="33"/>
        <v>22.818260317460322</v>
      </c>
      <c r="I446" s="104">
        <f t="shared" si="30"/>
        <v>26.137279999999997</v>
      </c>
      <c r="J446" s="133"/>
      <c r="K446" s="110">
        <f t="shared" si="34"/>
        <v>23.761163636363634</v>
      </c>
      <c r="L446" s="88"/>
      <c r="M446" s="2"/>
    </row>
    <row r="447" spans="1:13" ht="22.5" customHeight="1">
      <c r="A447" s="2" t="s">
        <v>1322</v>
      </c>
      <c r="B447" s="2" t="s">
        <v>1321</v>
      </c>
      <c r="D447" s="13" t="s">
        <v>1323</v>
      </c>
      <c r="E447" s="14">
        <v>680</v>
      </c>
      <c r="F447" s="104">
        <f t="shared" si="31"/>
        <v>24.933333333333337</v>
      </c>
      <c r="G447" s="104">
        <f t="shared" si="32"/>
        <v>24.207119741100328</v>
      </c>
      <c r="H447" s="104">
        <f t="shared" si="33"/>
        <v>23.74603174603175</v>
      </c>
      <c r="I447" s="104">
        <f t="shared" si="30"/>
        <v>27.2</v>
      </c>
      <c r="J447" s="133"/>
      <c r="K447" s="110">
        <f t="shared" si="34"/>
        <v>24.727272727272727</v>
      </c>
      <c r="L447" s="88"/>
      <c r="M447" s="2"/>
    </row>
    <row r="448" spans="1:13" ht="22.5" customHeight="1">
      <c r="A448" s="2" t="s">
        <v>1325</v>
      </c>
      <c r="B448" s="2" t="s">
        <v>1324</v>
      </c>
      <c r="D448" s="13" t="s">
        <v>1326</v>
      </c>
      <c r="E448" s="14">
        <v>621.29599999999994</v>
      </c>
      <c r="F448" s="104">
        <f t="shared" si="31"/>
        <v>22.780853333333333</v>
      </c>
      <c r="G448" s="104">
        <f t="shared" si="32"/>
        <v>22.117333333333335</v>
      </c>
      <c r="H448" s="104">
        <f t="shared" si="33"/>
        <v>21.696050793650794</v>
      </c>
      <c r="I448" s="104">
        <f t="shared" si="30"/>
        <v>24.851839999999996</v>
      </c>
      <c r="J448" s="133"/>
      <c r="K448" s="110">
        <f t="shared" si="34"/>
        <v>22.592581818181817</v>
      </c>
      <c r="L448" s="88"/>
      <c r="M448" s="2"/>
    </row>
    <row r="449" spans="1:13" ht="22.5" customHeight="1">
      <c r="A449" s="2" t="s">
        <v>1328</v>
      </c>
      <c r="B449" s="2" t="s">
        <v>1327</v>
      </c>
      <c r="D449" s="13" t="s">
        <v>1329</v>
      </c>
      <c r="E449" s="14">
        <v>724.48469599999999</v>
      </c>
      <c r="F449" s="104">
        <f t="shared" si="31"/>
        <v>26.564438853333336</v>
      </c>
      <c r="G449" s="104">
        <f t="shared" si="32"/>
        <v>25.790717333333337</v>
      </c>
      <c r="H449" s="104">
        <f t="shared" si="33"/>
        <v>25.299465574603175</v>
      </c>
      <c r="I449" s="104">
        <f t="shared" si="30"/>
        <v>28.979387840000001</v>
      </c>
      <c r="J449" s="133"/>
      <c r="K449" s="110">
        <f t="shared" si="34"/>
        <v>26.344898036363638</v>
      </c>
      <c r="L449" s="88"/>
      <c r="M449" s="2"/>
    </row>
    <row r="450" spans="1:13" ht="22.5" customHeight="1">
      <c r="A450" s="2" t="s">
        <v>1331</v>
      </c>
      <c r="B450" s="2" t="s">
        <v>1330</v>
      </c>
      <c r="D450" s="13" t="s">
        <v>1332</v>
      </c>
      <c r="E450" s="14">
        <v>536.6712</v>
      </c>
      <c r="F450" s="104">
        <f t="shared" si="31"/>
        <v>19.677944000000004</v>
      </c>
      <c r="G450" s="104">
        <f t="shared" si="32"/>
        <v>19.104800000000004</v>
      </c>
      <c r="H450" s="104">
        <f t="shared" si="33"/>
        <v>18.740899047619052</v>
      </c>
      <c r="I450" s="104">
        <f t="shared" ref="I450:I513" si="35">+(E450*1.2/30)</f>
        <v>21.466848000000002</v>
      </c>
      <c r="J450" s="133"/>
      <c r="K450" s="110">
        <f t="shared" si="34"/>
        <v>19.515316363636366</v>
      </c>
      <c r="L450" s="88"/>
      <c r="M450" s="2"/>
    </row>
    <row r="451" spans="1:13" ht="22.5" customHeight="1">
      <c r="A451" s="2" t="s">
        <v>1334</v>
      </c>
      <c r="B451" s="2" t="s">
        <v>1333</v>
      </c>
      <c r="D451" s="13" t="s">
        <v>1335</v>
      </c>
      <c r="E451" s="14">
        <v>514.17600000000004</v>
      </c>
      <c r="F451" s="104">
        <f t="shared" ref="F451:F514" si="36">+(E451*1.1/30)</f>
        <v>18.853120000000004</v>
      </c>
      <c r="G451" s="104">
        <f t="shared" ref="G451:G514" si="37">+(F451*100/103)</f>
        <v>18.304000000000002</v>
      </c>
      <c r="H451" s="104">
        <f t="shared" ref="H451:H514" si="38">+(F451*100/105)</f>
        <v>17.955352380952384</v>
      </c>
      <c r="I451" s="104">
        <f t="shared" si="35"/>
        <v>20.567040000000002</v>
      </c>
      <c r="J451" s="133"/>
      <c r="K451" s="110">
        <f t="shared" ref="K451:K514" si="39">+(E451*1.2/33)</f>
        <v>18.697309090909091</v>
      </c>
      <c r="L451" s="88"/>
      <c r="M451" s="2"/>
    </row>
    <row r="452" spans="1:13" ht="22.5" customHeight="1">
      <c r="A452" s="2" t="s">
        <v>1337</v>
      </c>
      <c r="B452" s="2" t="s">
        <v>1336</v>
      </c>
      <c r="D452" s="13" t="s">
        <v>1338</v>
      </c>
      <c r="E452" s="14">
        <v>503.464</v>
      </c>
      <c r="F452" s="104">
        <f t="shared" si="36"/>
        <v>18.46034666666667</v>
      </c>
      <c r="G452" s="104">
        <f t="shared" si="37"/>
        <v>17.922666666666668</v>
      </c>
      <c r="H452" s="104">
        <f t="shared" si="38"/>
        <v>17.58128253968254</v>
      </c>
      <c r="I452" s="104">
        <f t="shared" si="35"/>
        <v>20.138559999999998</v>
      </c>
      <c r="J452" s="133"/>
      <c r="K452" s="110">
        <f t="shared" si="39"/>
        <v>18.307781818181816</v>
      </c>
      <c r="L452" s="88"/>
      <c r="M452" s="2"/>
    </row>
    <row r="453" spans="1:13" ht="22.5" customHeight="1">
      <c r="A453" s="2" t="s">
        <v>1340</v>
      </c>
      <c r="B453" s="2" t="s">
        <v>1339</v>
      </c>
      <c r="D453" s="13" t="s">
        <v>1341</v>
      </c>
      <c r="E453" s="14">
        <v>656.64559999999994</v>
      </c>
      <c r="F453" s="104">
        <f t="shared" si="36"/>
        <v>24.077005333333332</v>
      </c>
      <c r="G453" s="104">
        <f t="shared" si="37"/>
        <v>23.375733333333333</v>
      </c>
      <c r="H453" s="104">
        <f t="shared" si="38"/>
        <v>22.93048126984127</v>
      </c>
      <c r="I453" s="104">
        <f t="shared" si="35"/>
        <v>26.265823999999999</v>
      </c>
      <c r="J453" s="133"/>
      <c r="K453" s="110">
        <f t="shared" si="39"/>
        <v>23.878021818181818</v>
      </c>
      <c r="L453" s="88"/>
      <c r="M453" s="2"/>
    </row>
    <row r="454" spans="1:13" ht="22.5" customHeight="1">
      <c r="A454" s="2" t="s">
        <v>1343</v>
      </c>
      <c r="B454" s="2" t="s">
        <v>1342</v>
      </c>
      <c r="D454" s="13" t="s">
        <v>1344</v>
      </c>
      <c r="E454" s="14">
        <v>950</v>
      </c>
      <c r="F454" s="104">
        <f t="shared" si="36"/>
        <v>34.833333333333336</v>
      </c>
      <c r="G454" s="104">
        <f t="shared" si="37"/>
        <v>33.818770226537218</v>
      </c>
      <c r="H454" s="104">
        <f t="shared" si="38"/>
        <v>33.174603174603178</v>
      </c>
      <c r="I454" s="104">
        <f t="shared" si="35"/>
        <v>38</v>
      </c>
      <c r="J454" s="133"/>
      <c r="K454" s="110">
        <f t="shared" si="39"/>
        <v>34.545454545454547</v>
      </c>
      <c r="L454" s="88"/>
      <c r="M454" s="2"/>
    </row>
    <row r="455" spans="1:13" ht="22.5" customHeight="1">
      <c r="A455" s="2" t="s">
        <v>1346</v>
      </c>
      <c r="B455" s="2" t="s">
        <v>1345</v>
      </c>
      <c r="D455" s="13" t="s">
        <v>1347</v>
      </c>
      <c r="E455" s="14">
        <v>940</v>
      </c>
      <c r="F455" s="104">
        <f t="shared" si="36"/>
        <v>34.466666666666669</v>
      </c>
      <c r="G455" s="104">
        <f t="shared" si="37"/>
        <v>33.462783171521039</v>
      </c>
      <c r="H455" s="104">
        <f t="shared" si="38"/>
        <v>32.82539682539683</v>
      </c>
      <c r="I455" s="104">
        <f t="shared" si="35"/>
        <v>37.6</v>
      </c>
      <c r="J455" s="133"/>
      <c r="K455" s="110">
        <f t="shared" si="39"/>
        <v>34.18181818181818</v>
      </c>
      <c r="L455" s="88"/>
      <c r="M455" s="2"/>
    </row>
    <row r="456" spans="1:13" ht="22.5" customHeight="1">
      <c r="A456" s="2" t="s">
        <v>1349</v>
      </c>
      <c r="B456" s="2" t="s">
        <v>1348</v>
      </c>
      <c r="D456" s="13" t="s">
        <v>1350</v>
      </c>
      <c r="E456" s="14">
        <v>760</v>
      </c>
      <c r="F456" s="104">
        <f t="shared" si="36"/>
        <v>27.866666666666671</v>
      </c>
      <c r="G456" s="104">
        <f t="shared" si="37"/>
        <v>27.055016181229778</v>
      </c>
      <c r="H456" s="104">
        <f t="shared" si="38"/>
        <v>26.539682539682541</v>
      </c>
      <c r="I456" s="104">
        <f t="shared" si="35"/>
        <v>30.4</v>
      </c>
      <c r="J456" s="133"/>
      <c r="K456" s="110">
        <f t="shared" si="39"/>
        <v>27.636363636363637</v>
      </c>
      <c r="L456" s="88"/>
      <c r="M456" s="2"/>
    </row>
    <row r="457" spans="1:13" ht="22.5" customHeight="1">
      <c r="A457" s="2" t="s">
        <v>1352</v>
      </c>
      <c r="B457" s="2" t="s">
        <v>1351</v>
      </c>
      <c r="D457" s="13" t="s">
        <v>1353</v>
      </c>
      <c r="E457" s="14">
        <v>720</v>
      </c>
      <c r="F457" s="104">
        <f t="shared" si="36"/>
        <v>26.400000000000002</v>
      </c>
      <c r="G457" s="104">
        <f t="shared" si="37"/>
        <v>25.631067961165048</v>
      </c>
      <c r="H457" s="104">
        <f t="shared" si="38"/>
        <v>25.142857142857142</v>
      </c>
      <c r="I457" s="104">
        <f t="shared" si="35"/>
        <v>28.8</v>
      </c>
      <c r="J457" s="133"/>
      <c r="K457" s="110">
        <f t="shared" si="39"/>
        <v>26.181818181818183</v>
      </c>
      <c r="L457" s="88"/>
      <c r="M457" s="2"/>
    </row>
    <row r="458" spans="1:13" ht="22.5" customHeight="1">
      <c r="A458" s="2" t="s">
        <v>1355</v>
      </c>
      <c r="B458" s="2" t="s">
        <v>1354</v>
      </c>
      <c r="D458" s="13" t="s">
        <v>1356</v>
      </c>
      <c r="E458" s="14">
        <v>800</v>
      </c>
      <c r="F458" s="104">
        <f t="shared" si="36"/>
        <v>29.333333333333336</v>
      </c>
      <c r="G458" s="104">
        <f t="shared" si="37"/>
        <v>28.478964401294501</v>
      </c>
      <c r="H458" s="104">
        <f t="shared" si="38"/>
        <v>27.936507936507937</v>
      </c>
      <c r="I458" s="104">
        <f t="shared" si="35"/>
        <v>32</v>
      </c>
      <c r="J458" s="133"/>
      <c r="K458" s="110">
        <f t="shared" si="39"/>
        <v>29.09090909090909</v>
      </c>
      <c r="L458" s="88"/>
      <c r="M458" s="2"/>
    </row>
    <row r="459" spans="1:13" ht="22.5" customHeight="1">
      <c r="A459" s="2" t="s">
        <v>1358</v>
      </c>
      <c r="B459" s="2" t="s">
        <v>1357</v>
      </c>
      <c r="D459" s="13" t="s">
        <v>1359</v>
      </c>
      <c r="E459" s="14">
        <v>824.82400000000007</v>
      </c>
      <c r="F459" s="104">
        <f t="shared" si="36"/>
        <v>30.243546666666671</v>
      </c>
      <c r="G459" s="104">
        <f t="shared" si="37"/>
        <v>29.362666666666669</v>
      </c>
      <c r="H459" s="104">
        <f t="shared" si="38"/>
        <v>28.803377777777783</v>
      </c>
      <c r="I459" s="104">
        <f t="shared" si="35"/>
        <v>32.992960000000004</v>
      </c>
      <c r="J459" s="133"/>
      <c r="K459" s="110">
        <f t="shared" si="39"/>
        <v>29.993600000000001</v>
      </c>
      <c r="L459" s="88"/>
      <c r="M459" s="2"/>
    </row>
    <row r="460" spans="1:13" ht="22.5" customHeight="1">
      <c r="A460" s="2" t="s">
        <v>1361</v>
      </c>
      <c r="B460" s="2" t="s">
        <v>1360</v>
      </c>
      <c r="D460" s="13" t="s">
        <v>1362</v>
      </c>
      <c r="E460" s="14">
        <v>700</v>
      </c>
      <c r="F460" s="104">
        <f t="shared" si="36"/>
        <v>25.666666666666671</v>
      </c>
      <c r="G460" s="104">
        <f t="shared" si="37"/>
        <v>24.91909385113269</v>
      </c>
      <c r="H460" s="104">
        <f t="shared" si="38"/>
        <v>24.444444444444446</v>
      </c>
      <c r="I460" s="104">
        <f t="shared" si="35"/>
        <v>28</v>
      </c>
      <c r="J460" s="133"/>
      <c r="K460" s="110">
        <f t="shared" si="39"/>
        <v>25.454545454545453</v>
      </c>
      <c r="L460" s="88"/>
      <c r="M460" s="2"/>
    </row>
    <row r="461" spans="1:13" ht="22.5" customHeight="1">
      <c r="A461" s="2" t="s">
        <v>1364</v>
      </c>
      <c r="B461" s="2" t="s">
        <v>1363</v>
      </c>
      <c r="D461" s="13" t="s">
        <v>1365</v>
      </c>
      <c r="E461" s="14">
        <v>750</v>
      </c>
      <c r="F461" s="104">
        <f t="shared" si="36"/>
        <v>27.500000000000004</v>
      </c>
      <c r="G461" s="104">
        <f t="shared" si="37"/>
        <v>26.699029126213595</v>
      </c>
      <c r="H461" s="104">
        <f t="shared" si="38"/>
        <v>26.190476190476193</v>
      </c>
      <c r="I461" s="104">
        <f t="shared" si="35"/>
        <v>30</v>
      </c>
      <c r="J461" s="133"/>
      <c r="K461" s="110">
        <f t="shared" si="39"/>
        <v>27.272727272727273</v>
      </c>
      <c r="L461" s="88">
        <v>45048</v>
      </c>
      <c r="M461" s="2"/>
    </row>
    <row r="462" spans="1:13" ht="22.5" customHeight="1">
      <c r="A462" s="2" t="s">
        <v>1367</v>
      </c>
      <c r="B462" s="2" t="s">
        <v>1366</v>
      </c>
      <c r="D462" s="13" t="s">
        <v>1368</v>
      </c>
      <c r="E462" s="14">
        <v>792.6880000000001</v>
      </c>
      <c r="F462" s="104">
        <f t="shared" si="36"/>
        <v>29.065226666666671</v>
      </c>
      <c r="G462" s="104">
        <f t="shared" si="37"/>
        <v>28.218666666666671</v>
      </c>
      <c r="H462" s="104">
        <f t="shared" si="38"/>
        <v>27.681168253968259</v>
      </c>
      <c r="I462" s="104">
        <f t="shared" si="35"/>
        <v>31.707520000000002</v>
      </c>
      <c r="J462" s="133"/>
      <c r="K462" s="110">
        <f t="shared" si="39"/>
        <v>28.825018181818184</v>
      </c>
      <c r="L462" s="88"/>
      <c r="M462" s="2"/>
    </row>
    <row r="463" spans="1:13" ht="22.5" customHeight="1">
      <c r="A463" s="2" t="s">
        <v>1370</v>
      </c>
      <c r="B463" s="2" t="s">
        <v>1369</v>
      </c>
      <c r="D463" s="13" t="s">
        <v>1371</v>
      </c>
      <c r="E463" s="14">
        <v>728.41599999999994</v>
      </c>
      <c r="F463" s="104">
        <f t="shared" si="36"/>
        <v>26.708586666666669</v>
      </c>
      <c r="G463" s="104">
        <f t="shared" si="37"/>
        <v>25.930666666666671</v>
      </c>
      <c r="H463" s="104">
        <f t="shared" si="38"/>
        <v>25.436749206349209</v>
      </c>
      <c r="I463" s="104">
        <f t="shared" si="35"/>
        <v>29.136639999999996</v>
      </c>
      <c r="J463" s="133"/>
      <c r="K463" s="110">
        <f t="shared" si="39"/>
        <v>26.487854545454542</v>
      </c>
      <c r="L463" s="88"/>
      <c r="M463" s="2"/>
    </row>
    <row r="464" spans="1:13" ht="22.5" customHeight="1">
      <c r="A464" s="2" t="s">
        <v>1373</v>
      </c>
      <c r="B464" s="2" t="s">
        <v>1372</v>
      </c>
      <c r="D464" s="13" t="s">
        <v>1374</v>
      </c>
      <c r="E464" s="14">
        <v>567.73599999999999</v>
      </c>
      <c r="F464" s="104">
        <f t="shared" si="36"/>
        <v>20.816986666666669</v>
      </c>
      <c r="G464" s="104">
        <f t="shared" si="37"/>
        <v>20.210666666666668</v>
      </c>
      <c r="H464" s="104">
        <f t="shared" si="38"/>
        <v>19.825701587301587</v>
      </c>
      <c r="I464" s="104">
        <f t="shared" si="35"/>
        <v>22.709439999999997</v>
      </c>
      <c r="J464" s="133"/>
      <c r="K464" s="110">
        <f t="shared" si="39"/>
        <v>20.644945454545454</v>
      </c>
      <c r="L464" s="88"/>
      <c r="M464" s="2"/>
    </row>
    <row r="465" spans="1:13" ht="22.5" customHeight="1">
      <c r="A465" s="2" t="s">
        <v>1376</v>
      </c>
      <c r="B465" s="2" t="s">
        <v>1375</v>
      </c>
      <c r="D465" s="13" t="s">
        <v>1377</v>
      </c>
      <c r="E465" s="14">
        <v>690</v>
      </c>
      <c r="F465" s="104">
        <f t="shared" si="36"/>
        <v>25.300000000000004</v>
      </c>
      <c r="G465" s="104">
        <f t="shared" si="37"/>
        <v>24.563106796116511</v>
      </c>
      <c r="H465" s="104">
        <f t="shared" si="38"/>
        <v>24.095238095238098</v>
      </c>
      <c r="I465" s="104">
        <f t="shared" si="35"/>
        <v>27.6</v>
      </c>
      <c r="J465" s="133"/>
      <c r="K465" s="110">
        <f t="shared" si="39"/>
        <v>25.09090909090909</v>
      </c>
      <c r="L465" s="88"/>
      <c r="M465" s="2"/>
    </row>
    <row r="466" spans="1:13" ht="22.5" customHeight="1">
      <c r="A466" s="2" t="s">
        <v>1379</v>
      </c>
      <c r="B466" s="2" t="s">
        <v>1378</v>
      </c>
      <c r="D466" s="13" t="s">
        <v>1380</v>
      </c>
      <c r="E466" s="14">
        <v>524.88800000000003</v>
      </c>
      <c r="F466" s="104">
        <f t="shared" si="36"/>
        <v>19.245893333333338</v>
      </c>
      <c r="G466" s="104">
        <f t="shared" si="37"/>
        <v>18.68533333333334</v>
      </c>
      <c r="H466" s="104">
        <f t="shared" si="38"/>
        <v>18.329422222222227</v>
      </c>
      <c r="I466" s="104">
        <f t="shared" si="35"/>
        <v>20.995519999999999</v>
      </c>
      <c r="J466" s="133"/>
      <c r="K466" s="110">
        <f t="shared" si="39"/>
        <v>19.086836363636362</v>
      </c>
      <c r="L466" s="88"/>
      <c r="M466" s="2"/>
    </row>
    <row r="467" spans="1:13" ht="22.5" customHeight="1">
      <c r="A467" s="2" t="s">
        <v>1382</v>
      </c>
      <c r="B467" s="2" t="s">
        <v>1381</v>
      </c>
      <c r="D467" s="13" t="s">
        <v>1383</v>
      </c>
      <c r="E467" s="14">
        <v>811.41257600000006</v>
      </c>
      <c r="F467" s="104">
        <f t="shared" si="36"/>
        <v>29.751794453333339</v>
      </c>
      <c r="G467" s="104">
        <f t="shared" si="37"/>
        <v>28.88523733333334</v>
      </c>
      <c r="H467" s="104">
        <f t="shared" si="38"/>
        <v>28.335042336507943</v>
      </c>
      <c r="I467" s="104">
        <f t="shared" si="35"/>
        <v>32.456503040000001</v>
      </c>
      <c r="J467" s="133"/>
      <c r="K467" s="110">
        <f t="shared" si="39"/>
        <v>29.505911854545452</v>
      </c>
      <c r="L467" s="88"/>
      <c r="M467" s="2"/>
    </row>
    <row r="468" spans="1:13" ht="22.5" customHeight="1">
      <c r="A468" s="2" t="s">
        <v>1385</v>
      </c>
      <c r="B468" s="2" t="s">
        <v>1384</v>
      </c>
      <c r="D468" s="13" t="s">
        <v>1169</v>
      </c>
      <c r="E468" s="14">
        <v>700</v>
      </c>
      <c r="F468" s="104">
        <f t="shared" si="36"/>
        <v>25.666666666666671</v>
      </c>
      <c r="G468" s="104">
        <f t="shared" si="37"/>
        <v>24.91909385113269</v>
      </c>
      <c r="H468" s="104">
        <f t="shared" si="38"/>
        <v>24.444444444444446</v>
      </c>
      <c r="I468" s="104">
        <f t="shared" si="35"/>
        <v>28</v>
      </c>
      <c r="J468" s="133"/>
      <c r="K468" s="110">
        <f t="shared" si="39"/>
        <v>25.454545454545453</v>
      </c>
      <c r="L468" s="88"/>
      <c r="M468" s="2"/>
    </row>
    <row r="469" spans="1:13" ht="22.5" customHeight="1">
      <c r="A469" s="2" t="s">
        <v>1387</v>
      </c>
      <c r="B469" s="2" t="s">
        <v>1386</v>
      </c>
      <c r="D469" s="13" t="s">
        <v>1172</v>
      </c>
      <c r="E469" s="14">
        <v>811.41257600000006</v>
      </c>
      <c r="F469" s="104">
        <f t="shared" si="36"/>
        <v>29.751794453333339</v>
      </c>
      <c r="G469" s="104">
        <f t="shared" si="37"/>
        <v>28.88523733333334</v>
      </c>
      <c r="H469" s="104">
        <f t="shared" si="38"/>
        <v>28.335042336507943</v>
      </c>
      <c r="I469" s="104">
        <f t="shared" si="35"/>
        <v>32.456503040000001</v>
      </c>
      <c r="J469" s="133"/>
      <c r="K469" s="110">
        <f t="shared" si="39"/>
        <v>29.505911854545452</v>
      </c>
      <c r="L469" s="88"/>
      <c r="M469" s="2"/>
    </row>
    <row r="470" spans="1:13" ht="22.5" customHeight="1">
      <c r="A470" s="2" t="s">
        <v>1389</v>
      </c>
      <c r="B470" s="2" t="s">
        <v>1388</v>
      </c>
      <c r="D470" s="13" t="s">
        <v>1390</v>
      </c>
      <c r="E470" s="14">
        <v>514.17600000000004</v>
      </c>
      <c r="F470" s="104">
        <f t="shared" si="36"/>
        <v>18.853120000000004</v>
      </c>
      <c r="G470" s="104">
        <f t="shared" si="37"/>
        <v>18.304000000000002</v>
      </c>
      <c r="H470" s="104">
        <f t="shared" si="38"/>
        <v>17.955352380952384</v>
      </c>
      <c r="I470" s="104">
        <f t="shared" si="35"/>
        <v>20.567040000000002</v>
      </c>
      <c r="J470" s="133"/>
      <c r="K470" s="110">
        <f t="shared" si="39"/>
        <v>18.697309090909091</v>
      </c>
      <c r="L470" s="88"/>
      <c r="M470" s="2"/>
    </row>
    <row r="471" spans="1:13" ht="22.5" customHeight="1">
      <c r="A471" s="2" t="s">
        <v>1392</v>
      </c>
      <c r="B471" s="2" t="s">
        <v>1391</v>
      </c>
      <c r="D471" s="13" t="s">
        <v>1393</v>
      </c>
      <c r="E471" s="14">
        <v>724.48469599999999</v>
      </c>
      <c r="F471" s="104">
        <f t="shared" si="36"/>
        <v>26.564438853333336</v>
      </c>
      <c r="G471" s="104">
        <f t="shared" si="37"/>
        <v>25.790717333333337</v>
      </c>
      <c r="H471" s="104">
        <f t="shared" si="38"/>
        <v>25.299465574603175</v>
      </c>
      <c r="I471" s="104">
        <f t="shared" si="35"/>
        <v>28.979387840000001</v>
      </c>
      <c r="J471" s="133"/>
      <c r="K471" s="110">
        <f t="shared" si="39"/>
        <v>26.344898036363638</v>
      </c>
      <c r="L471" s="88"/>
      <c r="M471" s="2"/>
    </row>
    <row r="472" spans="1:13" ht="22.5" customHeight="1">
      <c r="A472" s="2" t="s">
        <v>1395</v>
      </c>
      <c r="B472" s="2" t="s">
        <v>1394</v>
      </c>
      <c r="D472" s="13" t="s">
        <v>1396</v>
      </c>
      <c r="E472" s="14">
        <v>710</v>
      </c>
      <c r="F472" s="104">
        <f t="shared" si="36"/>
        <v>26.033333333333339</v>
      </c>
      <c r="G472" s="104">
        <f t="shared" si="37"/>
        <v>25.275080906148872</v>
      </c>
      <c r="H472" s="104">
        <f t="shared" si="38"/>
        <v>24.793650793650798</v>
      </c>
      <c r="I472" s="104">
        <f t="shared" si="35"/>
        <v>28.4</v>
      </c>
      <c r="J472" s="133"/>
      <c r="K472" s="110">
        <f t="shared" si="39"/>
        <v>25.818181818181817</v>
      </c>
      <c r="L472" s="88"/>
      <c r="M472" s="2"/>
    </row>
    <row r="473" spans="1:13" ht="22.5" customHeight="1">
      <c r="A473" s="2" t="s">
        <v>1398</v>
      </c>
      <c r="B473" s="2" t="s">
        <v>1397</v>
      </c>
      <c r="D473" s="13" t="s">
        <v>1399</v>
      </c>
      <c r="E473" s="14">
        <v>823.08865600000001</v>
      </c>
      <c r="F473" s="104">
        <f t="shared" si="36"/>
        <v>30.17991738666667</v>
      </c>
      <c r="G473" s="104">
        <f t="shared" si="37"/>
        <v>29.300890666666671</v>
      </c>
      <c r="H473" s="104">
        <f t="shared" si="38"/>
        <v>28.742778463492066</v>
      </c>
      <c r="I473" s="104">
        <f t="shared" si="35"/>
        <v>32.92354624</v>
      </c>
      <c r="J473" s="133"/>
      <c r="K473" s="110">
        <f t="shared" si="39"/>
        <v>29.930496581818183</v>
      </c>
      <c r="L473" s="88"/>
      <c r="M473" s="2"/>
    </row>
    <row r="474" spans="1:13" ht="22.5" customHeight="1">
      <c r="A474" s="2" t="s">
        <v>1401</v>
      </c>
      <c r="B474" s="2" t="s">
        <v>1400</v>
      </c>
      <c r="D474" s="13" t="s">
        <v>1402</v>
      </c>
      <c r="E474" s="14">
        <v>870</v>
      </c>
      <c r="F474" s="104">
        <f t="shared" si="36"/>
        <v>31.900000000000002</v>
      </c>
      <c r="G474" s="104">
        <f t="shared" si="37"/>
        <v>30.970873786407768</v>
      </c>
      <c r="H474" s="104">
        <f t="shared" si="38"/>
        <v>30.38095238095238</v>
      </c>
      <c r="I474" s="104">
        <f t="shared" si="35"/>
        <v>34.799999999999997</v>
      </c>
      <c r="J474" s="133"/>
      <c r="K474" s="110">
        <f t="shared" si="39"/>
        <v>31.636363636363637</v>
      </c>
      <c r="L474" s="88"/>
      <c r="M474" s="2"/>
    </row>
    <row r="475" spans="1:13" ht="22.5" customHeight="1">
      <c r="A475" s="2" t="s">
        <v>1404</v>
      </c>
      <c r="B475" s="2" t="s">
        <v>1403</v>
      </c>
      <c r="D475" s="13" t="s">
        <v>1405</v>
      </c>
      <c r="E475" s="14">
        <v>870</v>
      </c>
      <c r="F475" s="104">
        <f t="shared" si="36"/>
        <v>31.900000000000002</v>
      </c>
      <c r="G475" s="104">
        <f t="shared" si="37"/>
        <v>30.970873786407768</v>
      </c>
      <c r="H475" s="104">
        <f t="shared" si="38"/>
        <v>30.38095238095238</v>
      </c>
      <c r="I475" s="104">
        <f t="shared" si="35"/>
        <v>34.799999999999997</v>
      </c>
      <c r="J475" s="133"/>
      <c r="K475" s="110">
        <f t="shared" si="39"/>
        <v>31.636363636363637</v>
      </c>
      <c r="L475" s="88"/>
      <c r="M475" s="2"/>
    </row>
    <row r="476" spans="1:13" ht="22.5" customHeight="1">
      <c r="A476" s="2" t="s">
        <v>1407</v>
      </c>
      <c r="B476" s="2" t="s">
        <v>1406</v>
      </c>
      <c r="D476" s="13" t="s">
        <v>1408</v>
      </c>
      <c r="E476" s="14">
        <v>730</v>
      </c>
      <c r="F476" s="104">
        <f t="shared" si="36"/>
        <v>26.766666666666669</v>
      </c>
      <c r="G476" s="104">
        <f t="shared" si="37"/>
        <v>25.987055016181234</v>
      </c>
      <c r="H476" s="104">
        <f t="shared" si="38"/>
        <v>25.492063492063494</v>
      </c>
      <c r="I476" s="104">
        <f t="shared" si="35"/>
        <v>29.2</v>
      </c>
      <c r="J476" s="133"/>
      <c r="K476" s="110">
        <f t="shared" si="39"/>
        <v>26.545454545454547</v>
      </c>
      <c r="L476" s="88"/>
      <c r="M476" s="2"/>
    </row>
    <row r="477" spans="1:13" ht="22.5" customHeight="1">
      <c r="A477" s="2" t="s">
        <v>1410</v>
      </c>
      <c r="B477" s="2" t="s">
        <v>1409</v>
      </c>
      <c r="D477" s="13" t="s">
        <v>1411</v>
      </c>
      <c r="E477" s="14">
        <v>642.72</v>
      </c>
      <c r="F477" s="104">
        <f t="shared" si="36"/>
        <v>23.566400000000002</v>
      </c>
      <c r="G477" s="104">
        <f t="shared" si="37"/>
        <v>22.880000000000003</v>
      </c>
      <c r="H477" s="104">
        <f t="shared" si="38"/>
        <v>22.444190476190478</v>
      </c>
      <c r="I477" s="104">
        <f t="shared" si="35"/>
        <v>25.7088</v>
      </c>
      <c r="J477" s="133"/>
      <c r="K477" s="110">
        <f t="shared" si="39"/>
        <v>23.371636363636362</v>
      </c>
      <c r="L477" s="88"/>
      <c r="M477" s="2"/>
    </row>
    <row r="478" spans="1:13" ht="22.5" customHeight="1">
      <c r="A478" s="2" t="s">
        <v>1413</v>
      </c>
      <c r="B478" s="2" t="s">
        <v>1412</v>
      </c>
      <c r="D478" s="13" t="s">
        <v>1414</v>
      </c>
      <c r="E478" s="14">
        <v>724.48469599999999</v>
      </c>
      <c r="F478" s="104">
        <f t="shared" si="36"/>
        <v>26.564438853333336</v>
      </c>
      <c r="G478" s="104">
        <f t="shared" si="37"/>
        <v>25.790717333333337</v>
      </c>
      <c r="H478" s="104">
        <f t="shared" si="38"/>
        <v>25.299465574603175</v>
      </c>
      <c r="I478" s="104">
        <f t="shared" si="35"/>
        <v>28.979387840000001</v>
      </c>
      <c r="J478" s="133"/>
      <c r="K478" s="110">
        <f t="shared" si="39"/>
        <v>26.344898036363638</v>
      </c>
      <c r="L478" s="88"/>
      <c r="M478" s="2"/>
    </row>
    <row r="479" spans="1:13" ht="22.5" customHeight="1">
      <c r="A479" s="2" t="s">
        <v>1416</v>
      </c>
      <c r="B479" s="2" t="s">
        <v>1415</v>
      </c>
      <c r="D479" s="13" t="s">
        <v>1417</v>
      </c>
      <c r="E479" s="14">
        <v>764.83680000000004</v>
      </c>
      <c r="F479" s="104">
        <f t="shared" si="36"/>
        <v>28.044016000000003</v>
      </c>
      <c r="G479" s="104">
        <f t="shared" si="37"/>
        <v>27.2272</v>
      </c>
      <c r="H479" s="104">
        <f t="shared" si="38"/>
        <v>26.708586666666669</v>
      </c>
      <c r="I479" s="104">
        <f t="shared" si="35"/>
        <v>30.593472000000002</v>
      </c>
      <c r="J479" s="133"/>
      <c r="K479" s="110">
        <f t="shared" si="39"/>
        <v>27.812247272727273</v>
      </c>
      <c r="L479" s="88"/>
      <c r="M479" s="2"/>
    </row>
    <row r="480" spans="1:13" ht="22.5" customHeight="1">
      <c r="A480" s="2" t="s">
        <v>1419</v>
      </c>
      <c r="B480" s="2" t="s">
        <v>1418</v>
      </c>
      <c r="D480" s="13" t="s">
        <v>1420</v>
      </c>
      <c r="E480" s="14">
        <v>641.64880000000005</v>
      </c>
      <c r="F480" s="104">
        <f t="shared" si="36"/>
        <v>23.527122666666671</v>
      </c>
      <c r="G480" s="104">
        <f t="shared" si="37"/>
        <v>22.841866666666668</v>
      </c>
      <c r="H480" s="104">
        <f t="shared" si="38"/>
        <v>22.406783492063493</v>
      </c>
      <c r="I480" s="104">
        <f t="shared" si="35"/>
        <v>25.665952000000001</v>
      </c>
      <c r="J480" s="133"/>
      <c r="K480" s="110">
        <f t="shared" si="39"/>
        <v>23.332683636363637</v>
      </c>
      <c r="L480" s="88"/>
      <c r="M480" s="2"/>
    </row>
    <row r="481" spans="1:13" ht="22.5" customHeight="1">
      <c r="A481" s="2" t="s">
        <v>1422</v>
      </c>
      <c r="B481" s="2" t="s">
        <v>1421</v>
      </c>
      <c r="D481" s="13" t="s">
        <v>1423</v>
      </c>
      <c r="E481" s="14">
        <v>674.85599999999999</v>
      </c>
      <c r="F481" s="104">
        <f t="shared" si="36"/>
        <v>24.744720000000004</v>
      </c>
      <c r="G481" s="104">
        <f t="shared" si="37"/>
        <v>24.024000000000008</v>
      </c>
      <c r="H481" s="104">
        <f t="shared" si="38"/>
        <v>23.566400000000005</v>
      </c>
      <c r="I481" s="104">
        <f t="shared" si="35"/>
        <v>26.994239999999998</v>
      </c>
      <c r="J481" s="133"/>
      <c r="K481" s="110">
        <f t="shared" si="39"/>
        <v>24.540218181818179</v>
      </c>
      <c r="L481" s="88"/>
      <c r="M481" s="2"/>
    </row>
    <row r="482" spans="1:13" ht="22.5" customHeight="1">
      <c r="A482" s="2" t="s">
        <v>1425</v>
      </c>
      <c r="B482" s="2" t="s">
        <v>1424</v>
      </c>
      <c r="D482" s="13" t="s">
        <v>1426</v>
      </c>
      <c r="E482" s="14">
        <v>790</v>
      </c>
      <c r="F482" s="104">
        <f t="shared" si="36"/>
        <v>28.966666666666672</v>
      </c>
      <c r="G482" s="104">
        <f t="shared" si="37"/>
        <v>28.122977346278326</v>
      </c>
      <c r="H482" s="104">
        <f t="shared" si="38"/>
        <v>27.587301587301596</v>
      </c>
      <c r="I482" s="104">
        <f t="shared" si="35"/>
        <v>31.6</v>
      </c>
      <c r="J482" s="133"/>
      <c r="K482" s="110">
        <f t="shared" si="39"/>
        <v>28.727272727272727</v>
      </c>
      <c r="L482" s="88"/>
      <c r="M482" s="2"/>
    </row>
    <row r="483" spans="1:13" ht="22.5" customHeight="1">
      <c r="A483" s="2" t="s">
        <v>1428</v>
      </c>
      <c r="B483" s="2" t="s">
        <v>1427</v>
      </c>
      <c r="D483" s="13" t="s">
        <v>1429</v>
      </c>
      <c r="E483" s="14">
        <v>726.27359999999999</v>
      </c>
      <c r="F483" s="104">
        <f t="shared" si="36"/>
        <v>26.630032000000003</v>
      </c>
      <c r="G483" s="104">
        <f t="shared" si="37"/>
        <v>25.854400000000005</v>
      </c>
      <c r="H483" s="104">
        <f t="shared" si="38"/>
        <v>25.361935238095242</v>
      </c>
      <c r="I483" s="104">
        <f t="shared" si="35"/>
        <v>29.050944000000001</v>
      </c>
      <c r="J483" s="133"/>
      <c r="K483" s="110">
        <f t="shared" si="39"/>
        <v>26.409949090909091</v>
      </c>
      <c r="L483" s="88"/>
      <c r="M483" s="2"/>
    </row>
    <row r="484" spans="1:13" ht="22.5" customHeight="1">
      <c r="A484" s="2" t="s">
        <v>1431</v>
      </c>
      <c r="B484" s="2" t="s">
        <v>1430</v>
      </c>
      <c r="D484" s="13" t="s">
        <v>1432</v>
      </c>
      <c r="E484" s="14">
        <v>750</v>
      </c>
      <c r="F484" s="104">
        <f t="shared" si="36"/>
        <v>27.500000000000004</v>
      </c>
      <c r="G484" s="104">
        <f t="shared" si="37"/>
        <v>26.699029126213595</v>
      </c>
      <c r="H484" s="104">
        <f t="shared" si="38"/>
        <v>26.190476190476193</v>
      </c>
      <c r="I484" s="104">
        <f t="shared" si="35"/>
        <v>30</v>
      </c>
      <c r="J484" s="133"/>
      <c r="K484" s="110">
        <f t="shared" si="39"/>
        <v>27.272727272727273</v>
      </c>
      <c r="L484" s="88"/>
      <c r="M484" s="2"/>
    </row>
    <row r="485" spans="1:13" ht="22.5" customHeight="1">
      <c r="A485" s="2" t="s">
        <v>1434</v>
      </c>
      <c r="B485" s="2" t="s">
        <v>1433</v>
      </c>
      <c r="D485" s="13" t="s">
        <v>1435</v>
      </c>
      <c r="E485" s="14">
        <v>760.55200000000002</v>
      </c>
      <c r="F485" s="104">
        <f t="shared" si="36"/>
        <v>27.886906666666668</v>
      </c>
      <c r="G485" s="104">
        <f t="shared" si="37"/>
        <v>27.074666666666669</v>
      </c>
      <c r="H485" s="104">
        <f t="shared" si="38"/>
        <v>26.558958730158732</v>
      </c>
      <c r="I485" s="104">
        <f t="shared" si="35"/>
        <v>30.422080000000001</v>
      </c>
      <c r="J485" s="133"/>
      <c r="K485" s="110">
        <f t="shared" si="39"/>
        <v>27.656436363636367</v>
      </c>
      <c r="L485" s="88"/>
      <c r="M485" s="2"/>
    </row>
    <row r="486" spans="1:13" ht="22.5" customHeight="1">
      <c r="A486" s="2" t="s">
        <v>1437</v>
      </c>
      <c r="B486" s="2" t="s">
        <v>1436</v>
      </c>
      <c r="D486" s="13" t="s">
        <v>1438</v>
      </c>
      <c r="E486" s="14">
        <v>670</v>
      </c>
      <c r="F486" s="104">
        <f t="shared" si="36"/>
        <v>24.56666666666667</v>
      </c>
      <c r="G486" s="104">
        <f t="shared" si="37"/>
        <v>23.851132686084146</v>
      </c>
      <c r="H486" s="104">
        <f t="shared" si="38"/>
        <v>23.396825396825399</v>
      </c>
      <c r="I486" s="104">
        <f t="shared" si="35"/>
        <v>26.8</v>
      </c>
      <c r="J486" s="133"/>
      <c r="K486" s="110">
        <f t="shared" si="39"/>
        <v>24.363636363636363</v>
      </c>
      <c r="L486" s="88"/>
      <c r="M486" s="2"/>
    </row>
    <row r="487" spans="1:13" ht="22.5" customHeight="1">
      <c r="A487" s="2" t="s">
        <v>1440</v>
      </c>
      <c r="B487" s="2" t="s">
        <v>1439</v>
      </c>
      <c r="D487" s="13" t="s">
        <v>1441</v>
      </c>
      <c r="E487" s="14">
        <v>724.48469599999999</v>
      </c>
      <c r="F487" s="104">
        <f t="shared" si="36"/>
        <v>26.564438853333336</v>
      </c>
      <c r="G487" s="104">
        <f t="shared" si="37"/>
        <v>25.790717333333337</v>
      </c>
      <c r="H487" s="104">
        <f t="shared" si="38"/>
        <v>25.299465574603175</v>
      </c>
      <c r="I487" s="104">
        <f t="shared" si="35"/>
        <v>28.979387840000001</v>
      </c>
      <c r="J487" s="133"/>
      <c r="K487" s="110">
        <f t="shared" si="39"/>
        <v>26.344898036363638</v>
      </c>
      <c r="L487" s="88"/>
      <c r="M487" s="2"/>
    </row>
    <row r="488" spans="1:13" ht="22.5" customHeight="1">
      <c r="A488" s="2" t="s">
        <v>1443</v>
      </c>
      <c r="B488" s="2" t="s">
        <v>1442</v>
      </c>
      <c r="D488" s="13" t="s">
        <v>1444</v>
      </c>
      <c r="E488" s="14">
        <v>880</v>
      </c>
      <c r="F488" s="104">
        <f t="shared" si="36"/>
        <v>32.266666666666673</v>
      </c>
      <c r="G488" s="104">
        <f t="shared" si="37"/>
        <v>31.326860841423954</v>
      </c>
      <c r="H488" s="104">
        <f t="shared" si="38"/>
        <v>30.730158730158738</v>
      </c>
      <c r="I488" s="104">
        <f t="shared" si="35"/>
        <v>35.200000000000003</v>
      </c>
      <c r="J488" s="133"/>
      <c r="K488" s="110">
        <f t="shared" si="39"/>
        <v>32</v>
      </c>
      <c r="L488" s="88"/>
      <c r="M488" s="2"/>
    </row>
    <row r="489" spans="1:13" ht="22.5" customHeight="1">
      <c r="A489" s="2" t="s">
        <v>1446</v>
      </c>
      <c r="B489" s="2" t="s">
        <v>1445</v>
      </c>
      <c r="D489" s="13" t="s">
        <v>1447</v>
      </c>
      <c r="E489" s="14">
        <v>524.88800000000003</v>
      </c>
      <c r="F489" s="104">
        <f t="shared" si="36"/>
        <v>19.245893333333338</v>
      </c>
      <c r="G489" s="104">
        <f t="shared" si="37"/>
        <v>18.68533333333334</v>
      </c>
      <c r="H489" s="104">
        <f t="shared" si="38"/>
        <v>18.329422222222227</v>
      </c>
      <c r="I489" s="104">
        <f t="shared" si="35"/>
        <v>20.995519999999999</v>
      </c>
      <c r="J489" s="133"/>
      <c r="K489" s="110">
        <f t="shared" si="39"/>
        <v>19.086836363636362</v>
      </c>
      <c r="L489" s="88"/>
      <c r="M489" s="2"/>
    </row>
    <row r="490" spans="1:13" ht="22.5" customHeight="1">
      <c r="A490" s="2" t="s">
        <v>1449</v>
      </c>
      <c r="B490" s="2" t="s">
        <v>1448</v>
      </c>
      <c r="C490" s="2" t="s">
        <v>8681</v>
      </c>
      <c r="D490" s="13" t="s">
        <v>1450</v>
      </c>
      <c r="E490" s="14">
        <v>728</v>
      </c>
      <c r="F490" s="104">
        <f t="shared" si="36"/>
        <v>26.693333333333335</v>
      </c>
      <c r="G490" s="104">
        <f t="shared" si="37"/>
        <v>25.915857605177994</v>
      </c>
      <c r="H490" s="104">
        <f t="shared" si="38"/>
        <v>25.422222222222224</v>
      </c>
      <c r="I490" s="104">
        <f t="shared" si="35"/>
        <v>29.12</v>
      </c>
      <c r="J490" s="133"/>
      <c r="K490" s="110">
        <f t="shared" si="39"/>
        <v>26.472727272727273</v>
      </c>
      <c r="L490" s="88"/>
      <c r="M490" s="2"/>
    </row>
    <row r="491" spans="1:13" ht="22.5" customHeight="1">
      <c r="A491" s="2" t="s">
        <v>1452</v>
      </c>
      <c r="B491" s="2" t="s">
        <v>1451</v>
      </c>
      <c r="C491" s="2" t="s">
        <v>8668</v>
      </c>
      <c r="D491" s="13" t="s">
        <v>1453</v>
      </c>
      <c r="E491" s="14">
        <v>664.14400000000001</v>
      </c>
      <c r="F491" s="104">
        <f t="shared" si="36"/>
        <v>24.35194666666667</v>
      </c>
      <c r="G491" s="104">
        <f t="shared" si="37"/>
        <v>23.64266666666667</v>
      </c>
      <c r="H491" s="104">
        <f t="shared" si="38"/>
        <v>23.192330158730165</v>
      </c>
      <c r="I491" s="104">
        <f t="shared" si="35"/>
        <v>26.565760000000001</v>
      </c>
      <c r="J491" s="133"/>
      <c r="K491" s="110">
        <f t="shared" si="39"/>
        <v>24.150690909090908</v>
      </c>
      <c r="L491" s="88"/>
      <c r="M491" s="2"/>
    </row>
    <row r="492" spans="1:13" ht="22.5" customHeight="1">
      <c r="A492" s="2" t="s">
        <v>1455</v>
      </c>
      <c r="B492" s="2" t="s">
        <v>1454</v>
      </c>
      <c r="C492" s="2" t="s">
        <v>8769</v>
      </c>
      <c r="D492" s="13" t="s">
        <v>1456</v>
      </c>
      <c r="E492" s="14">
        <v>664.14400000000001</v>
      </c>
      <c r="F492" s="104">
        <f t="shared" si="36"/>
        <v>24.35194666666667</v>
      </c>
      <c r="G492" s="104">
        <f t="shared" si="37"/>
        <v>23.64266666666667</v>
      </c>
      <c r="H492" s="104">
        <f t="shared" si="38"/>
        <v>23.192330158730165</v>
      </c>
      <c r="I492" s="104">
        <f t="shared" si="35"/>
        <v>26.565760000000001</v>
      </c>
      <c r="J492" s="133"/>
      <c r="K492" s="110">
        <f t="shared" si="39"/>
        <v>24.150690909090908</v>
      </c>
      <c r="L492" s="88"/>
      <c r="M492" s="2"/>
    </row>
    <row r="493" spans="1:13" ht="22.5" customHeight="1">
      <c r="A493" s="2" t="s">
        <v>1458</v>
      </c>
      <c r="B493" s="2" t="s">
        <v>1457</v>
      </c>
      <c r="D493" s="13" t="s">
        <v>1459</v>
      </c>
      <c r="E493" s="14">
        <v>760.55200000000002</v>
      </c>
      <c r="F493" s="104">
        <f t="shared" si="36"/>
        <v>27.886906666666668</v>
      </c>
      <c r="G493" s="104">
        <f t="shared" si="37"/>
        <v>27.074666666666669</v>
      </c>
      <c r="H493" s="104">
        <f t="shared" si="38"/>
        <v>26.558958730158732</v>
      </c>
      <c r="I493" s="104">
        <f t="shared" si="35"/>
        <v>30.422080000000001</v>
      </c>
      <c r="J493" s="133"/>
      <c r="K493" s="110">
        <f t="shared" si="39"/>
        <v>27.656436363636367</v>
      </c>
      <c r="L493" s="88"/>
      <c r="M493" s="2"/>
    </row>
    <row r="494" spans="1:13" ht="22.5" customHeight="1">
      <c r="A494" s="2" t="s">
        <v>1461</v>
      </c>
      <c r="B494" s="2" t="s">
        <v>1460</v>
      </c>
      <c r="D494" s="13" t="s">
        <v>1462</v>
      </c>
      <c r="E494" s="14">
        <v>632.00800000000004</v>
      </c>
      <c r="F494" s="104">
        <f t="shared" si="36"/>
        <v>23.173626666666671</v>
      </c>
      <c r="G494" s="104">
        <f t="shared" si="37"/>
        <v>22.498666666666669</v>
      </c>
      <c r="H494" s="104">
        <f t="shared" si="38"/>
        <v>22.070120634920638</v>
      </c>
      <c r="I494" s="104">
        <f t="shared" si="35"/>
        <v>25.280320000000003</v>
      </c>
      <c r="J494" s="133"/>
      <c r="K494" s="110">
        <f t="shared" si="39"/>
        <v>22.982109090909091</v>
      </c>
      <c r="L494" s="88"/>
      <c r="M494" s="2"/>
    </row>
    <row r="495" spans="1:13" ht="22.5" customHeight="1">
      <c r="A495" s="2" t="s">
        <v>1464</v>
      </c>
      <c r="B495" s="2" t="s">
        <v>1463</v>
      </c>
      <c r="D495" s="13" t="s">
        <v>1465</v>
      </c>
      <c r="E495" s="14">
        <v>685.5680000000001</v>
      </c>
      <c r="F495" s="104">
        <f t="shared" si="36"/>
        <v>25.137493333333339</v>
      </c>
      <c r="G495" s="104">
        <f t="shared" si="37"/>
        <v>24.405333333333342</v>
      </c>
      <c r="H495" s="104">
        <f t="shared" si="38"/>
        <v>23.940469841269849</v>
      </c>
      <c r="I495" s="104">
        <f t="shared" si="35"/>
        <v>27.422720000000005</v>
      </c>
      <c r="J495" s="133"/>
      <c r="K495" s="110">
        <f t="shared" si="39"/>
        <v>24.929745454545458</v>
      </c>
      <c r="L495" s="88"/>
      <c r="M495" s="2"/>
    </row>
    <row r="496" spans="1:13" ht="22.5" customHeight="1">
      <c r="A496" s="2" t="s">
        <v>1467</v>
      </c>
      <c r="B496" s="2" t="s">
        <v>1466</v>
      </c>
      <c r="D496" s="13" t="s">
        <v>1468</v>
      </c>
      <c r="E496" s="14">
        <v>621.29599999999994</v>
      </c>
      <c r="F496" s="104">
        <f t="shared" si="36"/>
        <v>22.780853333333333</v>
      </c>
      <c r="G496" s="104">
        <f t="shared" si="37"/>
        <v>22.117333333333335</v>
      </c>
      <c r="H496" s="104">
        <f t="shared" si="38"/>
        <v>21.696050793650794</v>
      </c>
      <c r="I496" s="104">
        <f t="shared" si="35"/>
        <v>24.851839999999996</v>
      </c>
      <c r="J496" s="133"/>
      <c r="K496" s="110">
        <f t="shared" si="39"/>
        <v>22.592581818181817</v>
      </c>
      <c r="L496" s="88"/>
      <c r="M496" s="2"/>
    </row>
    <row r="497" spans="1:13" ht="22.5" customHeight="1">
      <c r="A497" s="2" t="s">
        <v>1470</v>
      </c>
      <c r="B497" s="2" t="s">
        <v>1469</v>
      </c>
      <c r="C497" s="2" t="s">
        <v>8664</v>
      </c>
      <c r="D497" s="13" t="s">
        <v>1471</v>
      </c>
      <c r="E497" s="14">
        <v>696.28</v>
      </c>
      <c r="F497" s="104">
        <f t="shared" si="36"/>
        <v>25.530266666666666</v>
      </c>
      <c r="G497" s="104">
        <f t="shared" si="37"/>
        <v>24.786666666666665</v>
      </c>
      <c r="H497" s="104">
        <f t="shared" si="38"/>
        <v>24.314539682539682</v>
      </c>
      <c r="I497" s="104">
        <f t="shared" si="35"/>
        <v>27.851199999999999</v>
      </c>
      <c r="J497" s="133"/>
      <c r="K497" s="110">
        <f t="shared" si="39"/>
        <v>25.319272727272725</v>
      </c>
      <c r="L497" s="88"/>
      <c r="M497" s="2"/>
    </row>
    <row r="498" spans="1:13" ht="22.5" customHeight="1">
      <c r="A498" s="2" t="s">
        <v>1473</v>
      </c>
      <c r="B498" s="2" t="s">
        <v>1472</v>
      </c>
      <c r="D498" s="13" t="s">
        <v>1474</v>
      </c>
      <c r="E498" s="14">
        <v>653.43200000000002</v>
      </c>
      <c r="F498" s="104">
        <f t="shared" si="36"/>
        <v>23.959173333333336</v>
      </c>
      <c r="G498" s="104">
        <f t="shared" si="37"/>
        <v>23.261333333333337</v>
      </c>
      <c r="H498" s="104">
        <f t="shared" si="38"/>
        <v>22.818260317460322</v>
      </c>
      <c r="I498" s="104">
        <f t="shared" si="35"/>
        <v>26.137279999999997</v>
      </c>
      <c r="J498" s="133"/>
      <c r="K498" s="110">
        <f t="shared" si="39"/>
        <v>23.761163636363634</v>
      </c>
      <c r="L498" s="88"/>
      <c r="M498" s="2"/>
    </row>
    <row r="499" spans="1:13" ht="22.5" customHeight="1">
      <c r="A499" s="2" t="s">
        <v>1476</v>
      </c>
      <c r="B499" s="2" t="s">
        <v>1475</v>
      </c>
      <c r="D499" s="13" t="s">
        <v>1477</v>
      </c>
      <c r="E499" s="14">
        <v>653.43200000000002</v>
      </c>
      <c r="F499" s="104">
        <f t="shared" si="36"/>
        <v>23.959173333333336</v>
      </c>
      <c r="G499" s="104">
        <f t="shared" si="37"/>
        <v>23.261333333333337</v>
      </c>
      <c r="H499" s="104">
        <f t="shared" si="38"/>
        <v>22.818260317460322</v>
      </c>
      <c r="I499" s="104">
        <f t="shared" si="35"/>
        <v>26.137279999999997</v>
      </c>
      <c r="J499" s="133"/>
      <c r="K499" s="110">
        <f t="shared" si="39"/>
        <v>23.761163636363634</v>
      </c>
      <c r="L499" s="88"/>
      <c r="M499" s="2"/>
    </row>
    <row r="500" spans="1:13" ht="22.5" customHeight="1">
      <c r="A500" s="2" t="s">
        <v>1479</v>
      </c>
      <c r="B500" s="2" t="s">
        <v>1478</v>
      </c>
      <c r="D500" s="13" t="s">
        <v>1480</v>
      </c>
      <c r="E500" s="14">
        <v>514.17600000000004</v>
      </c>
      <c r="F500" s="104">
        <f t="shared" si="36"/>
        <v>18.853120000000004</v>
      </c>
      <c r="G500" s="104">
        <f t="shared" si="37"/>
        <v>18.304000000000002</v>
      </c>
      <c r="H500" s="104">
        <f t="shared" si="38"/>
        <v>17.955352380952384</v>
      </c>
      <c r="I500" s="104">
        <f t="shared" si="35"/>
        <v>20.567040000000002</v>
      </c>
      <c r="J500" s="133"/>
      <c r="K500" s="110">
        <f t="shared" si="39"/>
        <v>18.697309090909091</v>
      </c>
      <c r="L500" s="88"/>
      <c r="M500" s="2"/>
    </row>
    <row r="501" spans="1:13" ht="22.5" customHeight="1">
      <c r="A501" s="2" t="s">
        <v>1482</v>
      </c>
      <c r="B501" s="2" t="s">
        <v>1481</v>
      </c>
      <c r="D501" s="13" t="s">
        <v>1483</v>
      </c>
      <c r="E501" s="14">
        <v>641.64880000000005</v>
      </c>
      <c r="F501" s="104">
        <f t="shared" si="36"/>
        <v>23.527122666666671</v>
      </c>
      <c r="G501" s="104">
        <f t="shared" si="37"/>
        <v>22.841866666666668</v>
      </c>
      <c r="H501" s="104">
        <f t="shared" si="38"/>
        <v>22.406783492063493</v>
      </c>
      <c r="I501" s="104">
        <f t="shared" si="35"/>
        <v>25.665952000000001</v>
      </c>
      <c r="J501" s="133"/>
      <c r="K501" s="110">
        <f t="shared" si="39"/>
        <v>23.332683636363637</v>
      </c>
      <c r="L501" s="88"/>
      <c r="M501" s="2"/>
    </row>
    <row r="502" spans="1:13" ht="22.5" customHeight="1">
      <c r="A502" s="2" t="s">
        <v>1485</v>
      </c>
      <c r="B502" s="2" t="s">
        <v>1484</v>
      </c>
      <c r="D502" s="13" t="s">
        <v>8090</v>
      </c>
      <c r="E502" s="14">
        <v>514.17600000000004</v>
      </c>
      <c r="F502" s="104">
        <f t="shared" si="36"/>
        <v>18.853120000000004</v>
      </c>
      <c r="G502" s="104">
        <f t="shared" si="37"/>
        <v>18.304000000000002</v>
      </c>
      <c r="H502" s="104">
        <f t="shared" si="38"/>
        <v>17.955352380952384</v>
      </c>
      <c r="I502" s="104">
        <f t="shared" si="35"/>
        <v>20.567040000000002</v>
      </c>
      <c r="J502" s="133"/>
      <c r="K502" s="110">
        <f t="shared" si="39"/>
        <v>18.697309090909091</v>
      </c>
      <c r="L502" s="88"/>
      <c r="M502" s="2"/>
    </row>
    <row r="503" spans="1:13" ht="22.5" customHeight="1">
      <c r="A503" s="2" t="s">
        <v>1487</v>
      </c>
      <c r="B503" s="2" t="s">
        <v>1486</v>
      </c>
      <c r="D503" s="13" t="s">
        <v>1488</v>
      </c>
      <c r="E503" s="14">
        <v>724.48469599999999</v>
      </c>
      <c r="F503" s="104">
        <f t="shared" si="36"/>
        <v>26.564438853333336</v>
      </c>
      <c r="G503" s="104">
        <f t="shared" si="37"/>
        <v>25.790717333333337</v>
      </c>
      <c r="H503" s="104">
        <f t="shared" si="38"/>
        <v>25.299465574603175</v>
      </c>
      <c r="I503" s="104">
        <f t="shared" si="35"/>
        <v>28.979387840000001</v>
      </c>
      <c r="J503" s="133"/>
      <c r="K503" s="110">
        <f t="shared" si="39"/>
        <v>26.344898036363638</v>
      </c>
      <c r="L503" s="88"/>
      <c r="M503" s="2"/>
    </row>
    <row r="504" spans="1:13" ht="22.5" customHeight="1">
      <c r="A504" s="2" t="s">
        <v>1490</v>
      </c>
      <c r="B504" s="2" t="s">
        <v>1489</v>
      </c>
      <c r="D504" s="13" t="s">
        <v>1491</v>
      </c>
      <c r="E504" s="14">
        <v>650</v>
      </c>
      <c r="F504" s="104">
        <f t="shared" si="36"/>
        <v>23.833333333333336</v>
      </c>
      <c r="G504" s="104">
        <f t="shared" si="37"/>
        <v>23.139158576051781</v>
      </c>
      <c r="H504" s="104">
        <f t="shared" si="38"/>
        <v>22.698412698412699</v>
      </c>
      <c r="I504" s="104">
        <f t="shared" si="35"/>
        <v>26</v>
      </c>
      <c r="J504" s="133"/>
      <c r="K504" s="110">
        <f t="shared" si="39"/>
        <v>23.636363636363637</v>
      </c>
      <c r="L504" s="88"/>
      <c r="M504" s="2"/>
    </row>
    <row r="505" spans="1:13" ht="22.5" customHeight="1">
      <c r="A505" s="2" t="s">
        <v>1493</v>
      </c>
      <c r="B505" s="2" t="s">
        <v>1492</v>
      </c>
      <c r="D505" s="13" t="s">
        <v>1494</v>
      </c>
      <c r="E505" s="14">
        <v>664.14400000000001</v>
      </c>
      <c r="F505" s="104">
        <f t="shared" si="36"/>
        <v>24.35194666666667</v>
      </c>
      <c r="G505" s="104">
        <f t="shared" si="37"/>
        <v>23.64266666666667</v>
      </c>
      <c r="H505" s="104">
        <f t="shared" si="38"/>
        <v>23.192330158730165</v>
      </c>
      <c r="I505" s="104">
        <f t="shared" si="35"/>
        <v>26.565760000000001</v>
      </c>
      <c r="J505" s="133"/>
      <c r="K505" s="110">
        <f t="shared" si="39"/>
        <v>24.150690909090908</v>
      </c>
      <c r="L505" s="88"/>
      <c r="M505" s="2"/>
    </row>
    <row r="506" spans="1:13" ht="22.5" customHeight="1">
      <c r="A506" s="2" t="s">
        <v>1496</v>
      </c>
      <c r="B506" s="2" t="s">
        <v>1495</v>
      </c>
      <c r="D506" s="13" t="s">
        <v>1497</v>
      </c>
      <c r="E506" s="14">
        <v>724.48469599999999</v>
      </c>
      <c r="F506" s="104">
        <f t="shared" si="36"/>
        <v>26.564438853333336</v>
      </c>
      <c r="G506" s="104">
        <f t="shared" si="37"/>
        <v>25.790717333333337</v>
      </c>
      <c r="H506" s="104">
        <f t="shared" si="38"/>
        <v>25.299465574603175</v>
      </c>
      <c r="I506" s="104">
        <f t="shared" si="35"/>
        <v>28.979387840000001</v>
      </c>
      <c r="J506" s="133"/>
      <c r="K506" s="110">
        <f t="shared" si="39"/>
        <v>26.344898036363638</v>
      </c>
      <c r="L506" s="88"/>
      <c r="M506" s="2"/>
    </row>
    <row r="507" spans="1:13" ht="22.5" customHeight="1">
      <c r="A507" s="2" t="s">
        <v>1499</v>
      </c>
      <c r="B507" s="2" t="s">
        <v>1498</v>
      </c>
      <c r="D507" s="13" t="s">
        <v>1500</v>
      </c>
      <c r="E507" s="14">
        <v>506.67759999999998</v>
      </c>
      <c r="F507" s="104">
        <f t="shared" si="36"/>
        <v>18.578178666666666</v>
      </c>
      <c r="G507" s="104">
        <f t="shared" si="37"/>
        <v>18.037066666666664</v>
      </c>
      <c r="H507" s="104">
        <f t="shared" si="38"/>
        <v>17.693503492063492</v>
      </c>
      <c r="I507" s="104">
        <f t="shared" si="35"/>
        <v>20.267104</v>
      </c>
      <c r="J507" s="133"/>
      <c r="K507" s="110">
        <f t="shared" si="39"/>
        <v>18.42464</v>
      </c>
      <c r="L507" s="88"/>
      <c r="M507" s="2"/>
    </row>
    <row r="508" spans="1:13" ht="22.5" customHeight="1">
      <c r="A508" s="2" t="s">
        <v>1502</v>
      </c>
      <c r="B508" s="2" t="s">
        <v>1501</v>
      </c>
      <c r="D508" s="13" t="s">
        <v>1503</v>
      </c>
      <c r="E508" s="14">
        <v>670</v>
      </c>
      <c r="F508" s="104">
        <f t="shared" si="36"/>
        <v>24.56666666666667</v>
      </c>
      <c r="G508" s="104">
        <f t="shared" si="37"/>
        <v>23.851132686084146</v>
      </c>
      <c r="H508" s="104">
        <f t="shared" si="38"/>
        <v>23.396825396825399</v>
      </c>
      <c r="I508" s="104">
        <f t="shared" si="35"/>
        <v>26.8</v>
      </c>
      <c r="J508" s="133"/>
      <c r="K508" s="110">
        <f t="shared" si="39"/>
        <v>24.363636363636363</v>
      </c>
      <c r="L508" s="88"/>
      <c r="M508" s="2"/>
    </row>
    <row r="509" spans="1:13" ht="22.5" customHeight="1">
      <c r="A509" s="2" t="s">
        <v>1505</v>
      </c>
      <c r="B509" s="2" t="s">
        <v>1504</v>
      </c>
      <c r="D509" s="13" t="s">
        <v>1506</v>
      </c>
      <c r="E509" s="14">
        <v>567.98237600000004</v>
      </c>
      <c r="F509" s="104">
        <f t="shared" si="36"/>
        <v>20.826020453333339</v>
      </c>
      <c r="G509" s="104">
        <f t="shared" si="37"/>
        <v>20.219437333333339</v>
      </c>
      <c r="H509" s="104">
        <f t="shared" si="38"/>
        <v>19.834305193650799</v>
      </c>
      <c r="I509" s="104">
        <f t="shared" si="35"/>
        <v>22.719295040000002</v>
      </c>
      <c r="J509" s="133"/>
      <c r="K509" s="110">
        <f t="shared" si="39"/>
        <v>20.653904581818182</v>
      </c>
      <c r="L509" s="88"/>
      <c r="M509" s="2"/>
    </row>
    <row r="510" spans="1:13" ht="22.5" customHeight="1">
      <c r="A510" s="2" t="s">
        <v>1508</v>
      </c>
      <c r="B510" s="2" t="s">
        <v>1507</v>
      </c>
      <c r="D510" s="13" t="s">
        <v>1509</v>
      </c>
      <c r="E510" s="14">
        <v>567.98237600000004</v>
      </c>
      <c r="F510" s="104">
        <f t="shared" si="36"/>
        <v>20.826020453333339</v>
      </c>
      <c r="G510" s="104">
        <f t="shared" si="37"/>
        <v>20.219437333333339</v>
      </c>
      <c r="H510" s="104">
        <f t="shared" si="38"/>
        <v>19.834305193650799</v>
      </c>
      <c r="I510" s="104">
        <f t="shared" si="35"/>
        <v>22.719295040000002</v>
      </c>
      <c r="J510" s="133"/>
      <c r="K510" s="110">
        <f t="shared" si="39"/>
        <v>20.653904581818182</v>
      </c>
      <c r="L510" s="88"/>
      <c r="M510" s="2"/>
    </row>
    <row r="511" spans="1:13" ht="22.5" customHeight="1">
      <c r="A511" s="2" t="s">
        <v>1511</v>
      </c>
      <c r="B511" s="2" t="s">
        <v>1510</v>
      </c>
      <c r="D511" s="13" t="s">
        <v>1512</v>
      </c>
      <c r="E511" s="14">
        <v>724.48469599999999</v>
      </c>
      <c r="F511" s="104">
        <f t="shared" si="36"/>
        <v>26.564438853333336</v>
      </c>
      <c r="G511" s="104">
        <f t="shared" si="37"/>
        <v>25.790717333333337</v>
      </c>
      <c r="H511" s="104">
        <f t="shared" si="38"/>
        <v>25.299465574603175</v>
      </c>
      <c r="I511" s="104">
        <f t="shared" si="35"/>
        <v>28.979387840000001</v>
      </c>
      <c r="J511" s="133"/>
      <c r="K511" s="110">
        <f t="shared" si="39"/>
        <v>26.344898036363638</v>
      </c>
      <c r="L511" s="88"/>
      <c r="M511" s="2"/>
    </row>
    <row r="512" spans="1:13" ht="22.5" customHeight="1">
      <c r="A512" s="2" t="s">
        <v>1514</v>
      </c>
      <c r="B512" s="2" t="s">
        <v>1513</v>
      </c>
      <c r="D512" s="13" t="s">
        <v>1515</v>
      </c>
      <c r="E512" s="14">
        <v>846.24800000000005</v>
      </c>
      <c r="F512" s="104">
        <f t="shared" si="36"/>
        <v>31.029093333333336</v>
      </c>
      <c r="G512" s="104">
        <f t="shared" si="37"/>
        <v>30.125333333333334</v>
      </c>
      <c r="H512" s="104">
        <f t="shared" si="38"/>
        <v>29.551517460317463</v>
      </c>
      <c r="I512" s="104">
        <f t="shared" si="35"/>
        <v>33.849920000000004</v>
      </c>
      <c r="J512" s="133"/>
      <c r="K512" s="110">
        <f t="shared" si="39"/>
        <v>30.772654545454547</v>
      </c>
      <c r="L512" s="88"/>
      <c r="M512" s="2"/>
    </row>
    <row r="513" spans="1:13" ht="22.5" customHeight="1">
      <c r="A513" s="2" t="s">
        <v>1517</v>
      </c>
      <c r="B513" s="2" t="s">
        <v>1516</v>
      </c>
      <c r="D513" s="13" t="s">
        <v>1518</v>
      </c>
      <c r="E513" s="14">
        <v>567.73599999999999</v>
      </c>
      <c r="F513" s="104">
        <f t="shared" si="36"/>
        <v>20.816986666666669</v>
      </c>
      <c r="G513" s="104">
        <f t="shared" si="37"/>
        <v>20.210666666666668</v>
      </c>
      <c r="H513" s="104">
        <f t="shared" si="38"/>
        <v>19.825701587301587</v>
      </c>
      <c r="I513" s="104">
        <f t="shared" si="35"/>
        <v>22.709439999999997</v>
      </c>
      <c r="J513" s="133"/>
      <c r="K513" s="110">
        <f t="shared" si="39"/>
        <v>20.644945454545454</v>
      </c>
      <c r="L513" s="88"/>
      <c r="M513" s="2"/>
    </row>
    <row r="514" spans="1:13" ht="22.5" customHeight="1">
      <c r="A514" s="2" t="s">
        <v>1520</v>
      </c>
      <c r="B514" s="2" t="s">
        <v>1519</v>
      </c>
      <c r="D514" s="13" t="s">
        <v>1521</v>
      </c>
      <c r="E514" s="14">
        <v>674.85599999999999</v>
      </c>
      <c r="F514" s="104">
        <f t="shared" si="36"/>
        <v>24.744720000000004</v>
      </c>
      <c r="G514" s="104">
        <f t="shared" si="37"/>
        <v>24.024000000000008</v>
      </c>
      <c r="H514" s="104">
        <f t="shared" si="38"/>
        <v>23.566400000000005</v>
      </c>
      <c r="I514" s="104">
        <f t="shared" ref="I514:I577" si="40">+(E514*1.2/30)</f>
        <v>26.994239999999998</v>
      </c>
      <c r="J514" s="133"/>
      <c r="K514" s="110">
        <f t="shared" si="39"/>
        <v>24.540218181818179</v>
      </c>
      <c r="L514" s="88"/>
      <c r="M514" s="2" t="s">
        <v>8142</v>
      </c>
    </row>
    <row r="515" spans="1:13" ht="22.5" customHeight="1">
      <c r="A515" s="2" t="s">
        <v>1523</v>
      </c>
      <c r="B515" s="2" t="s">
        <v>1522</v>
      </c>
      <c r="D515" s="13" t="s">
        <v>1524</v>
      </c>
      <c r="E515" s="14">
        <v>567.73599999999999</v>
      </c>
      <c r="F515" s="104">
        <f t="shared" ref="F515:F578" si="41">+(E515*1.1/30)</f>
        <v>20.816986666666669</v>
      </c>
      <c r="G515" s="104">
        <f t="shared" ref="G515:G578" si="42">+(F515*100/103)</f>
        <v>20.210666666666668</v>
      </c>
      <c r="H515" s="104">
        <f t="shared" ref="H515:H578" si="43">+(F515*100/105)</f>
        <v>19.825701587301587</v>
      </c>
      <c r="I515" s="104">
        <f t="shared" si="40"/>
        <v>22.709439999999997</v>
      </c>
      <c r="J515" s="133"/>
      <c r="K515" s="110">
        <f t="shared" ref="K515:K578" si="44">+(E515*1.2/33)</f>
        <v>20.644945454545454</v>
      </c>
      <c r="L515" s="88"/>
      <c r="M515" s="2"/>
    </row>
    <row r="516" spans="1:13" ht="22.5" customHeight="1">
      <c r="A516" s="2" t="s">
        <v>1526</v>
      </c>
      <c r="B516" s="2" t="s">
        <v>1525</v>
      </c>
      <c r="D516" s="13" t="s">
        <v>1527</v>
      </c>
      <c r="E516" s="14">
        <v>652.36079999999993</v>
      </c>
      <c r="F516" s="104">
        <f t="shared" si="41"/>
        <v>23.919895999999998</v>
      </c>
      <c r="G516" s="104">
        <f t="shared" si="42"/>
        <v>23.223199999999999</v>
      </c>
      <c r="H516" s="104">
        <f t="shared" si="43"/>
        <v>22.780853333333333</v>
      </c>
      <c r="I516" s="104">
        <f t="shared" si="40"/>
        <v>26.094431999999994</v>
      </c>
      <c r="J516" s="133"/>
      <c r="K516" s="110">
        <f t="shared" si="44"/>
        <v>23.722210909090904</v>
      </c>
      <c r="L516" s="88"/>
      <c r="M516" s="2"/>
    </row>
    <row r="517" spans="1:13" ht="22.5" customHeight="1">
      <c r="A517" s="2" t="s">
        <v>1529</v>
      </c>
      <c r="B517" s="2" t="s">
        <v>1528</v>
      </c>
      <c r="D517" s="13" t="s">
        <v>1530</v>
      </c>
      <c r="E517" s="14">
        <v>886.95360000000005</v>
      </c>
      <c r="F517" s="104">
        <f t="shared" si="41"/>
        <v>32.521632000000004</v>
      </c>
      <c r="G517" s="104">
        <f t="shared" si="42"/>
        <v>31.574400000000004</v>
      </c>
      <c r="H517" s="104">
        <f t="shared" si="43"/>
        <v>30.97298285714286</v>
      </c>
      <c r="I517" s="104">
        <f t="shared" si="40"/>
        <v>35.478144</v>
      </c>
      <c r="J517" s="133"/>
      <c r="K517" s="110">
        <f t="shared" si="44"/>
        <v>32.252858181818176</v>
      </c>
      <c r="L517" s="88"/>
      <c r="M517" s="2"/>
    </row>
    <row r="518" spans="1:13" ht="22.5" customHeight="1">
      <c r="A518" s="2" t="s">
        <v>1532</v>
      </c>
      <c r="B518" s="2" t="s">
        <v>1531</v>
      </c>
      <c r="D518" s="13" t="s">
        <v>1533</v>
      </c>
      <c r="E518" s="14">
        <v>596.65840000000003</v>
      </c>
      <c r="F518" s="104">
        <f t="shared" si="41"/>
        <v>21.877474666666668</v>
      </c>
      <c r="G518" s="104">
        <f t="shared" si="42"/>
        <v>21.240266666666667</v>
      </c>
      <c r="H518" s="104">
        <f t="shared" si="43"/>
        <v>20.835690158730159</v>
      </c>
      <c r="I518" s="104">
        <f t="shared" si="40"/>
        <v>23.866336</v>
      </c>
      <c r="J518" s="133"/>
      <c r="K518" s="110">
        <f t="shared" si="44"/>
        <v>21.696669090909094</v>
      </c>
      <c r="L518" s="88"/>
      <c r="M518" s="2"/>
    </row>
    <row r="519" spans="1:13" ht="22.5" customHeight="1">
      <c r="A519" s="2" t="s">
        <v>1535</v>
      </c>
      <c r="B519" s="2" t="s">
        <v>1534</v>
      </c>
      <c r="D519" s="13" t="s">
        <v>1536</v>
      </c>
      <c r="E519" s="14">
        <v>696.28</v>
      </c>
      <c r="F519" s="104">
        <f t="shared" si="41"/>
        <v>25.530266666666666</v>
      </c>
      <c r="G519" s="104">
        <f t="shared" si="42"/>
        <v>24.786666666666665</v>
      </c>
      <c r="H519" s="104">
        <f t="shared" si="43"/>
        <v>24.314539682539682</v>
      </c>
      <c r="I519" s="104">
        <f t="shared" si="40"/>
        <v>27.851199999999999</v>
      </c>
      <c r="J519" s="133"/>
      <c r="K519" s="110">
        <f t="shared" si="44"/>
        <v>25.319272727272725</v>
      </c>
      <c r="L519" s="88"/>
      <c r="M519" s="2"/>
    </row>
    <row r="520" spans="1:13" ht="22.5" customHeight="1">
      <c r="A520" s="2" t="s">
        <v>1538</v>
      </c>
      <c r="B520" s="2" t="s">
        <v>1537</v>
      </c>
      <c r="D520" s="13" t="s">
        <v>1539</v>
      </c>
      <c r="E520" s="14">
        <v>630</v>
      </c>
      <c r="F520" s="104">
        <f t="shared" si="41"/>
        <v>23.1</v>
      </c>
      <c r="G520" s="104">
        <f t="shared" si="42"/>
        <v>22.427184466019419</v>
      </c>
      <c r="H520" s="104">
        <f t="shared" si="43"/>
        <v>22</v>
      </c>
      <c r="I520" s="104">
        <f t="shared" si="40"/>
        <v>25.2</v>
      </c>
      <c r="J520" s="133"/>
      <c r="K520" s="110">
        <f t="shared" si="44"/>
        <v>22.90909090909091</v>
      </c>
      <c r="L520" s="88"/>
      <c r="M520" s="2"/>
    </row>
    <row r="521" spans="1:13" ht="22.5" customHeight="1">
      <c r="A521" s="2" t="s">
        <v>1541</v>
      </c>
      <c r="B521" s="2" t="s">
        <v>1540</v>
      </c>
      <c r="D521" s="13" t="s">
        <v>1542</v>
      </c>
      <c r="E521" s="14">
        <v>742.34159999999997</v>
      </c>
      <c r="F521" s="104">
        <f t="shared" si="41"/>
        <v>27.219192000000003</v>
      </c>
      <c r="G521" s="104">
        <f t="shared" si="42"/>
        <v>26.426400000000001</v>
      </c>
      <c r="H521" s="104">
        <f t="shared" si="43"/>
        <v>25.923040000000004</v>
      </c>
      <c r="I521" s="104">
        <f t="shared" si="40"/>
        <v>29.693663999999998</v>
      </c>
      <c r="J521" s="133"/>
      <c r="K521" s="110">
        <f t="shared" si="44"/>
        <v>26.994239999999998</v>
      </c>
      <c r="L521" s="88"/>
      <c r="M521" s="2"/>
    </row>
    <row r="522" spans="1:13" ht="22.5" customHeight="1">
      <c r="A522" s="2" t="s">
        <v>1544</v>
      </c>
      <c r="B522" s="2" t="s">
        <v>1543</v>
      </c>
      <c r="D522" s="13" t="s">
        <v>1545</v>
      </c>
      <c r="E522" s="14">
        <v>764.83680000000004</v>
      </c>
      <c r="F522" s="104">
        <f t="shared" si="41"/>
        <v>28.044016000000003</v>
      </c>
      <c r="G522" s="104">
        <f t="shared" si="42"/>
        <v>27.2272</v>
      </c>
      <c r="H522" s="104">
        <f t="shared" si="43"/>
        <v>26.708586666666669</v>
      </c>
      <c r="I522" s="104">
        <f t="shared" si="40"/>
        <v>30.593472000000002</v>
      </c>
      <c r="J522" s="133"/>
      <c r="K522" s="110">
        <f t="shared" si="44"/>
        <v>27.812247272727273</v>
      </c>
      <c r="L522" s="88"/>
      <c r="M522" s="2"/>
    </row>
    <row r="523" spans="1:13" ht="22.5" customHeight="1">
      <c r="A523" s="2" t="s">
        <v>1547</v>
      </c>
      <c r="B523" s="2" t="s">
        <v>1546</v>
      </c>
      <c r="D523" s="13" t="s">
        <v>1548</v>
      </c>
      <c r="E523" s="14">
        <v>674.85599999999999</v>
      </c>
      <c r="F523" s="104">
        <f t="shared" si="41"/>
        <v>24.744720000000004</v>
      </c>
      <c r="G523" s="104">
        <f t="shared" si="42"/>
        <v>24.024000000000008</v>
      </c>
      <c r="H523" s="104">
        <f t="shared" si="43"/>
        <v>23.566400000000005</v>
      </c>
      <c r="I523" s="104">
        <f t="shared" si="40"/>
        <v>26.994239999999998</v>
      </c>
      <c r="J523" s="133"/>
      <c r="K523" s="110">
        <f t="shared" si="44"/>
        <v>24.540218181818179</v>
      </c>
      <c r="L523" s="88"/>
      <c r="M523" s="2"/>
    </row>
    <row r="524" spans="1:13" ht="22.5" customHeight="1">
      <c r="A524" s="2" t="s">
        <v>1550</v>
      </c>
      <c r="B524" s="2" t="s">
        <v>1549</v>
      </c>
      <c r="D524" s="13" t="s">
        <v>1551</v>
      </c>
      <c r="E524" s="14">
        <v>674.85599999999999</v>
      </c>
      <c r="F524" s="104">
        <f t="shared" si="41"/>
        <v>24.744720000000004</v>
      </c>
      <c r="G524" s="104">
        <f t="shared" si="42"/>
        <v>24.024000000000008</v>
      </c>
      <c r="H524" s="104">
        <f t="shared" si="43"/>
        <v>23.566400000000005</v>
      </c>
      <c r="I524" s="104">
        <f t="shared" si="40"/>
        <v>26.994239999999998</v>
      </c>
      <c r="J524" s="133"/>
      <c r="K524" s="110">
        <f t="shared" si="44"/>
        <v>24.540218181818179</v>
      </c>
      <c r="L524" s="88"/>
      <c r="M524" s="2"/>
    </row>
    <row r="525" spans="1:13" ht="22.5" customHeight="1">
      <c r="A525" s="2" t="s">
        <v>1553</v>
      </c>
      <c r="B525" s="2" t="s">
        <v>1552</v>
      </c>
      <c r="D525" s="13" t="s">
        <v>1554</v>
      </c>
      <c r="E525" s="14">
        <v>642.72</v>
      </c>
      <c r="F525" s="104">
        <f t="shared" si="41"/>
        <v>23.566400000000002</v>
      </c>
      <c r="G525" s="104">
        <f t="shared" si="42"/>
        <v>22.880000000000003</v>
      </c>
      <c r="H525" s="104">
        <f t="shared" si="43"/>
        <v>22.444190476190478</v>
      </c>
      <c r="I525" s="104">
        <f t="shared" si="40"/>
        <v>25.7088</v>
      </c>
      <c r="J525" s="133"/>
      <c r="K525" s="110">
        <f t="shared" si="44"/>
        <v>23.371636363636362</v>
      </c>
      <c r="L525" s="88"/>
      <c r="M525" s="2"/>
    </row>
    <row r="526" spans="1:13" ht="22.5" customHeight="1">
      <c r="A526" s="2" t="s">
        <v>1556</v>
      </c>
      <c r="B526" s="2" t="s">
        <v>1555</v>
      </c>
      <c r="D526" s="13" t="s">
        <v>1557</v>
      </c>
      <c r="E526" s="14">
        <v>800</v>
      </c>
      <c r="F526" s="104">
        <f t="shared" si="41"/>
        <v>29.333333333333336</v>
      </c>
      <c r="G526" s="104">
        <f t="shared" si="42"/>
        <v>28.478964401294501</v>
      </c>
      <c r="H526" s="104">
        <f t="shared" si="43"/>
        <v>27.936507936507937</v>
      </c>
      <c r="I526" s="104">
        <f t="shared" si="40"/>
        <v>32</v>
      </c>
      <c r="J526" s="133"/>
      <c r="K526" s="110">
        <f t="shared" si="44"/>
        <v>29.09090909090909</v>
      </c>
      <c r="L526" s="88"/>
      <c r="M526" s="2"/>
    </row>
    <row r="527" spans="1:13" ht="22.5" customHeight="1">
      <c r="A527" s="2" t="s">
        <v>1559</v>
      </c>
      <c r="B527" s="2" t="s">
        <v>1558</v>
      </c>
      <c r="D527" s="13" t="s">
        <v>1560</v>
      </c>
      <c r="E527" s="14">
        <v>696.28</v>
      </c>
      <c r="F527" s="104">
        <f t="shared" si="41"/>
        <v>25.530266666666666</v>
      </c>
      <c r="G527" s="104">
        <f t="shared" si="42"/>
        <v>24.786666666666665</v>
      </c>
      <c r="H527" s="104">
        <f t="shared" si="43"/>
        <v>24.314539682539682</v>
      </c>
      <c r="I527" s="104">
        <f t="shared" si="40"/>
        <v>27.851199999999999</v>
      </c>
      <c r="J527" s="133"/>
      <c r="K527" s="110">
        <f t="shared" si="44"/>
        <v>25.319272727272725</v>
      </c>
      <c r="L527" s="88"/>
      <c r="M527" s="2"/>
    </row>
    <row r="528" spans="1:13" ht="22.5" customHeight="1">
      <c r="A528" s="2" t="s">
        <v>1562</v>
      </c>
      <c r="B528" s="2" t="s">
        <v>1561</v>
      </c>
      <c r="D528" s="13" t="s">
        <v>1563</v>
      </c>
      <c r="E528" s="14">
        <v>706.99200000000008</v>
      </c>
      <c r="F528" s="104">
        <f t="shared" si="41"/>
        <v>25.923040000000004</v>
      </c>
      <c r="G528" s="104">
        <f t="shared" si="42"/>
        <v>25.168000000000006</v>
      </c>
      <c r="H528" s="104">
        <f t="shared" si="43"/>
        <v>24.688609523809529</v>
      </c>
      <c r="I528" s="104">
        <f t="shared" si="40"/>
        <v>28.279680000000003</v>
      </c>
      <c r="J528" s="133"/>
      <c r="K528" s="110">
        <f t="shared" si="44"/>
        <v>25.708800000000004</v>
      </c>
      <c r="L528" s="88"/>
      <c r="M528" s="2"/>
    </row>
    <row r="529" spans="1:13" ht="22.5" customHeight="1">
      <c r="A529" s="2" t="s">
        <v>1565</v>
      </c>
      <c r="B529" s="2" t="s">
        <v>1564</v>
      </c>
      <c r="D529" s="13" t="s">
        <v>1566</v>
      </c>
      <c r="E529" s="14">
        <v>760.55200000000002</v>
      </c>
      <c r="F529" s="104">
        <f t="shared" si="41"/>
        <v>27.886906666666668</v>
      </c>
      <c r="G529" s="104">
        <f t="shared" si="42"/>
        <v>27.074666666666669</v>
      </c>
      <c r="H529" s="104">
        <f t="shared" si="43"/>
        <v>26.558958730158732</v>
      </c>
      <c r="I529" s="104">
        <f t="shared" si="40"/>
        <v>30.422080000000001</v>
      </c>
      <c r="J529" s="133"/>
      <c r="K529" s="110">
        <f t="shared" si="44"/>
        <v>27.656436363636367</v>
      </c>
      <c r="L529" s="88"/>
      <c r="M529" s="2"/>
    </row>
    <row r="530" spans="1:13" ht="22.5" customHeight="1">
      <c r="A530" s="2" t="s">
        <v>1568</v>
      </c>
      <c r="B530" s="2" t="s">
        <v>1567</v>
      </c>
      <c r="D530" s="13" t="s">
        <v>1569</v>
      </c>
      <c r="E530" s="14">
        <v>1250</v>
      </c>
      <c r="F530" s="104">
        <f t="shared" si="41"/>
        <v>45.833333333333336</v>
      </c>
      <c r="G530" s="104">
        <f t="shared" si="42"/>
        <v>44.498381877022659</v>
      </c>
      <c r="H530" s="104">
        <f t="shared" si="43"/>
        <v>43.650793650793659</v>
      </c>
      <c r="I530" s="104">
        <f t="shared" si="40"/>
        <v>50</v>
      </c>
      <c r="J530" s="133"/>
      <c r="K530" s="110">
        <f t="shared" si="44"/>
        <v>45.454545454545453</v>
      </c>
      <c r="L530" s="88"/>
      <c r="M530" s="2"/>
    </row>
    <row r="531" spans="1:13" ht="22.5" customHeight="1">
      <c r="A531" s="25" t="s">
        <v>1571</v>
      </c>
      <c r="B531" s="25" t="s">
        <v>1570</v>
      </c>
      <c r="C531" s="25"/>
      <c r="D531" s="26" t="s">
        <v>8413</v>
      </c>
      <c r="E531" s="27"/>
      <c r="F531" s="106">
        <f t="shared" si="41"/>
        <v>0</v>
      </c>
      <c r="G531" s="106">
        <f t="shared" si="42"/>
        <v>0</v>
      </c>
      <c r="H531" s="106">
        <f t="shared" si="43"/>
        <v>0</v>
      </c>
      <c r="I531" s="106">
        <f t="shared" si="40"/>
        <v>0</v>
      </c>
      <c r="J531" s="135"/>
      <c r="K531" s="111">
        <f t="shared" si="44"/>
        <v>0</v>
      </c>
      <c r="L531" s="89"/>
      <c r="M531" s="2"/>
    </row>
    <row r="532" spans="1:13" ht="22.5" customHeight="1">
      <c r="A532" s="2" t="s">
        <v>1573</v>
      </c>
      <c r="B532" s="2" t="s">
        <v>1572</v>
      </c>
      <c r="D532" s="13" t="s">
        <v>1574</v>
      </c>
      <c r="E532" s="14">
        <v>942.65599999999995</v>
      </c>
      <c r="F532" s="104">
        <f t="shared" si="41"/>
        <v>34.564053333333341</v>
      </c>
      <c r="G532" s="104">
        <f t="shared" si="42"/>
        <v>33.557333333333339</v>
      </c>
      <c r="H532" s="104">
        <f t="shared" si="43"/>
        <v>32.918146031746041</v>
      </c>
      <c r="I532" s="104">
        <f t="shared" si="40"/>
        <v>37.706239999999994</v>
      </c>
      <c r="J532" s="133"/>
      <c r="K532" s="110">
        <f t="shared" si="44"/>
        <v>34.278399999999998</v>
      </c>
      <c r="L532" s="88"/>
      <c r="M532" s="2"/>
    </row>
    <row r="533" spans="1:13" ht="22.5" customHeight="1">
      <c r="A533" s="2" t="s">
        <v>1576</v>
      </c>
      <c r="B533" s="2" t="s">
        <v>1575</v>
      </c>
      <c r="D533" s="13" t="s">
        <v>1577</v>
      </c>
      <c r="E533" s="14">
        <v>694.13760000000002</v>
      </c>
      <c r="F533" s="104">
        <f t="shared" si="41"/>
        <v>25.451712000000001</v>
      </c>
      <c r="G533" s="104">
        <f t="shared" si="42"/>
        <v>24.710400000000003</v>
      </c>
      <c r="H533" s="104">
        <f t="shared" si="43"/>
        <v>24.239725714285715</v>
      </c>
      <c r="I533" s="104">
        <f t="shared" si="40"/>
        <v>27.765504</v>
      </c>
      <c r="J533" s="133"/>
      <c r="K533" s="110">
        <f t="shared" si="44"/>
        <v>25.24136727272727</v>
      </c>
      <c r="L533" s="88"/>
      <c r="M533" s="2"/>
    </row>
    <row r="534" spans="1:13" ht="22.5" customHeight="1">
      <c r="A534" s="2" t="s">
        <v>1579</v>
      </c>
      <c r="B534" s="2" t="s">
        <v>1578</v>
      </c>
      <c r="D534" s="13" t="s">
        <v>1580</v>
      </c>
      <c r="E534" s="14">
        <v>584.87519999999995</v>
      </c>
      <c r="F534" s="104">
        <f t="shared" si="41"/>
        <v>21.445423999999999</v>
      </c>
      <c r="G534" s="104">
        <f t="shared" si="42"/>
        <v>20.820799999999998</v>
      </c>
      <c r="H534" s="104">
        <f t="shared" si="43"/>
        <v>20.424213333333331</v>
      </c>
      <c r="I534" s="104">
        <f t="shared" si="40"/>
        <v>23.395007999999997</v>
      </c>
      <c r="J534" s="133"/>
      <c r="K534" s="110">
        <f t="shared" si="44"/>
        <v>21.268189090909086</v>
      </c>
      <c r="L534" s="88"/>
      <c r="M534" s="2"/>
    </row>
    <row r="535" spans="1:13" ht="22.5" customHeight="1">
      <c r="A535" s="2" t="s">
        <v>1582</v>
      </c>
      <c r="B535" s="2" t="s">
        <v>1581</v>
      </c>
      <c r="D535" s="13" t="s">
        <v>1583</v>
      </c>
      <c r="E535" s="14">
        <v>609.51280000000008</v>
      </c>
      <c r="F535" s="104">
        <f t="shared" si="41"/>
        <v>22.348802666666675</v>
      </c>
      <c r="G535" s="104">
        <f t="shared" si="42"/>
        <v>21.697866666666673</v>
      </c>
      <c r="H535" s="104">
        <f t="shared" si="43"/>
        <v>21.284573968253977</v>
      </c>
      <c r="I535" s="104">
        <f t="shared" si="40"/>
        <v>24.380512000000003</v>
      </c>
      <c r="J535" s="133"/>
      <c r="K535" s="110">
        <f t="shared" si="44"/>
        <v>22.16410181818182</v>
      </c>
      <c r="L535" s="88"/>
      <c r="M535" s="2"/>
    </row>
    <row r="536" spans="1:13" ht="22.5" customHeight="1">
      <c r="A536" s="2" t="s">
        <v>1585</v>
      </c>
      <c r="B536" s="2" t="s">
        <v>1584</v>
      </c>
      <c r="D536" s="13" t="s">
        <v>1586</v>
      </c>
      <c r="E536" s="14">
        <v>696.28</v>
      </c>
      <c r="F536" s="104">
        <f t="shared" si="41"/>
        <v>25.530266666666666</v>
      </c>
      <c r="G536" s="104">
        <f t="shared" si="42"/>
        <v>24.786666666666665</v>
      </c>
      <c r="H536" s="104">
        <f t="shared" si="43"/>
        <v>24.314539682539682</v>
      </c>
      <c r="I536" s="104">
        <f t="shared" si="40"/>
        <v>27.851199999999999</v>
      </c>
      <c r="J536" s="133"/>
      <c r="K536" s="110">
        <f t="shared" si="44"/>
        <v>25.319272727272725</v>
      </c>
      <c r="L536" s="88"/>
      <c r="M536" s="2"/>
    </row>
    <row r="537" spans="1:13" ht="22.5" customHeight="1">
      <c r="A537" s="2" t="s">
        <v>1588</v>
      </c>
      <c r="B537" s="2" t="s">
        <v>1587</v>
      </c>
      <c r="D537" s="13" t="s">
        <v>1589</v>
      </c>
      <c r="E537" s="14">
        <v>530</v>
      </c>
      <c r="F537" s="104">
        <f t="shared" si="41"/>
        <v>19.433333333333334</v>
      </c>
      <c r="G537" s="104">
        <f t="shared" si="42"/>
        <v>18.867313915857604</v>
      </c>
      <c r="H537" s="104">
        <f t="shared" si="43"/>
        <v>18.507936507936506</v>
      </c>
      <c r="I537" s="104">
        <f t="shared" si="40"/>
        <v>21.2</v>
      </c>
      <c r="J537" s="133"/>
      <c r="K537" s="110">
        <f t="shared" si="44"/>
        <v>19.272727272727273</v>
      </c>
      <c r="L537" s="88"/>
      <c r="M537" s="2"/>
    </row>
    <row r="538" spans="1:13" ht="22.5" customHeight="1">
      <c r="A538" s="2" t="s">
        <v>1591</v>
      </c>
      <c r="B538" s="2" t="s">
        <v>1590</v>
      </c>
      <c r="D538" s="13" t="s">
        <v>1592</v>
      </c>
      <c r="E538" s="14">
        <v>730</v>
      </c>
      <c r="F538" s="104">
        <f t="shared" si="41"/>
        <v>26.766666666666669</v>
      </c>
      <c r="G538" s="104">
        <f t="shared" si="42"/>
        <v>25.987055016181234</v>
      </c>
      <c r="H538" s="104">
        <f t="shared" si="43"/>
        <v>25.492063492063494</v>
      </c>
      <c r="I538" s="104">
        <f t="shared" si="40"/>
        <v>29.2</v>
      </c>
      <c r="J538" s="133"/>
      <c r="K538" s="110">
        <f t="shared" si="44"/>
        <v>26.545454545454547</v>
      </c>
      <c r="L538" s="88"/>
      <c r="M538" s="2"/>
    </row>
    <row r="539" spans="1:13" ht="22.5" customHeight="1">
      <c r="A539" s="2" t="s">
        <v>1594</v>
      </c>
      <c r="B539" s="2" t="s">
        <v>1593</v>
      </c>
      <c r="D539" s="13" t="s">
        <v>1595</v>
      </c>
      <c r="E539" s="14">
        <v>630</v>
      </c>
      <c r="F539" s="104">
        <f t="shared" si="41"/>
        <v>23.1</v>
      </c>
      <c r="G539" s="104">
        <f t="shared" si="42"/>
        <v>22.427184466019419</v>
      </c>
      <c r="H539" s="104">
        <f t="shared" si="43"/>
        <v>22</v>
      </c>
      <c r="I539" s="104">
        <f t="shared" si="40"/>
        <v>25.2</v>
      </c>
      <c r="J539" s="133"/>
      <c r="K539" s="110">
        <f t="shared" si="44"/>
        <v>22.90909090909091</v>
      </c>
      <c r="L539" s="88"/>
      <c r="M539" s="2"/>
    </row>
    <row r="540" spans="1:13" ht="22.5" customHeight="1">
      <c r="A540" s="2" t="s">
        <v>1597</v>
      </c>
      <c r="B540" s="2" t="s">
        <v>1596</v>
      </c>
      <c r="D540" s="13" t="s">
        <v>1598</v>
      </c>
      <c r="E540" s="14">
        <v>641.64880000000005</v>
      </c>
      <c r="F540" s="104">
        <f t="shared" si="41"/>
        <v>23.527122666666671</v>
      </c>
      <c r="G540" s="104">
        <f t="shared" si="42"/>
        <v>22.841866666666668</v>
      </c>
      <c r="H540" s="104">
        <f t="shared" si="43"/>
        <v>22.406783492063493</v>
      </c>
      <c r="I540" s="104">
        <f t="shared" si="40"/>
        <v>25.665952000000001</v>
      </c>
      <c r="J540" s="133"/>
      <c r="K540" s="110">
        <f t="shared" si="44"/>
        <v>23.332683636363637</v>
      </c>
      <c r="L540" s="88"/>
      <c r="M540" s="2"/>
    </row>
    <row r="541" spans="1:13" ht="22.5" customHeight="1">
      <c r="A541" s="2" t="s">
        <v>1600</v>
      </c>
      <c r="B541" s="2" t="s">
        <v>1599</v>
      </c>
      <c r="D541" s="13" t="s">
        <v>1601</v>
      </c>
      <c r="E541" s="14">
        <v>720</v>
      </c>
      <c r="F541" s="104">
        <f t="shared" si="41"/>
        <v>26.400000000000002</v>
      </c>
      <c r="G541" s="104">
        <f t="shared" si="42"/>
        <v>25.631067961165048</v>
      </c>
      <c r="H541" s="104">
        <f t="shared" si="43"/>
        <v>25.142857142857142</v>
      </c>
      <c r="I541" s="104">
        <f t="shared" si="40"/>
        <v>28.8</v>
      </c>
      <c r="J541" s="133"/>
      <c r="K541" s="110">
        <f t="shared" si="44"/>
        <v>26.181818181818183</v>
      </c>
      <c r="L541" s="88"/>
      <c r="M541" s="2"/>
    </row>
    <row r="542" spans="1:13" ht="22.5" customHeight="1">
      <c r="A542" s="2" t="s">
        <v>1603</v>
      </c>
      <c r="B542" s="2" t="s">
        <v>1602</v>
      </c>
      <c r="D542" s="13" t="s">
        <v>1604</v>
      </c>
      <c r="E542" s="14">
        <v>674.85599999999999</v>
      </c>
      <c r="F542" s="104">
        <f t="shared" si="41"/>
        <v>24.744720000000004</v>
      </c>
      <c r="G542" s="104">
        <f t="shared" si="42"/>
        <v>24.024000000000008</v>
      </c>
      <c r="H542" s="104">
        <f t="shared" si="43"/>
        <v>23.566400000000005</v>
      </c>
      <c r="I542" s="104">
        <f t="shared" si="40"/>
        <v>26.994239999999998</v>
      </c>
      <c r="J542" s="133"/>
      <c r="K542" s="110">
        <f t="shared" si="44"/>
        <v>24.540218181818179</v>
      </c>
      <c r="L542" s="88"/>
      <c r="M542" s="2"/>
    </row>
    <row r="543" spans="1:13" ht="22.5" customHeight="1">
      <c r="A543" s="2" t="s">
        <v>1606</v>
      </c>
      <c r="B543" s="2" t="s">
        <v>1605</v>
      </c>
      <c r="D543" s="13" t="s">
        <v>1607</v>
      </c>
      <c r="E543" s="14">
        <v>660</v>
      </c>
      <c r="F543" s="104">
        <f t="shared" si="41"/>
        <v>24.200000000000003</v>
      </c>
      <c r="G543" s="104">
        <f t="shared" si="42"/>
        <v>23.495145631067967</v>
      </c>
      <c r="H543" s="104">
        <f t="shared" si="43"/>
        <v>23.047619047619051</v>
      </c>
      <c r="I543" s="104">
        <f t="shared" si="40"/>
        <v>26.4</v>
      </c>
      <c r="J543" s="133"/>
      <c r="K543" s="110">
        <f t="shared" si="44"/>
        <v>24</v>
      </c>
      <c r="L543" s="88"/>
      <c r="M543" s="2"/>
    </row>
    <row r="544" spans="1:13" ht="22.5" customHeight="1">
      <c r="A544" s="2" t="s">
        <v>1609</v>
      </c>
      <c r="B544" s="2" t="s">
        <v>1608</v>
      </c>
      <c r="D544" s="13" t="s">
        <v>1610</v>
      </c>
      <c r="E544" s="14">
        <v>629.86559999999997</v>
      </c>
      <c r="F544" s="104">
        <f t="shared" si="41"/>
        <v>23.095072000000002</v>
      </c>
      <c r="G544" s="104">
        <f t="shared" si="42"/>
        <v>22.4224</v>
      </c>
      <c r="H544" s="104">
        <f t="shared" si="43"/>
        <v>21.995306666666668</v>
      </c>
      <c r="I544" s="104">
        <f t="shared" si="40"/>
        <v>25.194623999999997</v>
      </c>
      <c r="J544" s="133"/>
      <c r="K544" s="110">
        <f t="shared" si="44"/>
        <v>22.904203636363636</v>
      </c>
      <c r="L544" s="88"/>
      <c r="M544" s="2"/>
    </row>
    <row r="545" spans="1:13" ht="22.5" customHeight="1">
      <c r="A545" s="2" t="s">
        <v>1612</v>
      </c>
      <c r="B545" s="2" t="s">
        <v>1611</v>
      </c>
      <c r="D545" s="13" t="s">
        <v>1613</v>
      </c>
      <c r="E545" s="14">
        <v>790</v>
      </c>
      <c r="F545" s="104">
        <f t="shared" si="41"/>
        <v>28.966666666666672</v>
      </c>
      <c r="G545" s="104">
        <f t="shared" si="42"/>
        <v>28.122977346278326</v>
      </c>
      <c r="H545" s="104">
        <f t="shared" si="43"/>
        <v>27.587301587301596</v>
      </c>
      <c r="I545" s="104">
        <f t="shared" si="40"/>
        <v>31.6</v>
      </c>
      <c r="J545" s="133"/>
      <c r="K545" s="110">
        <f t="shared" si="44"/>
        <v>28.727272727272727</v>
      </c>
      <c r="L545" s="88"/>
      <c r="M545" s="2"/>
    </row>
    <row r="546" spans="1:13" ht="22.5" customHeight="1">
      <c r="A546" s="2" t="s">
        <v>1615</v>
      </c>
      <c r="B546" s="2" t="s">
        <v>1614</v>
      </c>
      <c r="D546" s="13" t="s">
        <v>1616</v>
      </c>
      <c r="E546" s="14">
        <v>955.5104</v>
      </c>
      <c r="F546" s="104">
        <f t="shared" si="41"/>
        <v>35.035381333333341</v>
      </c>
      <c r="G546" s="104">
        <f t="shared" si="42"/>
        <v>34.014933333333339</v>
      </c>
      <c r="H546" s="104">
        <f t="shared" si="43"/>
        <v>33.367029841269847</v>
      </c>
      <c r="I546" s="104">
        <f t="shared" si="40"/>
        <v>38.220416</v>
      </c>
      <c r="J546" s="133"/>
      <c r="K546" s="110">
        <f t="shared" si="44"/>
        <v>34.745832727272727</v>
      </c>
      <c r="L546" s="88"/>
      <c r="M546" s="2"/>
    </row>
    <row r="547" spans="1:13" ht="22.5" customHeight="1">
      <c r="A547" s="2" t="s">
        <v>1618</v>
      </c>
      <c r="B547" s="2" t="s">
        <v>1617</v>
      </c>
      <c r="D547" s="13" t="s">
        <v>1619</v>
      </c>
      <c r="E547" s="14">
        <v>846.24800000000005</v>
      </c>
      <c r="F547" s="104">
        <f t="shared" si="41"/>
        <v>31.029093333333336</v>
      </c>
      <c r="G547" s="104">
        <f t="shared" si="42"/>
        <v>30.125333333333334</v>
      </c>
      <c r="H547" s="104">
        <f t="shared" si="43"/>
        <v>29.551517460317463</v>
      </c>
      <c r="I547" s="104">
        <f t="shared" si="40"/>
        <v>33.849920000000004</v>
      </c>
      <c r="J547" s="133"/>
      <c r="K547" s="110">
        <f t="shared" si="44"/>
        <v>30.772654545454547</v>
      </c>
      <c r="L547" s="88"/>
      <c r="M547" s="2"/>
    </row>
    <row r="548" spans="1:13" ht="22.5" customHeight="1">
      <c r="A548" s="2" t="s">
        <v>1621</v>
      </c>
      <c r="B548" s="2" t="s">
        <v>1620</v>
      </c>
      <c r="D548" s="13" t="s">
        <v>1622</v>
      </c>
      <c r="E548" s="14">
        <v>878.38400000000001</v>
      </c>
      <c r="F548" s="104">
        <f t="shared" si="41"/>
        <v>32.207413333333335</v>
      </c>
      <c r="G548" s="104">
        <f t="shared" si="42"/>
        <v>31.269333333333332</v>
      </c>
      <c r="H548" s="104">
        <f t="shared" si="43"/>
        <v>30.673726984126986</v>
      </c>
      <c r="I548" s="104">
        <f t="shared" si="40"/>
        <v>35.135359999999999</v>
      </c>
      <c r="J548" s="133"/>
      <c r="K548" s="110">
        <f t="shared" si="44"/>
        <v>31.941236363636364</v>
      </c>
      <c r="L548" s="88"/>
      <c r="M548" s="2"/>
    </row>
    <row r="549" spans="1:13" ht="22.5" customHeight="1">
      <c r="A549" s="2" t="s">
        <v>1624</v>
      </c>
      <c r="B549" s="2" t="s">
        <v>1623</v>
      </c>
      <c r="D549" s="13" t="s">
        <v>1625</v>
      </c>
      <c r="E549" s="14">
        <v>824.82400000000007</v>
      </c>
      <c r="F549" s="104">
        <f t="shared" si="41"/>
        <v>30.243546666666671</v>
      </c>
      <c r="G549" s="104">
        <f t="shared" si="42"/>
        <v>29.362666666666669</v>
      </c>
      <c r="H549" s="104">
        <f t="shared" si="43"/>
        <v>28.803377777777783</v>
      </c>
      <c r="I549" s="104">
        <f t="shared" si="40"/>
        <v>32.992960000000004</v>
      </c>
      <c r="J549" s="133"/>
      <c r="K549" s="110">
        <f t="shared" si="44"/>
        <v>29.993600000000001</v>
      </c>
      <c r="L549" s="88"/>
      <c r="M549" s="2"/>
    </row>
    <row r="550" spans="1:13" ht="22.5" customHeight="1">
      <c r="A550" s="2" t="s">
        <v>1627</v>
      </c>
      <c r="B550" s="2" t="s">
        <v>1626</v>
      </c>
      <c r="D550" s="13" t="s">
        <v>1628</v>
      </c>
      <c r="E550" s="14">
        <v>811.41257600000006</v>
      </c>
      <c r="F550" s="104">
        <f t="shared" si="41"/>
        <v>29.751794453333339</v>
      </c>
      <c r="G550" s="104">
        <f t="shared" si="42"/>
        <v>28.88523733333334</v>
      </c>
      <c r="H550" s="104">
        <f t="shared" si="43"/>
        <v>28.335042336507943</v>
      </c>
      <c r="I550" s="104">
        <f t="shared" si="40"/>
        <v>32.456503040000001</v>
      </c>
      <c r="J550" s="133"/>
      <c r="K550" s="110">
        <f t="shared" si="44"/>
        <v>29.505911854545452</v>
      </c>
      <c r="L550" s="88"/>
      <c r="M550" s="2"/>
    </row>
    <row r="551" spans="1:13" ht="22.5" customHeight="1">
      <c r="A551" s="2" t="s">
        <v>1630</v>
      </c>
      <c r="B551" s="2" t="s">
        <v>1629</v>
      </c>
      <c r="D551" s="13" t="s">
        <v>1631</v>
      </c>
      <c r="E551" s="14">
        <v>811.41257600000006</v>
      </c>
      <c r="F551" s="104">
        <f t="shared" si="41"/>
        <v>29.751794453333339</v>
      </c>
      <c r="G551" s="104">
        <f t="shared" si="42"/>
        <v>28.88523733333334</v>
      </c>
      <c r="H551" s="104">
        <f t="shared" si="43"/>
        <v>28.335042336507943</v>
      </c>
      <c r="I551" s="104">
        <f t="shared" si="40"/>
        <v>32.456503040000001</v>
      </c>
      <c r="J551" s="133"/>
      <c r="K551" s="110">
        <f t="shared" si="44"/>
        <v>29.505911854545452</v>
      </c>
      <c r="L551" s="88"/>
      <c r="M551" s="2"/>
    </row>
    <row r="552" spans="1:13" ht="22.5" customHeight="1">
      <c r="A552" s="2" t="s">
        <v>1633</v>
      </c>
      <c r="B552" s="2" t="s">
        <v>1632</v>
      </c>
      <c r="D552" s="13" t="s">
        <v>1634</v>
      </c>
      <c r="E552" s="14">
        <v>820</v>
      </c>
      <c r="F552" s="104">
        <f t="shared" si="41"/>
        <v>30.06666666666667</v>
      </c>
      <c r="G552" s="104">
        <f t="shared" si="42"/>
        <v>29.190938511326863</v>
      </c>
      <c r="H552" s="104">
        <f t="shared" si="43"/>
        <v>28.634920634920636</v>
      </c>
      <c r="I552" s="104">
        <f t="shared" si="40"/>
        <v>32.799999999999997</v>
      </c>
      <c r="J552" s="133"/>
      <c r="K552" s="110">
        <f t="shared" si="44"/>
        <v>29.818181818181817</v>
      </c>
      <c r="L552" s="88"/>
      <c r="M552" s="2"/>
    </row>
    <row r="553" spans="1:13" ht="22.5" customHeight="1">
      <c r="A553" s="2" t="s">
        <v>1636</v>
      </c>
      <c r="B553" s="2" t="s">
        <v>1635</v>
      </c>
      <c r="D553" s="13" t="s">
        <v>1637</v>
      </c>
      <c r="E553" s="14">
        <v>830</v>
      </c>
      <c r="F553" s="104">
        <f t="shared" si="41"/>
        <v>30.433333333333337</v>
      </c>
      <c r="G553" s="104">
        <f t="shared" si="42"/>
        <v>29.546925566343049</v>
      </c>
      <c r="H553" s="104">
        <f t="shared" si="43"/>
        <v>28.984126984126991</v>
      </c>
      <c r="I553" s="104">
        <f t="shared" si="40"/>
        <v>33.200000000000003</v>
      </c>
      <c r="J553" s="133"/>
      <c r="K553" s="110">
        <f t="shared" si="44"/>
        <v>30.181818181818183</v>
      </c>
      <c r="L553" s="88"/>
      <c r="M553" s="2"/>
    </row>
    <row r="554" spans="1:13" ht="22.5" customHeight="1">
      <c r="A554" s="2" t="s">
        <v>1639</v>
      </c>
      <c r="B554" s="2" t="s">
        <v>1638</v>
      </c>
      <c r="D554" s="13" t="s">
        <v>1640</v>
      </c>
      <c r="E554" s="14">
        <v>610.58400000000006</v>
      </c>
      <c r="F554" s="104">
        <f t="shared" si="41"/>
        <v>22.388080000000002</v>
      </c>
      <c r="G554" s="104">
        <f t="shared" si="42"/>
        <v>21.736000000000001</v>
      </c>
      <c r="H554" s="104">
        <f t="shared" si="43"/>
        <v>21.321980952380951</v>
      </c>
      <c r="I554" s="104">
        <f t="shared" si="40"/>
        <v>24.423360000000002</v>
      </c>
      <c r="J554" s="133"/>
      <c r="K554" s="110">
        <f t="shared" si="44"/>
        <v>22.203054545454549</v>
      </c>
      <c r="L554" s="88"/>
      <c r="M554" s="2"/>
    </row>
    <row r="555" spans="1:13" ht="22.5" customHeight="1">
      <c r="A555" s="2" t="s">
        <v>1642</v>
      </c>
      <c r="B555" s="2" t="s">
        <v>1641</v>
      </c>
      <c r="D555" s="13" t="s">
        <v>8561</v>
      </c>
      <c r="E555" s="14">
        <v>642.72</v>
      </c>
      <c r="F555" s="104">
        <f t="shared" si="41"/>
        <v>23.566400000000002</v>
      </c>
      <c r="G555" s="104">
        <f t="shared" si="42"/>
        <v>22.880000000000003</v>
      </c>
      <c r="H555" s="104">
        <f t="shared" si="43"/>
        <v>22.444190476190478</v>
      </c>
      <c r="I555" s="104">
        <f t="shared" si="40"/>
        <v>25.7088</v>
      </c>
      <c r="J555" s="133"/>
      <c r="K555" s="110">
        <f t="shared" si="44"/>
        <v>23.371636363636362</v>
      </c>
      <c r="L555" s="88"/>
      <c r="M555" s="2"/>
    </row>
    <row r="556" spans="1:13" ht="22.5" customHeight="1">
      <c r="A556" s="2" t="s">
        <v>1644</v>
      </c>
      <c r="B556" s="2" t="s">
        <v>1643</v>
      </c>
      <c r="D556" s="13" t="s">
        <v>1645</v>
      </c>
      <c r="E556" s="14">
        <v>1283.2976000000001</v>
      </c>
      <c r="F556" s="104">
        <f t="shared" si="41"/>
        <v>47.054245333333341</v>
      </c>
      <c r="G556" s="104">
        <f t="shared" si="42"/>
        <v>45.683733333333336</v>
      </c>
      <c r="H556" s="104">
        <f t="shared" si="43"/>
        <v>44.813566984126986</v>
      </c>
      <c r="I556" s="104">
        <f t="shared" si="40"/>
        <v>51.331904000000002</v>
      </c>
      <c r="J556" s="133"/>
      <c r="K556" s="110">
        <f t="shared" si="44"/>
        <v>46.665367272727273</v>
      </c>
      <c r="L556" s="88"/>
      <c r="M556" s="2"/>
    </row>
    <row r="557" spans="1:13" ht="22.5" customHeight="1">
      <c r="A557" s="2" t="s">
        <v>1647</v>
      </c>
      <c r="B557" s="2" t="s">
        <v>1646</v>
      </c>
      <c r="D557" s="13" t="s">
        <v>1648</v>
      </c>
      <c r="E557" s="14">
        <v>760.55200000000002</v>
      </c>
      <c r="F557" s="104">
        <f t="shared" si="41"/>
        <v>27.886906666666668</v>
      </c>
      <c r="G557" s="104">
        <f t="shared" si="42"/>
        <v>27.074666666666669</v>
      </c>
      <c r="H557" s="104">
        <f t="shared" si="43"/>
        <v>26.558958730158732</v>
      </c>
      <c r="I557" s="104">
        <f t="shared" si="40"/>
        <v>30.422080000000001</v>
      </c>
      <c r="J557" s="133"/>
      <c r="K557" s="110">
        <f t="shared" si="44"/>
        <v>27.656436363636367</v>
      </c>
      <c r="L557" s="88"/>
      <c r="M557" s="2"/>
    </row>
    <row r="558" spans="1:13" ht="22.5" customHeight="1">
      <c r="A558" s="2" t="s">
        <v>1650</v>
      </c>
      <c r="B558" s="2" t="s">
        <v>1649</v>
      </c>
      <c r="D558" s="13" t="s">
        <v>1651</v>
      </c>
      <c r="E558" s="14">
        <v>680</v>
      </c>
      <c r="F558" s="104">
        <f t="shared" si="41"/>
        <v>24.933333333333337</v>
      </c>
      <c r="G558" s="104">
        <f t="shared" si="42"/>
        <v>24.207119741100328</v>
      </c>
      <c r="H558" s="104">
        <f t="shared" si="43"/>
        <v>23.74603174603175</v>
      </c>
      <c r="I558" s="104">
        <f t="shared" si="40"/>
        <v>27.2</v>
      </c>
      <c r="J558" s="133"/>
      <c r="K558" s="110">
        <f t="shared" si="44"/>
        <v>24.727272727272727</v>
      </c>
      <c r="L558" s="88"/>
      <c r="M558" s="2"/>
    </row>
    <row r="559" spans="1:13" ht="22.5" customHeight="1">
      <c r="A559" s="2" t="s">
        <v>1653</v>
      </c>
      <c r="B559" s="2" t="s">
        <v>1652</v>
      </c>
      <c r="D559" s="13" t="s">
        <v>1654</v>
      </c>
      <c r="E559" s="14">
        <v>724.48469599999999</v>
      </c>
      <c r="F559" s="104">
        <f t="shared" si="41"/>
        <v>26.564438853333336</v>
      </c>
      <c r="G559" s="104">
        <f t="shared" si="42"/>
        <v>25.790717333333337</v>
      </c>
      <c r="H559" s="104">
        <f t="shared" si="43"/>
        <v>25.299465574603175</v>
      </c>
      <c r="I559" s="104">
        <f t="shared" si="40"/>
        <v>28.979387840000001</v>
      </c>
      <c r="J559" s="133"/>
      <c r="K559" s="110">
        <f t="shared" si="44"/>
        <v>26.344898036363638</v>
      </c>
      <c r="L559" s="88"/>
      <c r="M559" s="2"/>
    </row>
    <row r="560" spans="1:13" ht="22.5" customHeight="1">
      <c r="A560" s="2" t="s">
        <v>1656</v>
      </c>
      <c r="B560" s="2" t="s">
        <v>1655</v>
      </c>
      <c r="D560" s="13" t="s">
        <v>1657</v>
      </c>
      <c r="E560" s="14">
        <v>607.37040000000002</v>
      </c>
      <c r="F560" s="104">
        <f t="shared" si="41"/>
        <v>22.270248000000002</v>
      </c>
      <c r="G560" s="104">
        <f t="shared" si="42"/>
        <v>21.621600000000001</v>
      </c>
      <c r="H560" s="104">
        <f t="shared" si="43"/>
        <v>21.209760000000003</v>
      </c>
      <c r="I560" s="104">
        <f t="shared" si="40"/>
        <v>24.294816000000001</v>
      </c>
      <c r="J560" s="133"/>
      <c r="K560" s="110">
        <f t="shared" si="44"/>
        <v>22.086196363636361</v>
      </c>
      <c r="L560" s="88"/>
      <c r="M560" s="2"/>
    </row>
    <row r="561" spans="1:13" ht="22.5" customHeight="1">
      <c r="A561" s="2" t="s">
        <v>1659</v>
      </c>
      <c r="B561" s="2" t="s">
        <v>1658</v>
      </c>
      <c r="D561" s="13" t="s">
        <v>1660</v>
      </c>
      <c r="E561" s="14">
        <v>619.15359999999998</v>
      </c>
      <c r="F561" s="104">
        <f t="shared" si="41"/>
        <v>22.702298666666668</v>
      </c>
      <c r="G561" s="104">
        <f t="shared" si="42"/>
        <v>22.041066666666666</v>
      </c>
      <c r="H561" s="104">
        <f t="shared" si="43"/>
        <v>21.621236825396824</v>
      </c>
      <c r="I561" s="104">
        <f t="shared" si="40"/>
        <v>24.766143999999997</v>
      </c>
      <c r="J561" s="133"/>
      <c r="K561" s="110">
        <f t="shared" si="44"/>
        <v>22.514676363636362</v>
      </c>
      <c r="L561" s="88"/>
      <c r="M561" s="2"/>
    </row>
    <row r="562" spans="1:13" ht="22.5" customHeight="1">
      <c r="A562" s="2" t="s">
        <v>1662</v>
      </c>
      <c r="B562" s="2" t="s">
        <v>1661</v>
      </c>
      <c r="D562" s="13" t="s">
        <v>1663</v>
      </c>
      <c r="E562" s="14">
        <v>621.29599999999994</v>
      </c>
      <c r="F562" s="104">
        <f t="shared" si="41"/>
        <v>22.780853333333333</v>
      </c>
      <c r="G562" s="104">
        <f t="shared" si="42"/>
        <v>22.117333333333335</v>
      </c>
      <c r="H562" s="104">
        <f t="shared" si="43"/>
        <v>21.696050793650794</v>
      </c>
      <c r="I562" s="104">
        <f t="shared" si="40"/>
        <v>24.851839999999996</v>
      </c>
      <c r="J562" s="133"/>
      <c r="K562" s="110">
        <f t="shared" si="44"/>
        <v>22.592581818181817</v>
      </c>
      <c r="L562" s="88"/>
      <c r="M562" s="2"/>
    </row>
    <row r="563" spans="1:13" ht="22.5" customHeight="1">
      <c r="A563" s="2" t="s">
        <v>1665</v>
      </c>
      <c r="B563" s="2" t="s">
        <v>1664</v>
      </c>
      <c r="D563" s="13" t="s">
        <v>1666</v>
      </c>
      <c r="E563" s="14">
        <v>730.2477520000001</v>
      </c>
      <c r="F563" s="104">
        <f t="shared" si="41"/>
        <v>26.775750906666669</v>
      </c>
      <c r="G563" s="104">
        <f t="shared" si="42"/>
        <v>25.995874666666666</v>
      </c>
      <c r="H563" s="104">
        <f t="shared" si="43"/>
        <v>25.50071514920635</v>
      </c>
      <c r="I563" s="104">
        <f t="shared" si="40"/>
        <v>29.209910080000004</v>
      </c>
      <c r="J563" s="133"/>
      <c r="K563" s="110">
        <f t="shared" si="44"/>
        <v>26.554463709090914</v>
      </c>
      <c r="L563" s="88"/>
      <c r="M563" s="2"/>
    </row>
    <row r="564" spans="1:13" ht="22.5" customHeight="1">
      <c r="A564" s="2" t="s">
        <v>1668</v>
      </c>
      <c r="B564" s="2" t="s">
        <v>1667</v>
      </c>
      <c r="D564" s="13" t="s">
        <v>1669</v>
      </c>
      <c r="E564" s="14">
        <v>674.85599999999999</v>
      </c>
      <c r="F564" s="104">
        <f t="shared" si="41"/>
        <v>24.744720000000004</v>
      </c>
      <c r="G564" s="104">
        <f t="shared" si="42"/>
        <v>24.024000000000008</v>
      </c>
      <c r="H564" s="104">
        <f t="shared" si="43"/>
        <v>23.566400000000005</v>
      </c>
      <c r="I564" s="104">
        <f t="shared" si="40"/>
        <v>26.994239999999998</v>
      </c>
      <c r="J564" s="133"/>
      <c r="K564" s="110">
        <f t="shared" si="44"/>
        <v>24.540218181818179</v>
      </c>
      <c r="L564" s="88"/>
      <c r="M564" s="2"/>
    </row>
    <row r="565" spans="1:13" ht="22.5" customHeight="1">
      <c r="A565" s="2" t="s">
        <v>1671</v>
      </c>
      <c r="B565" s="2" t="s">
        <v>1670</v>
      </c>
      <c r="D565" s="13" t="s">
        <v>1672</v>
      </c>
      <c r="E565" s="14">
        <v>567.98237600000004</v>
      </c>
      <c r="F565" s="104">
        <f t="shared" si="41"/>
        <v>20.826020453333339</v>
      </c>
      <c r="G565" s="104">
        <f t="shared" si="42"/>
        <v>20.219437333333339</v>
      </c>
      <c r="H565" s="104">
        <f t="shared" si="43"/>
        <v>19.834305193650799</v>
      </c>
      <c r="I565" s="104">
        <f t="shared" si="40"/>
        <v>22.719295040000002</v>
      </c>
      <c r="J565" s="133"/>
      <c r="K565" s="110">
        <f t="shared" si="44"/>
        <v>20.653904581818182</v>
      </c>
      <c r="L565" s="88"/>
      <c r="M565" s="2"/>
    </row>
    <row r="566" spans="1:13" ht="22.5" customHeight="1">
      <c r="A566" s="2" t="s">
        <v>1674</v>
      </c>
      <c r="B566" s="2" t="s">
        <v>1673</v>
      </c>
      <c r="D566" s="13" t="s">
        <v>1675</v>
      </c>
      <c r="E566" s="14">
        <v>674.85599999999999</v>
      </c>
      <c r="F566" s="104">
        <f t="shared" si="41"/>
        <v>24.744720000000004</v>
      </c>
      <c r="G566" s="104">
        <f t="shared" si="42"/>
        <v>24.024000000000008</v>
      </c>
      <c r="H566" s="104">
        <f t="shared" si="43"/>
        <v>23.566400000000005</v>
      </c>
      <c r="I566" s="104">
        <f t="shared" si="40"/>
        <v>26.994239999999998</v>
      </c>
      <c r="J566" s="133"/>
      <c r="K566" s="110">
        <f t="shared" si="44"/>
        <v>24.540218181818179</v>
      </c>
      <c r="L566" s="88"/>
      <c r="M566" s="2"/>
    </row>
    <row r="567" spans="1:13" ht="22.5" customHeight="1">
      <c r="A567" s="2" t="s">
        <v>1677</v>
      </c>
      <c r="B567" s="2" t="s">
        <v>1676</v>
      </c>
      <c r="D567" s="13" t="s">
        <v>1678</v>
      </c>
      <c r="E567" s="14">
        <v>724.48469599999999</v>
      </c>
      <c r="F567" s="104">
        <f t="shared" si="41"/>
        <v>26.564438853333336</v>
      </c>
      <c r="G567" s="104">
        <f t="shared" si="42"/>
        <v>25.790717333333337</v>
      </c>
      <c r="H567" s="104">
        <f t="shared" si="43"/>
        <v>25.299465574603175</v>
      </c>
      <c r="I567" s="104">
        <f t="shared" si="40"/>
        <v>28.979387840000001</v>
      </c>
      <c r="J567" s="133"/>
      <c r="K567" s="110">
        <f t="shared" si="44"/>
        <v>26.344898036363638</v>
      </c>
      <c r="L567" s="88"/>
      <c r="M567" s="2"/>
    </row>
    <row r="568" spans="1:13" ht="22.5" customHeight="1">
      <c r="A568" s="2" t="s">
        <v>1680</v>
      </c>
      <c r="B568" s="2" t="s">
        <v>1679</v>
      </c>
      <c r="D568" s="13" t="s">
        <v>1681</v>
      </c>
      <c r="E568" s="14">
        <v>724.48469599999999</v>
      </c>
      <c r="F568" s="104">
        <f t="shared" si="41"/>
        <v>26.564438853333336</v>
      </c>
      <c r="G568" s="104">
        <f t="shared" si="42"/>
        <v>25.790717333333337</v>
      </c>
      <c r="H568" s="104">
        <f t="shared" si="43"/>
        <v>25.299465574603175</v>
      </c>
      <c r="I568" s="104">
        <f t="shared" si="40"/>
        <v>28.979387840000001</v>
      </c>
      <c r="J568" s="133"/>
      <c r="K568" s="110">
        <f t="shared" si="44"/>
        <v>26.344898036363638</v>
      </c>
      <c r="L568" s="88"/>
      <c r="M568" s="2"/>
    </row>
    <row r="569" spans="1:13" ht="22.5" customHeight="1">
      <c r="A569" s="2" t="s">
        <v>1683</v>
      </c>
      <c r="B569" s="2" t="s">
        <v>1682</v>
      </c>
      <c r="D569" s="13" t="s">
        <v>1684</v>
      </c>
      <c r="E569" s="14">
        <v>578.44800000000009</v>
      </c>
      <c r="F569" s="104">
        <f t="shared" si="41"/>
        <v>21.209760000000006</v>
      </c>
      <c r="G569" s="104">
        <f t="shared" si="42"/>
        <v>20.592000000000006</v>
      </c>
      <c r="H569" s="104">
        <f t="shared" si="43"/>
        <v>20.199771428571434</v>
      </c>
      <c r="I569" s="104">
        <f t="shared" si="40"/>
        <v>23.137920000000005</v>
      </c>
      <c r="J569" s="133"/>
      <c r="K569" s="110">
        <f t="shared" si="44"/>
        <v>21.034472727272732</v>
      </c>
      <c r="L569" s="88"/>
      <c r="M569" s="2"/>
    </row>
    <row r="570" spans="1:13" ht="22.5" customHeight="1">
      <c r="A570" s="2" t="s">
        <v>1686</v>
      </c>
      <c r="B570" s="2" t="s">
        <v>1685</v>
      </c>
      <c r="D570" s="13" t="s">
        <v>1687</v>
      </c>
      <c r="E570" s="14">
        <v>580</v>
      </c>
      <c r="F570" s="104">
        <f t="shared" si="41"/>
        <v>21.266666666666666</v>
      </c>
      <c r="G570" s="104">
        <f t="shared" si="42"/>
        <v>20.64724919093851</v>
      </c>
      <c r="H570" s="104">
        <f t="shared" si="43"/>
        <v>20.253968253968253</v>
      </c>
      <c r="I570" s="104">
        <f t="shared" si="40"/>
        <v>23.2</v>
      </c>
      <c r="J570" s="133"/>
      <c r="K570" s="110">
        <f t="shared" si="44"/>
        <v>21.09090909090909</v>
      </c>
      <c r="L570" s="88"/>
      <c r="M570" s="2"/>
    </row>
    <row r="571" spans="1:13" ht="22.5" customHeight="1">
      <c r="A571" s="2" t="s">
        <v>1689</v>
      </c>
      <c r="B571" s="2" t="s">
        <v>1688</v>
      </c>
      <c r="D571" s="13" t="s">
        <v>1690</v>
      </c>
      <c r="E571" s="14">
        <v>517.38959999999997</v>
      </c>
      <c r="F571" s="104">
        <f t="shared" si="41"/>
        <v>18.970952</v>
      </c>
      <c r="G571" s="104">
        <f t="shared" si="42"/>
        <v>18.418399999999998</v>
      </c>
      <c r="H571" s="104">
        <f t="shared" si="43"/>
        <v>18.067573333333332</v>
      </c>
      <c r="I571" s="104">
        <f t="shared" si="40"/>
        <v>20.695583999999997</v>
      </c>
      <c r="J571" s="133"/>
      <c r="K571" s="110">
        <f t="shared" si="44"/>
        <v>18.814167272727271</v>
      </c>
      <c r="L571" s="88"/>
      <c r="M571" s="2"/>
    </row>
    <row r="572" spans="1:13" ht="22.5" customHeight="1">
      <c r="A572" s="2" t="s">
        <v>1692</v>
      </c>
      <c r="B572" s="2" t="s">
        <v>1691</v>
      </c>
      <c r="D572" s="13" t="s">
        <v>1693</v>
      </c>
      <c r="E572" s="14">
        <v>724.48469599999999</v>
      </c>
      <c r="F572" s="104">
        <f t="shared" si="41"/>
        <v>26.564438853333336</v>
      </c>
      <c r="G572" s="104">
        <f t="shared" si="42"/>
        <v>25.790717333333337</v>
      </c>
      <c r="H572" s="104">
        <f t="shared" si="43"/>
        <v>25.299465574603175</v>
      </c>
      <c r="I572" s="104">
        <f t="shared" si="40"/>
        <v>28.979387840000001</v>
      </c>
      <c r="J572" s="133"/>
      <c r="K572" s="110">
        <f t="shared" si="44"/>
        <v>26.344898036363638</v>
      </c>
      <c r="L572" s="88"/>
      <c r="M572" s="2"/>
    </row>
    <row r="573" spans="1:13" ht="22.5" customHeight="1">
      <c r="A573" s="2" t="s">
        <v>1695</v>
      </c>
      <c r="B573" s="2" t="s">
        <v>1694</v>
      </c>
      <c r="D573" s="13" t="s">
        <v>1696</v>
      </c>
      <c r="E573" s="14">
        <v>1050</v>
      </c>
      <c r="F573" s="104">
        <f t="shared" si="41"/>
        <v>38.5</v>
      </c>
      <c r="G573" s="104">
        <f t="shared" si="42"/>
        <v>37.378640776699029</v>
      </c>
      <c r="H573" s="104">
        <f t="shared" si="43"/>
        <v>36.666666666666664</v>
      </c>
      <c r="I573" s="104">
        <f t="shared" si="40"/>
        <v>42</v>
      </c>
      <c r="J573" s="133"/>
      <c r="K573" s="110">
        <f t="shared" si="44"/>
        <v>38.18181818181818</v>
      </c>
      <c r="L573" s="88"/>
      <c r="M573" s="2"/>
    </row>
    <row r="574" spans="1:13" ht="22.5" customHeight="1">
      <c r="A574" s="2" t="s">
        <v>1698</v>
      </c>
      <c r="B574" s="2" t="s">
        <v>1697</v>
      </c>
      <c r="D574" s="13" t="s">
        <v>1699</v>
      </c>
      <c r="E574" s="14">
        <v>1060</v>
      </c>
      <c r="F574" s="104">
        <f t="shared" si="41"/>
        <v>38.866666666666667</v>
      </c>
      <c r="G574" s="104">
        <f t="shared" si="42"/>
        <v>37.734627831715208</v>
      </c>
      <c r="H574" s="104">
        <f t="shared" si="43"/>
        <v>37.015873015873012</v>
      </c>
      <c r="I574" s="104">
        <f t="shared" si="40"/>
        <v>42.4</v>
      </c>
      <c r="J574" s="133"/>
      <c r="K574" s="110">
        <f t="shared" si="44"/>
        <v>38.545454545454547</v>
      </c>
      <c r="L574" s="88"/>
      <c r="M574" s="2"/>
    </row>
    <row r="575" spans="1:13" ht="22.5" customHeight="1">
      <c r="A575" s="2" t="s">
        <v>1701</v>
      </c>
      <c r="B575" s="2" t="s">
        <v>1700</v>
      </c>
      <c r="D575" s="13" t="s">
        <v>1702</v>
      </c>
      <c r="E575" s="14">
        <v>1060</v>
      </c>
      <c r="F575" s="104">
        <f t="shared" si="41"/>
        <v>38.866666666666667</v>
      </c>
      <c r="G575" s="104">
        <f t="shared" si="42"/>
        <v>37.734627831715208</v>
      </c>
      <c r="H575" s="104">
        <f t="shared" si="43"/>
        <v>37.015873015873012</v>
      </c>
      <c r="I575" s="104">
        <f t="shared" si="40"/>
        <v>42.4</v>
      </c>
      <c r="J575" s="133"/>
      <c r="K575" s="110">
        <f t="shared" si="44"/>
        <v>38.545454545454547</v>
      </c>
      <c r="L575" s="88"/>
      <c r="M575" s="2"/>
    </row>
    <row r="576" spans="1:13" ht="22.5" customHeight="1">
      <c r="A576" s="2" t="s">
        <v>1704</v>
      </c>
      <c r="B576" s="2" t="s">
        <v>1703</v>
      </c>
      <c r="D576" s="13" t="s">
        <v>1705</v>
      </c>
      <c r="E576" s="14">
        <v>664.14400000000001</v>
      </c>
      <c r="F576" s="104">
        <f t="shared" si="41"/>
        <v>24.35194666666667</v>
      </c>
      <c r="G576" s="104">
        <f t="shared" si="42"/>
        <v>23.64266666666667</v>
      </c>
      <c r="H576" s="104">
        <f t="shared" si="43"/>
        <v>23.192330158730165</v>
      </c>
      <c r="I576" s="104">
        <f t="shared" si="40"/>
        <v>26.565760000000001</v>
      </c>
      <c r="J576" s="133"/>
      <c r="K576" s="110">
        <f t="shared" si="44"/>
        <v>24.150690909090908</v>
      </c>
      <c r="L576" s="88"/>
      <c r="M576" s="2"/>
    </row>
    <row r="577" spans="1:13" ht="22.5" customHeight="1">
      <c r="A577" s="2" t="s">
        <v>1707</v>
      </c>
      <c r="B577" s="2" t="s">
        <v>1706</v>
      </c>
      <c r="D577" s="13" t="s">
        <v>1708</v>
      </c>
      <c r="E577" s="14">
        <v>754.12480000000005</v>
      </c>
      <c r="F577" s="104">
        <f t="shared" si="41"/>
        <v>27.651242666666672</v>
      </c>
      <c r="G577" s="104">
        <f t="shared" si="42"/>
        <v>26.845866666666673</v>
      </c>
      <c r="H577" s="104">
        <f t="shared" si="43"/>
        <v>26.334516825396829</v>
      </c>
      <c r="I577" s="104">
        <f t="shared" si="40"/>
        <v>30.164992000000002</v>
      </c>
      <c r="J577" s="133"/>
      <c r="K577" s="110">
        <f t="shared" si="44"/>
        <v>27.422720000000002</v>
      </c>
      <c r="L577" s="88"/>
      <c r="M577" s="2"/>
    </row>
    <row r="578" spans="1:13" ht="22.5" customHeight="1">
      <c r="A578" s="2" t="s">
        <v>1710</v>
      </c>
      <c r="B578" s="2" t="s">
        <v>1709</v>
      </c>
      <c r="D578" s="13" t="s">
        <v>1711</v>
      </c>
      <c r="E578" s="14">
        <v>739.12800000000004</v>
      </c>
      <c r="F578" s="104">
        <f t="shared" si="41"/>
        <v>27.101360000000003</v>
      </c>
      <c r="G578" s="104">
        <f t="shared" si="42"/>
        <v>26.312000000000005</v>
      </c>
      <c r="H578" s="104">
        <f t="shared" si="43"/>
        <v>25.810819047619052</v>
      </c>
      <c r="I578" s="104">
        <f t="shared" ref="I578:I641" si="45">+(E578*1.2/30)</f>
        <v>29.56512</v>
      </c>
      <c r="J578" s="133"/>
      <c r="K578" s="110">
        <f t="shared" si="44"/>
        <v>26.877381818181821</v>
      </c>
      <c r="L578" s="88"/>
      <c r="M578" s="2"/>
    </row>
    <row r="579" spans="1:13" ht="22.5" customHeight="1">
      <c r="A579" s="2" t="s">
        <v>1713</v>
      </c>
      <c r="B579" s="2" t="s">
        <v>1712</v>
      </c>
      <c r="D579" s="13" t="s">
        <v>1714</v>
      </c>
      <c r="E579" s="14">
        <v>506.67759999999998</v>
      </c>
      <c r="F579" s="104">
        <f t="shared" ref="F579:F642" si="46">+(E579*1.1/30)</f>
        <v>18.578178666666666</v>
      </c>
      <c r="G579" s="104">
        <f t="shared" ref="G579:G642" si="47">+(F579*100/103)</f>
        <v>18.037066666666664</v>
      </c>
      <c r="H579" s="104">
        <f t="shared" ref="H579:H642" si="48">+(F579*100/105)</f>
        <v>17.693503492063492</v>
      </c>
      <c r="I579" s="104">
        <f t="shared" si="45"/>
        <v>20.267104</v>
      </c>
      <c r="J579" s="133"/>
      <c r="K579" s="110">
        <f t="shared" ref="K579:K642" si="49">+(E579*1.2/33)</f>
        <v>18.42464</v>
      </c>
      <c r="L579" s="88"/>
      <c r="M579" s="2"/>
    </row>
    <row r="580" spans="1:13" ht="22.5" customHeight="1">
      <c r="A580" s="2" t="s">
        <v>1716</v>
      </c>
      <c r="B580" s="2" t="s">
        <v>1715</v>
      </c>
      <c r="D580" s="13" t="s">
        <v>1717</v>
      </c>
      <c r="E580" s="14">
        <v>664.14400000000001</v>
      </c>
      <c r="F580" s="104">
        <f t="shared" si="46"/>
        <v>24.35194666666667</v>
      </c>
      <c r="G580" s="104">
        <f t="shared" si="47"/>
        <v>23.64266666666667</v>
      </c>
      <c r="H580" s="104">
        <f t="shared" si="48"/>
        <v>23.192330158730165</v>
      </c>
      <c r="I580" s="104">
        <f t="shared" si="45"/>
        <v>26.565760000000001</v>
      </c>
      <c r="J580" s="133"/>
      <c r="K580" s="110">
        <f t="shared" si="49"/>
        <v>24.150690909090908</v>
      </c>
      <c r="L580" s="88"/>
      <c r="M580" s="2"/>
    </row>
    <row r="581" spans="1:13" ht="22.5" customHeight="1">
      <c r="A581" s="2" t="s">
        <v>1719</v>
      </c>
      <c r="B581" s="2" t="s">
        <v>1718</v>
      </c>
      <c r="D581" s="13" t="s">
        <v>1720</v>
      </c>
      <c r="E581" s="14">
        <v>449.904</v>
      </c>
      <c r="F581" s="104">
        <f t="shared" si="46"/>
        <v>16.496480000000002</v>
      </c>
      <c r="G581" s="104">
        <f t="shared" si="47"/>
        <v>16.016000000000002</v>
      </c>
      <c r="H581" s="104">
        <f t="shared" si="48"/>
        <v>15.710933333333335</v>
      </c>
      <c r="I581" s="104">
        <f t="shared" si="45"/>
        <v>17.996159999999996</v>
      </c>
      <c r="J581" s="133"/>
      <c r="K581" s="110">
        <f t="shared" si="49"/>
        <v>16.360145454545453</v>
      </c>
      <c r="L581" s="88"/>
      <c r="M581" s="2"/>
    </row>
    <row r="582" spans="1:13" ht="22.5" customHeight="1">
      <c r="A582" s="2" t="s">
        <v>1722</v>
      </c>
      <c r="B582" s="2" t="s">
        <v>1721</v>
      </c>
      <c r="D582" s="13" t="s">
        <v>1723</v>
      </c>
      <c r="E582" s="14">
        <v>500</v>
      </c>
      <c r="F582" s="104">
        <f t="shared" si="46"/>
        <v>18.333333333333332</v>
      </c>
      <c r="G582" s="104">
        <f t="shared" si="47"/>
        <v>17.79935275080906</v>
      </c>
      <c r="H582" s="104">
        <f t="shared" si="48"/>
        <v>17.460317460317459</v>
      </c>
      <c r="I582" s="104">
        <f t="shared" si="45"/>
        <v>20</v>
      </c>
      <c r="J582" s="133"/>
      <c r="K582" s="110">
        <f t="shared" si="49"/>
        <v>18.181818181818183</v>
      </c>
      <c r="L582" s="88"/>
      <c r="M582" s="2"/>
    </row>
    <row r="583" spans="1:13" ht="22.5" customHeight="1">
      <c r="A583" s="2" t="s">
        <v>1725</v>
      </c>
      <c r="B583" s="2" t="s">
        <v>1724</v>
      </c>
      <c r="D583" s="13" t="s">
        <v>1726</v>
      </c>
      <c r="E583" s="14">
        <v>629.86559999999997</v>
      </c>
      <c r="F583" s="104">
        <f t="shared" si="46"/>
        <v>23.095072000000002</v>
      </c>
      <c r="G583" s="104">
        <f t="shared" si="47"/>
        <v>22.4224</v>
      </c>
      <c r="H583" s="104">
        <f t="shared" si="48"/>
        <v>21.995306666666668</v>
      </c>
      <c r="I583" s="104">
        <f t="shared" si="45"/>
        <v>25.194623999999997</v>
      </c>
      <c r="J583" s="133"/>
      <c r="K583" s="110">
        <f t="shared" si="49"/>
        <v>22.904203636363636</v>
      </c>
      <c r="L583" s="88"/>
      <c r="M583" s="2"/>
    </row>
    <row r="584" spans="1:13" ht="22.5" customHeight="1">
      <c r="A584" s="2" t="s">
        <v>1728</v>
      </c>
      <c r="B584" s="2" t="s">
        <v>1727</v>
      </c>
      <c r="D584" s="13" t="s">
        <v>1729</v>
      </c>
      <c r="E584" s="14">
        <v>619.15359999999998</v>
      </c>
      <c r="F584" s="104">
        <f t="shared" si="46"/>
        <v>22.702298666666668</v>
      </c>
      <c r="G584" s="104">
        <f t="shared" si="47"/>
        <v>22.041066666666666</v>
      </c>
      <c r="H584" s="104">
        <f t="shared" si="48"/>
        <v>21.621236825396824</v>
      </c>
      <c r="I584" s="104">
        <f t="shared" si="45"/>
        <v>24.766143999999997</v>
      </c>
      <c r="J584" s="133"/>
      <c r="K584" s="110">
        <f t="shared" si="49"/>
        <v>22.514676363636362</v>
      </c>
      <c r="L584" s="88"/>
      <c r="M584" s="2"/>
    </row>
    <row r="585" spans="1:13" ht="22.5" customHeight="1">
      <c r="A585" s="2" t="s">
        <v>1731</v>
      </c>
      <c r="B585" s="2" t="s">
        <v>1730</v>
      </c>
      <c r="D585" s="13" t="s">
        <v>1732</v>
      </c>
      <c r="E585" s="14">
        <v>780</v>
      </c>
      <c r="F585" s="104">
        <f t="shared" si="46"/>
        <v>28.600000000000005</v>
      </c>
      <c r="G585" s="104">
        <f t="shared" si="47"/>
        <v>27.76699029126214</v>
      </c>
      <c r="H585" s="104">
        <f t="shared" si="48"/>
        <v>27.238095238095241</v>
      </c>
      <c r="I585" s="104">
        <f t="shared" si="45"/>
        <v>31.2</v>
      </c>
      <c r="J585" s="133"/>
      <c r="K585" s="110">
        <f t="shared" si="49"/>
        <v>28.363636363636363</v>
      </c>
      <c r="L585" s="88"/>
      <c r="M585" s="2"/>
    </row>
    <row r="586" spans="1:13" ht="22.5" customHeight="1">
      <c r="A586" s="2" t="s">
        <v>1734</v>
      </c>
      <c r="B586" s="2" t="s">
        <v>1733</v>
      </c>
      <c r="D586" s="13" t="s">
        <v>1735</v>
      </c>
      <c r="E586" s="14">
        <v>742.34159999999997</v>
      </c>
      <c r="F586" s="104">
        <f t="shared" si="46"/>
        <v>27.219192000000003</v>
      </c>
      <c r="G586" s="104">
        <f t="shared" si="47"/>
        <v>26.426400000000001</v>
      </c>
      <c r="H586" s="104">
        <f t="shared" si="48"/>
        <v>25.923040000000004</v>
      </c>
      <c r="I586" s="104">
        <f t="shared" si="45"/>
        <v>29.693663999999998</v>
      </c>
      <c r="J586" s="133"/>
      <c r="K586" s="110">
        <f t="shared" si="49"/>
        <v>26.994239999999998</v>
      </c>
      <c r="L586" s="88"/>
      <c r="M586" s="2"/>
    </row>
    <row r="587" spans="1:13" ht="22.5" customHeight="1">
      <c r="A587" s="2" t="s">
        <v>1737</v>
      </c>
      <c r="B587" s="2" t="s">
        <v>1736</v>
      </c>
      <c r="D587" s="13" t="s">
        <v>1738</v>
      </c>
      <c r="E587" s="14">
        <v>724.47398400000009</v>
      </c>
      <c r="F587" s="104">
        <f t="shared" si="46"/>
        <v>26.564046080000008</v>
      </c>
      <c r="G587" s="104">
        <f t="shared" si="47"/>
        <v>25.790336000000007</v>
      </c>
      <c r="H587" s="104">
        <f t="shared" si="48"/>
        <v>25.299091504761911</v>
      </c>
      <c r="I587" s="104">
        <f t="shared" si="45"/>
        <v>28.978959360000001</v>
      </c>
      <c r="J587" s="133"/>
      <c r="K587" s="110">
        <f t="shared" si="49"/>
        <v>26.344508509090911</v>
      </c>
      <c r="L587" s="88"/>
      <c r="M587" s="2"/>
    </row>
    <row r="588" spans="1:13" ht="22.5" customHeight="1">
      <c r="A588" s="2" t="s">
        <v>1740</v>
      </c>
      <c r="B588" s="2" t="s">
        <v>1739</v>
      </c>
      <c r="D588" s="13" t="s">
        <v>8088</v>
      </c>
      <c r="E588" s="14">
        <v>584.87519999999995</v>
      </c>
      <c r="F588" s="104">
        <f t="shared" si="46"/>
        <v>21.445423999999999</v>
      </c>
      <c r="G588" s="104">
        <f t="shared" si="47"/>
        <v>20.820799999999998</v>
      </c>
      <c r="H588" s="104">
        <f t="shared" si="48"/>
        <v>20.424213333333331</v>
      </c>
      <c r="I588" s="104">
        <f t="shared" si="45"/>
        <v>23.395007999999997</v>
      </c>
      <c r="J588" s="133"/>
      <c r="K588" s="110">
        <f t="shared" si="49"/>
        <v>21.268189090909086</v>
      </c>
      <c r="L588" s="88"/>
      <c r="M588" s="2"/>
    </row>
    <row r="589" spans="1:13" ht="22.5" customHeight="1">
      <c r="A589" s="2" t="s">
        <v>1742</v>
      </c>
      <c r="B589" s="2" t="s">
        <v>1741</v>
      </c>
      <c r="D589" s="13" t="s">
        <v>1743</v>
      </c>
      <c r="E589" s="14">
        <v>567.73599999999999</v>
      </c>
      <c r="F589" s="104">
        <f t="shared" si="46"/>
        <v>20.816986666666669</v>
      </c>
      <c r="G589" s="104">
        <f t="shared" si="47"/>
        <v>20.210666666666668</v>
      </c>
      <c r="H589" s="104">
        <f t="shared" si="48"/>
        <v>19.825701587301587</v>
      </c>
      <c r="I589" s="104">
        <f t="shared" si="45"/>
        <v>22.709439999999997</v>
      </c>
      <c r="J589" s="133"/>
      <c r="K589" s="110">
        <f t="shared" si="49"/>
        <v>20.644945454545454</v>
      </c>
      <c r="L589" s="88"/>
      <c r="M589" s="2"/>
    </row>
    <row r="590" spans="1:13" ht="22.5" customHeight="1">
      <c r="A590" s="2" t="s">
        <v>1745</v>
      </c>
      <c r="B590" s="2" t="s">
        <v>1744</v>
      </c>
      <c r="D590" s="13" t="s">
        <v>1746</v>
      </c>
      <c r="E590" s="14">
        <v>750</v>
      </c>
      <c r="F590" s="104">
        <f t="shared" si="46"/>
        <v>27.500000000000004</v>
      </c>
      <c r="G590" s="104">
        <f t="shared" si="47"/>
        <v>26.699029126213595</v>
      </c>
      <c r="H590" s="104">
        <f t="shared" si="48"/>
        <v>26.190476190476193</v>
      </c>
      <c r="I590" s="104">
        <f t="shared" si="45"/>
        <v>30</v>
      </c>
      <c r="J590" s="133"/>
      <c r="K590" s="110">
        <f t="shared" si="49"/>
        <v>27.272727272727273</v>
      </c>
      <c r="L590" s="88"/>
      <c r="M590" s="2"/>
    </row>
    <row r="591" spans="1:13" ht="22.5" customHeight="1">
      <c r="A591" s="2" t="s">
        <v>1748</v>
      </c>
      <c r="B591" s="2" t="s">
        <v>1747</v>
      </c>
      <c r="D591" s="13" t="s">
        <v>1749</v>
      </c>
      <c r="E591" s="14">
        <v>749.84</v>
      </c>
      <c r="F591" s="104">
        <f t="shared" si="46"/>
        <v>27.494133333333334</v>
      </c>
      <c r="G591" s="104">
        <f t="shared" si="47"/>
        <v>26.693333333333335</v>
      </c>
      <c r="H591" s="104">
        <f t="shared" si="48"/>
        <v>26.184888888888889</v>
      </c>
      <c r="I591" s="104">
        <f t="shared" si="45"/>
        <v>29.993600000000001</v>
      </c>
      <c r="J591" s="133"/>
      <c r="K591" s="110">
        <f t="shared" si="49"/>
        <v>27.266909090909092</v>
      </c>
      <c r="L591" s="88"/>
      <c r="M591" s="2"/>
    </row>
    <row r="592" spans="1:13" ht="22.5" customHeight="1">
      <c r="A592" s="2" t="s">
        <v>1751</v>
      </c>
      <c r="B592" s="2" t="s">
        <v>1750</v>
      </c>
      <c r="D592" s="13" t="s">
        <v>1752</v>
      </c>
      <c r="E592" s="14">
        <v>731.62959999999998</v>
      </c>
      <c r="F592" s="104">
        <f t="shared" si="46"/>
        <v>26.826418666666669</v>
      </c>
      <c r="G592" s="104">
        <f t="shared" si="47"/>
        <v>26.045066666666667</v>
      </c>
      <c r="H592" s="104">
        <f t="shared" si="48"/>
        <v>25.54897015873016</v>
      </c>
      <c r="I592" s="104">
        <f t="shared" si="45"/>
        <v>29.265183999999998</v>
      </c>
      <c r="J592" s="133"/>
      <c r="K592" s="110">
        <f t="shared" si="49"/>
        <v>26.604712727272727</v>
      </c>
      <c r="L592" s="88"/>
      <c r="M592" s="2"/>
    </row>
    <row r="593" spans="1:13" ht="22.5" customHeight="1">
      <c r="A593" s="2" t="s">
        <v>1754</v>
      </c>
      <c r="B593" s="2" t="s">
        <v>1753</v>
      </c>
      <c r="D593" s="13" t="s">
        <v>1755</v>
      </c>
      <c r="E593" s="14">
        <v>787.33200000000011</v>
      </c>
      <c r="F593" s="104">
        <f t="shared" si="46"/>
        <v>28.868840000000009</v>
      </c>
      <c r="G593" s="104">
        <f t="shared" si="47"/>
        <v>28.028000000000009</v>
      </c>
      <c r="H593" s="104">
        <f t="shared" si="48"/>
        <v>27.494133333333341</v>
      </c>
      <c r="I593" s="104">
        <f t="shared" si="45"/>
        <v>31.493280000000006</v>
      </c>
      <c r="J593" s="133"/>
      <c r="K593" s="110">
        <f t="shared" si="49"/>
        <v>28.630254545454548</v>
      </c>
      <c r="L593" s="88"/>
      <c r="M593" s="2"/>
    </row>
    <row r="594" spans="1:13" ht="22.5" customHeight="1">
      <c r="A594" s="2" t="s">
        <v>1757</v>
      </c>
      <c r="B594" s="2" t="s">
        <v>1756</v>
      </c>
      <c r="D594" s="13" t="s">
        <v>1758</v>
      </c>
      <c r="E594" s="14">
        <v>610</v>
      </c>
      <c r="F594" s="104">
        <f t="shared" si="46"/>
        <v>22.366666666666667</v>
      </c>
      <c r="G594" s="104">
        <f t="shared" si="47"/>
        <v>21.715210355987054</v>
      </c>
      <c r="H594" s="104">
        <f t="shared" si="48"/>
        <v>21.301587301587301</v>
      </c>
      <c r="I594" s="104">
        <f t="shared" si="45"/>
        <v>24.4</v>
      </c>
      <c r="J594" s="133"/>
      <c r="K594" s="110">
        <f t="shared" si="49"/>
        <v>22.181818181818183</v>
      </c>
      <c r="L594" s="88"/>
      <c r="M594" s="2"/>
    </row>
    <row r="595" spans="1:13" ht="22.5" customHeight="1">
      <c r="A595" s="2" t="s">
        <v>1760</v>
      </c>
      <c r="B595" s="2" t="s">
        <v>1759</v>
      </c>
      <c r="D595" s="13" t="s">
        <v>1761</v>
      </c>
      <c r="E595" s="14">
        <v>856.96</v>
      </c>
      <c r="F595" s="104">
        <f t="shared" si="46"/>
        <v>31.42186666666667</v>
      </c>
      <c r="G595" s="104">
        <f t="shared" si="47"/>
        <v>30.506666666666668</v>
      </c>
      <c r="H595" s="104">
        <f t="shared" si="48"/>
        <v>29.925587301587303</v>
      </c>
      <c r="I595" s="104">
        <f t="shared" si="45"/>
        <v>34.278400000000005</v>
      </c>
      <c r="J595" s="133"/>
      <c r="K595" s="110">
        <f t="shared" si="49"/>
        <v>31.162181818181821</v>
      </c>
      <c r="L595" s="88"/>
      <c r="M595" s="2"/>
    </row>
    <row r="596" spans="1:13" ht="22.5" customHeight="1">
      <c r="A596" s="2" t="s">
        <v>1763</v>
      </c>
      <c r="B596" s="2" t="s">
        <v>1762</v>
      </c>
      <c r="D596" s="13" t="s">
        <v>1764</v>
      </c>
      <c r="E596" s="14">
        <v>749.84</v>
      </c>
      <c r="F596" s="104">
        <f t="shared" si="46"/>
        <v>27.494133333333334</v>
      </c>
      <c r="G596" s="104">
        <f t="shared" si="47"/>
        <v>26.693333333333335</v>
      </c>
      <c r="H596" s="104">
        <f t="shared" si="48"/>
        <v>26.184888888888889</v>
      </c>
      <c r="I596" s="104">
        <f t="shared" si="45"/>
        <v>29.993600000000001</v>
      </c>
      <c r="J596" s="133"/>
      <c r="K596" s="110">
        <f t="shared" si="49"/>
        <v>27.266909090909092</v>
      </c>
      <c r="L596" s="88"/>
      <c r="M596" s="2"/>
    </row>
    <row r="597" spans="1:13" ht="22.5" customHeight="1">
      <c r="A597" s="2" t="s">
        <v>1766</v>
      </c>
      <c r="B597" s="2" t="s">
        <v>1765</v>
      </c>
      <c r="D597" s="13" t="s">
        <v>1767</v>
      </c>
      <c r="E597" s="14">
        <v>562.38</v>
      </c>
      <c r="F597" s="104">
        <f t="shared" si="46"/>
        <v>20.620600000000003</v>
      </c>
      <c r="G597" s="104">
        <f t="shared" si="47"/>
        <v>20.020000000000003</v>
      </c>
      <c r="H597" s="104">
        <f t="shared" si="48"/>
        <v>19.638666666666669</v>
      </c>
      <c r="I597" s="104">
        <f t="shared" si="45"/>
        <v>22.495200000000001</v>
      </c>
      <c r="J597" s="133"/>
      <c r="K597" s="110">
        <f t="shared" si="49"/>
        <v>20.450181818181818</v>
      </c>
      <c r="L597" s="88"/>
      <c r="M597" s="2"/>
    </row>
    <row r="598" spans="1:13" ht="22.5" customHeight="1">
      <c r="A598" s="2" t="s">
        <v>1769</v>
      </c>
      <c r="B598" s="2" t="s">
        <v>1768</v>
      </c>
      <c r="D598" s="13" t="s">
        <v>1770</v>
      </c>
      <c r="E598" s="14">
        <v>724.47398400000009</v>
      </c>
      <c r="F598" s="104">
        <f t="shared" si="46"/>
        <v>26.564046080000008</v>
      </c>
      <c r="G598" s="104">
        <f t="shared" si="47"/>
        <v>25.790336000000007</v>
      </c>
      <c r="H598" s="104">
        <f t="shared" si="48"/>
        <v>25.299091504761911</v>
      </c>
      <c r="I598" s="104">
        <f t="shared" si="45"/>
        <v>28.978959360000001</v>
      </c>
      <c r="J598" s="133"/>
      <c r="K598" s="110">
        <f t="shared" si="49"/>
        <v>26.344508509090911</v>
      </c>
      <c r="L598" s="88"/>
      <c r="M598" s="2"/>
    </row>
    <row r="599" spans="1:13" ht="22.5" customHeight="1">
      <c r="A599" s="2" t="s">
        <v>1772</v>
      </c>
      <c r="B599" s="2" t="s">
        <v>1771</v>
      </c>
      <c r="D599" s="13" t="s">
        <v>1773</v>
      </c>
      <c r="E599" s="14">
        <v>674.85599999999999</v>
      </c>
      <c r="F599" s="104">
        <f t="shared" si="46"/>
        <v>24.744720000000004</v>
      </c>
      <c r="G599" s="104">
        <f t="shared" si="47"/>
        <v>24.024000000000008</v>
      </c>
      <c r="H599" s="104">
        <f t="shared" si="48"/>
        <v>23.566400000000005</v>
      </c>
      <c r="I599" s="104">
        <f t="shared" si="45"/>
        <v>26.994239999999998</v>
      </c>
      <c r="J599" s="133"/>
      <c r="K599" s="110">
        <f t="shared" si="49"/>
        <v>24.540218181818179</v>
      </c>
      <c r="L599" s="88"/>
      <c r="M599" s="2"/>
    </row>
    <row r="600" spans="1:13" ht="22.5" customHeight="1">
      <c r="A600" s="2" t="s">
        <v>1775</v>
      </c>
      <c r="B600" s="2" t="s">
        <v>1774</v>
      </c>
      <c r="D600" s="13" t="s">
        <v>1776</v>
      </c>
      <c r="E600" s="14">
        <v>724.13119999999992</v>
      </c>
      <c r="F600" s="104">
        <f t="shared" si="46"/>
        <v>26.551477333333331</v>
      </c>
      <c r="G600" s="104">
        <f t="shared" si="47"/>
        <v>25.778133333333333</v>
      </c>
      <c r="H600" s="104">
        <f t="shared" si="48"/>
        <v>25.287121269841268</v>
      </c>
      <c r="I600" s="104">
        <f t="shared" si="45"/>
        <v>28.965247999999995</v>
      </c>
      <c r="J600" s="133"/>
      <c r="K600" s="110">
        <f t="shared" si="49"/>
        <v>26.332043636363633</v>
      </c>
      <c r="L600" s="88"/>
      <c r="M600" s="2"/>
    </row>
    <row r="601" spans="1:13" ht="22.5" customHeight="1">
      <c r="A601" s="2" t="s">
        <v>1778</v>
      </c>
      <c r="B601" s="2" t="s">
        <v>1777</v>
      </c>
      <c r="D601" s="13" t="s">
        <v>1779</v>
      </c>
      <c r="E601" s="14">
        <v>970</v>
      </c>
      <c r="F601" s="104">
        <f t="shared" si="46"/>
        <v>35.56666666666667</v>
      </c>
      <c r="G601" s="104">
        <f t="shared" si="47"/>
        <v>34.530744336569583</v>
      </c>
      <c r="H601" s="104">
        <f t="shared" si="48"/>
        <v>33.873015873015873</v>
      </c>
      <c r="I601" s="104">
        <f t="shared" si="45"/>
        <v>38.799999999999997</v>
      </c>
      <c r="J601" s="133"/>
      <c r="K601" s="110">
        <f t="shared" si="49"/>
        <v>35.272727272727273</v>
      </c>
      <c r="L601" s="88"/>
      <c r="M601" s="2"/>
    </row>
    <row r="602" spans="1:13" ht="22.5" customHeight="1">
      <c r="A602" s="2" t="s">
        <v>1781</v>
      </c>
      <c r="B602" s="2" t="s">
        <v>1780</v>
      </c>
      <c r="D602" s="13" t="s">
        <v>1782</v>
      </c>
      <c r="E602" s="14">
        <v>610.58400000000006</v>
      </c>
      <c r="F602" s="104">
        <f t="shared" si="46"/>
        <v>22.388080000000002</v>
      </c>
      <c r="G602" s="104">
        <f t="shared" si="47"/>
        <v>21.736000000000001</v>
      </c>
      <c r="H602" s="104">
        <f t="shared" si="48"/>
        <v>21.321980952380951</v>
      </c>
      <c r="I602" s="104">
        <f t="shared" si="45"/>
        <v>24.423360000000002</v>
      </c>
      <c r="J602" s="133"/>
      <c r="K602" s="110">
        <f t="shared" si="49"/>
        <v>22.203054545454549</v>
      </c>
      <c r="L602" s="88"/>
      <c r="M602" s="2"/>
    </row>
    <row r="603" spans="1:13" ht="22.5" customHeight="1">
      <c r="A603" s="2" t="s">
        <v>1784</v>
      </c>
      <c r="B603" s="2" t="s">
        <v>1783</v>
      </c>
      <c r="D603" s="13" t="s">
        <v>1785</v>
      </c>
      <c r="E603" s="14">
        <v>674.85599999999999</v>
      </c>
      <c r="F603" s="104">
        <f t="shared" si="46"/>
        <v>24.744720000000004</v>
      </c>
      <c r="G603" s="104">
        <f t="shared" si="47"/>
        <v>24.024000000000008</v>
      </c>
      <c r="H603" s="104">
        <f t="shared" si="48"/>
        <v>23.566400000000005</v>
      </c>
      <c r="I603" s="104">
        <f t="shared" si="45"/>
        <v>26.994239999999998</v>
      </c>
      <c r="J603" s="133"/>
      <c r="K603" s="110">
        <f t="shared" si="49"/>
        <v>24.540218181818179</v>
      </c>
      <c r="L603" s="88"/>
      <c r="M603" s="2"/>
    </row>
    <row r="604" spans="1:13" ht="22.5" customHeight="1">
      <c r="A604" s="2" t="s">
        <v>1787</v>
      </c>
      <c r="B604" s="2" t="s">
        <v>1786</v>
      </c>
      <c r="D604" s="13" t="s">
        <v>1788</v>
      </c>
      <c r="E604" s="14">
        <v>781.976</v>
      </c>
      <c r="F604" s="104">
        <f t="shared" si="46"/>
        <v>28.672453333333337</v>
      </c>
      <c r="G604" s="104">
        <f t="shared" si="47"/>
        <v>27.837333333333337</v>
      </c>
      <c r="H604" s="104">
        <f t="shared" si="48"/>
        <v>27.307098412698416</v>
      </c>
      <c r="I604" s="104">
        <f t="shared" si="45"/>
        <v>31.279039999999998</v>
      </c>
      <c r="J604" s="133"/>
      <c r="K604" s="110">
        <f t="shared" si="49"/>
        <v>28.435490909090905</v>
      </c>
      <c r="L604" s="88"/>
      <c r="M604" s="2"/>
    </row>
    <row r="605" spans="1:13" ht="22.5" customHeight="1">
      <c r="A605" s="2" t="s">
        <v>1790</v>
      </c>
      <c r="B605" s="2" t="s">
        <v>1789</v>
      </c>
      <c r="D605" s="13" t="s">
        <v>1791</v>
      </c>
      <c r="E605" s="14">
        <v>607.37040000000002</v>
      </c>
      <c r="F605" s="104">
        <f t="shared" si="46"/>
        <v>22.270248000000002</v>
      </c>
      <c r="G605" s="104">
        <f t="shared" si="47"/>
        <v>21.621600000000001</v>
      </c>
      <c r="H605" s="104">
        <f t="shared" si="48"/>
        <v>21.209760000000003</v>
      </c>
      <c r="I605" s="104">
        <f t="shared" si="45"/>
        <v>24.294816000000001</v>
      </c>
      <c r="J605" s="133"/>
      <c r="K605" s="110">
        <f t="shared" si="49"/>
        <v>22.086196363636361</v>
      </c>
      <c r="L605" s="88"/>
      <c r="M605" s="2"/>
    </row>
    <row r="606" spans="1:13" ht="22.5" customHeight="1">
      <c r="A606" s="2" t="s">
        <v>1793</v>
      </c>
      <c r="B606" s="2" t="s">
        <v>1792</v>
      </c>
      <c r="D606" s="13" t="s">
        <v>1794</v>
      </c>
      <c r="E606" s="14">
        <v>724.47398400000009</v>
      </c>
      <c r="F606" s="104">
        <f t="shared" si="46"/>
        <v>26.564046080000008</v>
      </c>
      <c r="G606" s="104">
        <f t="shared" si="47"/>
        <v>25.790336000000007</v>
      </c>
      <c r="H606" s="104">
        <f t="shared" si="48"/>
        <v>25.299091504761911</v>
      </c>
      <c r="I606" s="104">
        <f t="shared" si="45"/>
        <v>28.978959360000001</v>
      </c>
      <c r="J606" s="133"/>
      <c r="K606" s="110">
        <f t="shared" si="49"/>
        <v>26.344508509090911</v>
      </c>
      <c r="L606" s="88"/>
      <c r="M606" s="2"/>
    </row>
    <row r="607" spans="1:13" ht="22.5" customHeight="1">
      <c r="A607" s="2" t="s">
        <v>1796</v>
      </c>
      <c r="B607" s="2" t="s">
        <v>1795</v>
      </c>
      <c r="D607" s="13" t="s">
        <v>1797</v>
      </c>
      <c r="E607" s="14">
        <v>781.976</v>
      </c>
      <c r="F607" s="104">
        <f t="shared" si="46"/>
        <v>28.672453333333337</v>
      </c>
      <c r="G607" s="104">
        <f t="shared" si="47"/>
        <v>27.837333333333337</v>
      </c>
      <c r="H607" s="104">
        <f t="shared" si="48"/>
        <v>27.307098412698416</v>
      </c>
      <c r="I607" s="104">
        <f t="shared" si="45"/>
        <v>31.279039999999998</v>
      </c>
      <c r="J607" s="133"/>
      <c r="K607" s="110">
        <f t="shared" si="49"/>
        <v>28.435490909090905</v>
      </c>
      <c r="L607" s="88"/>
      <c r="M607" s="2"/>
    </row>
    <row r="608" spans="1:13" ht="22.5" customHeight="1">
      <c r="A608" s="2" t="s">
        <v>1799</v>
      </c>
      <c r="B608" s="2" t="s">
        <v>1798</v>
      </c>
      <c r="D608" s="13" t="s">
        <v>1800</v>
      </c>
      <c r="E608" s="14">
        <v>517.38959999999997</v>
      </c>
      <c r="F608" s="104">
        <f t="shared" si="46"/>
        <v>18.970952</v>
      </c>
      <c r="G608" s="104">
        <f t="shared" si="47"/>
        <v>18.418399999999998</v>
      </c>
      <c r="H608" s="104">
        <f t="shared" si="48"/>
        <v>18.067573333333332</v>
      </c>
      <c r="I608" s="104">
        <f t="shared" si="45"/>
        <v>20.695583999999997</v>
      </c>
      <c r="J608" s="133"/>
      <c r="K608" s="110">
        <f t="shared" si="49"/>
        <v>18.814167272727271</v>
      </c>
      <c r="L608" s="88"/>
      <c r="M608" s="2"/>
    </row>
    <row r="609" spans="1:13" ht="22.5" customHeight="1">
      <c r="A609" s="2" t="s">
        <v>1802</v>
      </c>
      <c r="B609" s="2" t="s">
        <v>1801</v>
      </c>
      <c r="D609" s="13" t="s">
        <v>1803</v>
      </c>
      <c r="E609" s="14">
        <v>674.85599999999999</v>
      </c>
      <c r="F609" s="104">
        <f t="shared" si="46"/>
        <v>24.744720000000004</v>
      </c>
      <c r="G609" s="104">
        <f t="shared" si="47"/>
        <v>24.024000000000008</v>
      </c>
      <c r="H609" s="104">
        <f t="shared" si="48"/>
        <v>23.566400000000005</v>
      </c>
      <c r="I609" s="104">
        <f t="shared" si="45"/>
        <v>26.994239999999998</v>
      </c>
      <c r="J609" s="133"/>
      <c r="K609" s="110">
        <f t="shared" si="49"/>
        <v>24.540218181818179</v>
      </c>
      <c r="L609" s="88"/>
      <c r="M609" s="2"/>
    </row>
    <row r="610" spans="1:13" ht="22.5" customHeight="1">
      <c r="A610" s="2" t="s">
        <v>1805</v>
      </c>
      <c r="B610" s="2" t="s">
        <v>1804</v>
      </c>
      <c r="D610" s="13" t="s">
        <v>1806</v>
      </c>
      <c r="E610" s="14">
        <v>599.87200000000007</v>
      </c>
      <c r="F610" s="104">
        <f t="shared" si="46"/>
        <v>21.995306666666671</v>
      </c>
      <c r="G610" s="104">
        <f t="shared" si="47"/>
        <v>21.35466666666667</v>
      </c>
      <c r="H610" s="104">
        <f t="shared" si="48"/>
        <v>20.947911111111114</v>
      </c>
      <c r="I610" s="104">
        <f t="shared" si="45"/>
        <v>23.994880000000002</v>
      </c>
      <c r="J610" s="133"/>
      <c r="K610" s="110">
        <f t="shared" si="49"/>
        <v>21.813527272727274</v>
      </c>
      <c r="L610" s="88"/>
      <c r="M610" s="2"/>
    </row>
    <row r="611" spans="1:13" ht="22.5" customHeight="1">
      <c r="A611" s="2" t="s">
        <v>1808</v>
      </c>
      <c r="B611" s="2" t="s">
        <v>1807</v>
      </c>
      <c r="D611" s="13" t="s">
        <v>1809</v>
      </c>
      <c r="E611" s="14">
        <v>517.38959999999997</v>
      </c>
      <c r="F611" s="104">
        <f t="shared" si="46"/>
        <v>18.970952</v>
      </c>
      <c r="G611" s="104">
        <f t="shared" si="47"/>
        <v>18.418399999999998</v>
      </c>
      <c r="H611" s="104">
        <f t="shared" si="48"/>
        <v>18.067573333333332</v>
      </c>
      <c r="I611" s="104">
        <f t="shared" si="45"/>
        <v>20.695583999999997</v>
      </c>
      <c r="J611" s="133"/>
      <c r="K611" s="110">
        <f t="shared" si="49"/>
        <v>18.814167272727271</v>
      </c>
      <c r="L611" s="88"/>
      <c r="M611" s="2"/>
    </row>
    <row r="612" spans="1:13" ht="22.5" customHeight="1">
      <c r="A612" s="2" t="s">
        <v>1811</v>
      </c>
      <c r="B612" s="2" t="s">
        <v>1810</v>
      </c>
      <c r="D612" s="13" t="s">
        <v>1812</v>
      </c>
      <c r="E612" s="14">
        <v>557.024</v>
      </c>
      <c r="F612" s="104">
        <f t="shared" si="46"/>
        <v>20.424213333333334</v>
      </c>
      <c r="G612" s="104">
        <f t="shared" si="47"/>
        <v>19.829333333333334</v>
      </c>
      <c r="H612" s="104">
        <f t="shared" si="48"/>
        <v>19.451631746031747</v>
      </c>
      <c r="I612" s="104">
        <f t="shared" si="45"/>
        <v>22.28096</v>
      </c>
      <c r="J612" s="133"/>
      <c r="K612" s="110">
        <f t="shared" si="49"/>
        <v>20.255418181818182</v>
      </c>
      <c r="L612" s="88"/>
      <c r="M612" s="2"/>
    </row>
    <row r="613" spans="1:13" ht="22.5" customHeight="1">
      <c r="A613" s="2" t="s">
        <v>1814</v>
      </c>
      <c r="B613" s="2" t="s">
        <v>1813</v>
      </c>
      <c r="D613" s="13" t="s">
        <v>1815</v>
      </c>
      <c r="E613" s="14">
        <v>567.73599999999999</v>
      </c>
      <c r="F613" s="104">
        <f t="shared" si="46"/>
        <v>20.816986666666669</v>
      </c>
      <c r="G613" s="104">
        <f t="shared" si="47"/>
        <v>20.210666666666668</v>
      </c>
      <c r="H613" s="104">
        <f t="shared" si="48"/>
        <v>19.825701587301587</v>
      </c>
      <c r="I613" s="104">
        <f t="shared" si="45"/>
        <v>22.709439999999997</v>
      </c>
      <c r="J613" s="133"/>
      <c r="K613" s="110">
        <f t="shared" si="49"/>
        <v>20.644945454545454</v>
      </c>
      <c r="L613" s="88"/>
      <c r="M613" s="2"/>
    </row>
    <row r="614" spans="1:13" ht="22.5" customHeight="1">
      <c r="A614" s="2" t="s">
        <v>1817</v>
      </c>
      <c r="B614" s="2" t="s">
        <v>1816</v>
      </c>
      <c r="D614" s="13" t="s">
        <v>1818</v>
      </c>
      <c r="E614" s="14">
        <v>629.86559999999997</v>
      </c>
      <c r="F614" s="104">
        <f t="shared" si="46"/>
        <v>23.095072000000002</v>
      </c>
      <c r="G614" s="104">
        <f t="shared" si="47"/>
        <v>22.4224</v>
      </c>
      <c r="H614" s="104">
        <f t="shared" si="48"/>
        <v>21.995306666666668</v>
      </c>
      <c r="I614" s="104">
        <f t="shared" si="45"/>
        <v>25.194623999999997</v>
      </c>
      <c r="J614" s="133"/>
      <c r="K614" s="110">
        <f t="shared" si="49"/>
        <v>22.904203636363636</v>
      </c>
      <c r="L614" s="88"/>
      <c r="M614" s="2"/>
    </row>
    <row r="615" spans="1:13" ht="22.5" customHeight="1">
      <c r="A615" s="2" t="s">
        <v>1820</v>
      </c>
      <c r="B615" s="2" t="s">
        <v>1819</v>
      </c>
      <c r="D615" s="13" t="s">
        <v>1821</v>
      </c>
      <c r="E615" s="14">
        <v>776.62</v>
      </c>
      <c r="F615" s="104">
        <f t="shared" si="46"/>
        <v>28.476066666666668</v>
      </c>
      <c r="G615" s="104">
        <f t="shared" si="47"/>
        <v>27.646666666666665</v>
      </c>
      <c r="H615" s="104">
        <f t="shared" si="48"/>
        <v>27.12006349206349</v>
      </c>
      <c r="I615" s="104">
        <f t="shared" si="45"/>
        <v>31.064799999999998</v>
      </c>
      <c r="J615" s="133"/>
      <c r="K615" s="110">
        <f t="shared" si="49"/>
        <v>28.24072727272727</v>
      </c>
      <c r="L615" s="88"/>
      <c r="M615" s="2"/>
    </row>
    <row r="616" spans="1:13" ht="22.5" customHeight="1">
      <c r="A616" s="2" t="s">
        <v>1823</v>
      </c>
      <c r="B616" s="2" t="s">
        <v>1822</v>
      </c>
      <c r="D616" s="13" t="s">
        <v>1824</v>
      </c>
      <c r="E616" s="14">
        <v>653.43200000000002</v>
      </c>
      <c r="F616" s="104">
        <f t="shared" si="46"/>
        <v>23.959173333333336</v>
      </c>
      <c r="G616" s="104">
        <f t="shared" si="47"/>
        <v>23.261333333333337</v>
      </c>
      <c r="H616" s="104">
        <f t="shared" si="48"/>
        <v>22.818260317460322</v>
      </c>
      <c r="I616" s="104">
        <f t="shared" si="45"/>
        <v>26.137279999999997</v>
      </c>
      <c r="J616" s="133"/>
      <c r="K616" s="110">
        <f t="shared" si="49"/>
        <v>23.761163636363634</v>
      </c>
      <c r="L616" s="88"/>
      <c r="M616" s="2"/>
    </row>
    <row r="617" spans="1:13" ht="22.5" customHeight="1">
      <c r="A617" s="2" t="s">
        <v>1826</v>
      </c>
      <c r="B617" s="2" t="s">
        <v>1825</v>
      </c>
      <c r="D617" s="13" t="s">
        <v>1827</v>
      </c>
      <c r="E617" s="14">
        <v>607.37040000000002</v>
      </c>
      <c r="F617" s="104">
        <f t="shared" si="46"/>
        <v>22.270248000000002</v>
      </c>
      <c r="G617" s="104">
        <f t="shared" si="47"/>
        <v>21.621600000000001</v>
      </c>
      <c r="H617" s="104">
        <f t="shared" si="48"/>
        <v>21.209760000000003</v>
      </c>
      <c r="I617" s="104">
        <f t="shared" si="45"/>
        <v>24.294816000000001</v>
      </c>
      <c r="J617" s="133"/>
      <c r="K617" s="110">
        <f t="shared" si="49"/>
        <v>22.086196363636361</v>
      </c>
      <c r="L617" s="88"/>
      <c r="M617" s="2"/>
    </row>
    <row r="618" spans="1:13" ht="22.5" customHeight="1">
      <c r="A618" s="2" t="s">
        <v>1829</v>
      </c>
      <c r="B618" s="2" t="s">
        <v>1828</v>
      </c>
      <c r="D618" s="13" t="s">
        <v>1830</v>
      </c>
      <c r="E618" s="14">
        <v>814.11200000000008</v>
      </c>
      <c r="F618" s="104">
        <f t="shared" si="46"/>
        <v>29.85077333333334</v>
      </c>
      <c r="G618" s="104">
        <f t="shared" si="47"/>
        <v>28.981333333333339</v>
      </c>
      <c r="H618" s="104">
        <f t="shared" si="48"/>
        <v>28.429307936507943</v>
      </c>
      <c r="I618" s="104">
        <f t="shared" si="45"/>
        <v>32.564480000000003</v>
      </c>
      <c r="J618" s="133"/>
      <c r="K618" s="110">
        <f t="shared" si="49"/>
        <v>29.60407272727273</v>
      </c>
      <c r="L618" s="88"/>
      <c r="M618" s="2"/>
    </row>
    <row r="619" spans="1:13" ht="22.5" customHeight="1">
      <c r="A619" s="2" t="s">
        <v>1832</v>
      </c>
      <c r="B619" s="2" t="s">
        <v>1831</v>
      </c>
      <c r="D619" s="13" t="s">
        <v>1833</v>
      </c>
      <c r="E619" s="14">
        <v>652.36079999999993</v>
      </c>
      <c r="F619" s="104">
        <f t="shared" si="46"/>
        <v>23.919895999999998</v>
      </c>
      <c r="G619" s="104">
        <f t="shared" si="47"/>
        <v>23.223199999999999</v>
      </c>
      <c r="H619" s="104">
        <f t="shared" si="48"/>
        <v>22.780853333333333</v>
      </c>
      <c r="I619" s="104">
        <f t="shared" si="45"/>
        <v>26.094431999999994</v>
      </c>
      <c r="J619" s="133"/>
      <c r="K619" s="110">
        <f t="shared" si="49"/>
        <v>23.722210909090904</v>
      </c>
      <c r="L619" s="88"/>
      <c r="M619" s="2"/>
    </row>
    <row r="620" spans="1:13" ht="22.5" customHeight="1">
      <c r="A620" s="2" t="s">
        <v>1835</v>
      </c>
      <c r="B620" s="2" t="s">
        <v>1834</v>
      </c>
      <c r="D620" s="13" t="s">
        <v>1836</v>
      </c>
      <c r="E620" s="14">
        <v>770</v>
      </c>
      <c r="F620" s="104">
        <f t="shared" si="46"/>
        <v>28.233333333333338</v>
      </c>
      <c r="G620" s="104">
        <f t="shared" si="47"/>
        <v>27.411003236245961</v>
      </c>
      <c r="H620" s="104">
        <f t="shared" si="48"/>
        <v>26.888888888888896</v>
      </c>
      <c r="I620" s="104">
        <f t="shared" si="45"/>
        <v>30.8</v>
      </c>
      <c r="J620" s="133"/>
      <c r="K620" s="110">
        <f t="shared" si="49"/>
        <v>28</v>
      </c>
      <c r="L620" s="88"/>
      <c r="M620" s="2"/>
    </row>
    <row r="621" spans="1:13" ht="22.5" customHeight="1">
      <c r="A621" s="2" t="s">
        <v>1838</v>
      </c>
      <c r="B621" s="2" t="s">
        <v>1837</v>
      </c>
      <c r="D621" s="13" t="s">
        <v>1839</v>
      </c>
      <c r="E621" s="14">
        <v>724.13119999999992</v>
      </c>
      <c r="F621" s="104">
        <f t="shared" si="46"/>
        <v>26.551477333333331</v>
      </c>
      <c r="G621" s="104">
        <f t="shared" si="47"/>
        <v>25.778133333333333</v>
      </c>
      <c r="H621" s="104">
        <f t="shared" si="48"/>
        <v>25.287121269841268</v>
      </c>
      <c r="I621" s="104">
        <f t="shared" si="45"/>
        <v>28.965247999999995</v>
      </c>
      <c r="J621" s="133"/>
      <c r="K621" s="110">
        <f t="shared" si="49"/>
        <v>26.332043636363633</v>
      </c>
      <c r="L621" s="88"/>
      <c r="M621" s="2"/>
    </row>
    <row r="622" spans="1:13" ht="22.5" customHeight="1">
      <c r="A622" s="2" t="s">
        <v>1841</v>
      </c>
      <c r="B622" s="2" t="s">
        <v>1840</v>
      </c>
      <c r="D622" s="13" t="s">
        <v>1842</v>
      </c>
      <c r="E622" s="14">
        <v>940</v>
      </c>
      <c r="F622" s="104">
        <f t="shared" si="46"/>
        <v>34.466666666666669</v>
      </c>
      <c r="G622" s="104">
        <f t="shared" si="47"/>
        <v>33.462783171521039</v>
      </c>
      <c r="H622" s="104">
        <f t="shared" si="48"/>
        <v>32.82539682539683</v>
      </c>
      <c r="I622" s="104">
        <f t="shared" si="45"/>
        <v>37.6</v>
      </c>
      <c r="J622" s="133"/>
      <c r="K622" s="110">
        <f t="shared" si="49"/>
        <v>34.18181818181818</v>
      </c>
      <c r="L622" s="88"/>
      <c r="M622" s="2"/>
    </row>
    <row r="623" spans="1:13" ht="22.5" customHeight="1">
      <c r="A623" s="2" t="s">
        <v>1844</v>
      </c>
      <c r="B623" s="2" t="s">
        <v>1843</v>
      </c>
      <c r="D623" s="13" t="s">
        <v>1845</v>
      </c>
      <c r="E623" s="14">
        <v>567.73599999999999</v>
      </c>
      <c r="F623" s="104">
        <f t="shared" si="46"/>
        <v>20.816986666666669</v>
      </c>
      <c r="G623" s="104">
        <f t="shared" si="47"/>
        <v>20.210666666666668</v>
      </c>
      <c r="H623" s="104">
        <f t="shared" si="48"/>
        <v>19.825701587301587</v>
      </c>
      <c r="I623" s="104">
        <f t="shared" si="45"/>
        <v>22.709439999999997</v>
      </c>
      <c r="J623" s="133"/>
      <c r="K623" s="110">
        <f t="shared" si="49"/>
        <v>20.644945454545454</v>
      </c>
      <c r="L623" s="88"/>
      <c r="M623" s="2"/>
    </row>
    <row r="624" spans="1:13" ht="22.5" customHeight="1">
      <c r="A624" s="2" t="s">
        <v>1847</v>
      </c>
      <c r="B624" s="2" t="s">
        <v>1846</v>
      </c>
      <c r="D624" s="13" t="s">
        <v>1848</v>
      </c>
      <c r="E624" s="14">
        <v>670</v>
      </c>
      <c r="F624" s="104">
        <f t="shared" si="46"/>
        <v>24.56666666666667</v>
      </c>
      <c r="G624" s="104">
        <f t="shared" si="47"/>
        <v>23.851132686084146</v>
      </c>
      <c r="H624" s="104">
        <f t="shared" si="48"/>
        <v>23.396825396825399</v>
      </c>
      <c r="I624" s="104">
        <f t="shared" si="45"/>
        <v>26.8</v>
      </c>
      <c r="J624" s="133"/>
      <c r="K624" s="110">
        <f t="shared" si="49"/>
        <v>24.363636363636363</v>
      </c>
      <c r="L624" s="88"/>
      <c r="M624" s="2"/>
    </row>
    <row r="625" spans="1:13" ht="22.5" customHeight="1">
      <c r="A625" s="2" t="s">
        <v>1850</v>
      </c>
      <c r="B625" s="2" t="s">
        <v>1849</v>
      </c>
      <c r="D625" s="13" t="s">
        <v>1851</v>
      </c>
      <c r="E625" s="14">
        <v>790</v>
      </c>
      <c r="F625" s="104">
        <f t="shared" si="46"/>
        <v>28.966666666666672</v>
      </c>
      <c r="G625" s="104">
        <f t="shared" si="47"/>
        <v>28.122977346278326</v>
      </c>
      <c r="H625" s="104">
        <f t="shared" si="48"/>
        <v>27.587301587301596</v>
      </c>
      <c r="I625" s="104">
        <f t="shared" si="45"/>
        <v>31.6</v>
      </c>
      <c r="J625" s="133"/>
      <c r="K625" s="110">
        <f t="shared" si="49"/>
        <v>28.727272727272727</v>
      </c>
      <c r="L625" s="88"/>
      <c r="M625" s="2"/>
    </row>
    <row r="626" spans="1:13" ht="22.5" customHeight="1">
      <c r="A626" s="2" t="s">
        <v>1853</v>
      </c>
      <c r="B626" s="2" t="s">
        <v>1852</v>
      </c>
      <c r="D626" s="13" t="s">
        <v>1854</v>
      </c>
      <c r="E626" s="14">
        <v>642.72</v>
      </c>
      <c r="F626" s="104">
        <f t="shared" si="46"/>
        <v>23.566400000000002</v>
      </c>
      <c r="G626" s="104">
        <f t="shared" si="47"/>
        <v>22.880000000000003</v>
      </c>
      <c r="H626" s="104">
        <f t="shared" si="48"/>
        <v>22.444190476190478</v>
      </c>
      <c r="I626" s="104">
        <f t="shared" si="45"/>
        <v>25.7088</v>
      </c>
      <c r="J626" s="133"/>
      <c r="K626" s="110">
        <f t="shared" si="49"/>
        <v>23.371636363636362</v>
      </c>
      <c r="L626" s="88"/>
      <c r="M626" s="2"/>
    </row>
    <row r="627" spans="1:13" ht="22.5" customHeight="1">
      <c r="A627" s="2" t="s">
        <v>1856</v>
      </c>
      <c r="B627" s="2" t="s">
        <v>1855</v>
      </c>
      <c r="D627" s="13" t="s">
        <v>1857</v>
      </c>
      <c r="E627" s="14">
        <v>674.85599999999999</v>
      </c>
      <c r="F627" s="104">
        <f t="shared" si="46"/>
        <v>24.744720000000004</v>
      </c>
      <c r="G627" s="104">
        <f t="shared" si="47"/>
        <v>24.024000000000008</v>
      </c>
      <c r="H627" s="104">
        <f t="shared" si="48"/>
        <v>23.566400000000005</v>
      </c>
      <c r="I627" s="104">
        <f t="shared" si="45"/>
        <v>26.994239999999998</v>
      </c>
      <c r="J627" s="133"/>
      <c r="K627" s="110">
        <f t="shared" si="49"/>
        <v>24.540218181818179</v>
      </c>
      <c r="L627" s="88"/>
      <c r="M627" s="2"/>
    </row>
    <row r="628" spans="1:13" ht="22.5" customHeight="1">
      <c r="A628" s="2" t="s">
        <v>1859</v>
      </c>
      <c r="B628" s="2" t="s">
        <v>1858</v>
      </c>
      <c r="D628" s="13" t="s">
        <v>1860</v>
      </c>
      <c r="E628" s="14">
        <v>740</v>
      </c>
      <c r="F628" s="104">
        <f t="shared" si="46"/>
        <v>27.133333333333336</v>
      </c>
      <c r="G628" s="104">
        <f t="shared" si="47"/>
        <v>26.343042071197413</v>
      </c>
      <c r="H628" s="104">
        <f t="shared" si="48"/>
        <v>25.841269841269842</v>
      </c>
      <c r="I628" s="104">
        <f t="shared" si="45"/>
        <v>29.6</v>
      </c>
      <c r="J628" s="133"/>
      <c r="K628" s="110">
        <f t="shared" si="49"/>
        <v>26.90909090909091</v>
      </c>
      <c r="L628" s="88"/>
      <c r="M628" s="2"/>
    </row>
    <row r="629" spans="1:13" ht="22.5" customHeight="1">
      <c r="A629" s="2" t="s">
        <v>1862</v>
      </c>
      <c r="B629" s="2" t="s">
        <v>1861</v>
      </c>
      <c r="D629" s="13" t="s">
        <v>1863</v>
      </c>
      <c r="E629" s="14">
        <v>821.32117600000004</v>
      </c>
      <c r="F629" s="104">
        <f t="shared" si="46"/>
        <v>30.115109786666672</v>
      </c>
      <c r="G629" s="104">
        <f t="shared" si="47"/>
        <v>29.237970666666673</v>
      </c>
      <c r="H629" s="104">
        <f t="shared" si="48"/>
        <v>28.681056939682545</v>
      </c>
      <c r="I629" s="104">
        <f t="shared" si="45"/>
        <v>32.85284704</v>
      </c>
      <c r="J629" s="133"/>
      <c r="K629" s="110">
        <f t="shared" si="49"/>
        <v>29.86622458181818</v>
      </c>
      <c r="L629" s="88"/>
      <c r="M629" s="2"/>
    </row>
    <row r="630" spans="1:13" ht="22.5" customHeight="1">
      <c r="A630" s="2" t="s">
        <v>1865</v>
      </c>
      <c r="B630" s="2" t="s">
        <v>1864</v>
      </c>
      <c r="D630" s="13" t="s">
        <v>1866</v>
      </c>
      <c r="E630" s="14">
        <v>578.44800000000009</v>
      </c>
      <c r="F630" s="104">
        <f t="shared" si="46"/>
        <v>21.209760000000006</v>
      </c>
      <c r="G630" s="104">
        <f t="shared" si="47"/>
        <v>20.592000000000006</v>
      </c>
      <c r="H630" s="104">
        <f t="shared" si="48"/>
        <v>20.199771428571434</v>
      </c>
      <c r="I630" s="104">
        <f t="shared" si="45"/>
        <v>23.137920000000005</v>
      </c>
      <c r="J630" s="133"/>
      <c r="K630" s="110">
        <f t="shared" si="49"/>
        <v>21.034472727272732</v>
      </c>
      <c r="L630" s="88"/>
      <c r="M630" s="2"/>
    </row>
    <row r="631" spans="1:13" ht="22.5" customHeight="1">
      <c r="A631" s="2" t="s">
        <v>1868</v>
      </c>
      <c r="B631" s="2" t="s">
        <v>1867</v>
      </c>
      <c r="D631" s="13" t="s">
        <v>8562</v>
      </c>
      <c r="E631" s="14">
        <v>950</v>
      </c>
      <c r="F631" s="104">
        <f t="shared" si="46"/>
        <v>34.833333333333336</v>
      </c>
      <c r="G631" s="104">
        <f t="shared" si="47"/>
        <v>33.818770226537218</v>
      </c>
      <c r="H631" s="104">
        <f t="shared" si="48"/>
        <v>33.174603174603178</v>
      </c>
      <c r="I631" s="104">
        <f t="shared" si="45"/>
        <v>38</v>
      </c>
      <c r="J631" s="133"/>
      <c r="K631" s="110">
        <f t="shared" si="49"/>
        <v>34.545454545454547</v>
      </c>
      <c r="L631" s="88"/>
      <c r="M631" s="2"/>
    </row>
    <row r="632" spans="1:13" ht="22.5" customHeight="1">
      <c r="A632" s="2" t="s">
        <v>1870</v>
      </c>
      <c r="B632" s="2" t="s">
        <v>1869</v>
      </c>
      <c r="D632" s="13" t="s">
        <v>1871</v>
      </c>
      <c r="E632" s="14">
        <v>567.73599999999999</v>
      </c>
      <c r="F632" s="104">
        <f t="shared" si="46"/>
        <v>20.816986666666669</v>
      </c>
      <c r="G632" s="104">
        <f t="shared" si="47"/>
        <v>20.210666666666668</v>
      </c>
      <c r="H632" s="104">
        <f t="shared" si="48"/>
        <v>19.825701587301587</v>
      </c>
      <c r="I632" s="104">
        <f t="shared" si="45"/>
        <v>22.709439999999997</v>
      </c>
      <c r="J632" s="133"/>
      <c r="K632" s="110">
        <f t="shared" si="49"/>
        <v>20.644945454545454</v>
      </c>
      <c r="L632" s="88"/>
      <c r="M632" s="2"/>
    </row>
    <row r="633" spans="1:13" ht="22.5" customHeight="1">
      <c r="A633" s="2" t="s">
        <v>1873</v>
      </c>
      <c r="B633" s="2" t="s">
        <v>1872</v>
      </c>
      <c r="D633" s="13" t="s">
        <v>1874</v>
      </c>
      <c r="E633" s="14">
        <v>843.52715200000011</v>
      </c>
      <c r="F633" s="104">
        <f t="shared" si="46"/>
        <v>30.929328906666672</v>
      </c>
      <c r="G633" s="104">
        <f t="shared" si="47"/>
        <v>30.028474666666675</v>
      </c>
      <c r="H633" s="104">
        <f t="shared" si="48"/>
        <v>29.456503720634927</v>
      </c>
      <c r="I633" s="104">
        <f t="shared" si="45"/>
        <v>33.741086080000002</v>
      </c>
      <c r="J633" s="133"/>
      <c r="K633" s="110">
        <f t="shared" si="49"/>
        <v>30.673714618181819</v>
      </c>
      <c r="L633" s="88"/>
      <c r="M633" s="2"/>
    </row>
    <row r="634" spans="1:13" ht="22.5" customHeight="1">
      <c r="A634" s="2" t="s">
        <v>1876</v>
      </c>
      <c r="B634" s="2" t="s">
        <v>1875</v>
      </c>
      <c r="D634" s="13" t="s">
        <v>1877</v>
      </c>
      <c r="E634" s="14">
        <v>628.67656800000009</v>
      </c>
      <c r="F634" s="104">
        <f t="shared" si="46"/>
        <v>23.051474160000005</v>
      </c>
      <c r="G634" s="104">
        <f t="shared" si="47"/>
        <v>22.380072000000006</v>
      </c>
      <c r="H634" s="104">
        <f t="shared" si="48"/>
        <v>21.95378491428572</v>
      </c>
      <c r="I634" s="104">
        <f t="shared" si="45"/>
        <v>25.147062720000005</v>
      </c>
      <c r="J634" s="133"/>
      <c r="K634" s="110">
        <f t="shared" si="49"/>
        <v>22.860966109090914</v>
      </c>
      <c r="L634" s="88"/>
      <c r="M634" s="2"/>
    </row>
    <row r="635" spans="1:13" ht="22.5" customHeight="1">
      <c r="A635" s="2" t="s">
        <v>1879</v>
      </c>
      <c r="B635" s="2" t="s">
        <v>1878</v>
      </c>
      <c r="D635" s="13" t="s">
        <v>1880</v>
      </c>
      <c r="E635" s="14">
        <v>510</v>
      </c>
      <c r="F635" s="104">
        <f t="shared" si="46"/>
        <v>18.7</v>
      </c>
      <c r="G635" s="104">
        <f t="shared" si="47"/>
        <v>18.155339805825243</v>
      </c>
      <c r="H635" s="104">
        <f t="shared" si="48"/>
        <v>17.80952380952381</v>
      </c>
      <c r="I635" s="104">
        <f t="shared" si="45"/>
        <v>20.399999999999999</v>
      </c>
      <c r="J635" s="133"/>
      <c r="K635" s="110">
        <f t="shared" si="49"/>
        <v>18.545454545454547</v>
      </c>
      <c r="L635" s="88"/>
      <c r="M635" s="2"/>
    </row>
    <row r="636" spans="1:13" ht="22.5" customHeight="1">
      <c r="A636" s="2" t="s">
        <v>1882</v>
      </c>
      <c r="B636" s="2" t="s">
        <v>1881</v>
      </c>
      <c r="D636" s="13" t="s">
        <v>1883</v>
      </c>
      <c r="E636" s="14">
        <v>790</v>
      </c>
      <c r="F636" s="104">
        <f t="shared" si="46"/>
        <v>28.966666666666672</v>
      </c>
      <c r="G636" s="104">
        <f t="shared" si="47"/>
        <v>28.122977346278326</v>
      </c>
      <c r="H636" s="104">
        <f t="shared" si="48"/>
        <v>27.587301587301596</v>
      </c>
      <c r="I636" s="104">
        <f t="shared" si="45"/>
        <v>31.6</v>
      </c>
      <c r="J636" s="133"/>
      <c r="K636" s="110">
        <f t="shared" si="49"/>
        <v>28.727272727272727</v>
      </c>
      <c r="L636" s="88"/>
      <c r="M636" s="2"/>
    </row>
    <row r="637" spans="1:13" ht="22.5" customHeight="1">
      <c r="A637" s="2" t="s">
        <v>1885</v>
      </c>
      <c r="B637" s="2" t="s">
        <v>1884</v>
      </c>
      <c r="D637" s="13" t="s">
        <v>1886</v>
      </c>
      <c r="E637" s="14">
        <v>877.31280000000004</v>
      </c>
      <c r="F637" s="104">
        <f t="shared" si="46"/>
        <v>32.168136000000004</v>
      </c>
      <c r="G637" s="104">
        <f t="shared" si="47"/>
        <v>31.231200000000005</v>
      </c>
      <c r="H637" s="104">
        <f t="shared" si="48"/>
        <v>30.636320000000005</v>
      </c>
      <c r="I637" s="104">
        <f t="shared" si="45"/>
        <v>35.092512000000006</v>
      </c>
      <c r="J637" s="133"/>
      <c r="K637" s="110">
        <f t="shared" si="49"/>
        <v>31.902283636363638</v>
      </c>
      <c r="L637" s="88"/>
      <c r="M637" s="2"/>
    </row>
    <row r="638" spans="1:13" ht="22.5" customHeight="1">
      <c r="A638" s="2" t="s">
        <v>1888</v>
      </c>
      <c r="B638" s="2" t="s">
        <v>1887</v>
      </c>
      <c r="D638" s="13" t="s">
        <v>1889</v>
      </c>
      <c r="E638" s="14">
        <v>655.57439999999997</v>
      </c>
      <c r="F638" s="104">
        <f t="shared" si="46"/>
        <v>24.037728000000001</v>
      </c>
      <c r="G638" s="104">
        <f t="shared" si="47"/>
        <v>23.337600000000002</v>
      </c>
      <c r="H638" s="104">
        <f t="shared" si="48"/>
        <v>22.893074285714288</v>
      </c>
      <c r="I638" s="104">
        <f t="shared" si="45"/>
        <v>26.222975999999999</v>
      </c>
      <c r="J638" s="133"/>
      <c r="K638" s="110">
        <f t="shared" si="49"/>
        <v>23.839069090909089</v>
      </c>
      <c r="L638" s="88"/>
      <c r="M638" s="2"/>
    </row>
    <row r="639" spans="1:13" ht="22.5" customHeight="1">
      <c r="A639" s="2" t="s">
        <v>1891</v>
      </c>
      <c r="B639" s="2" t="s">
        <v>1890</v>
      </c>
      <c r="D639" s="13" t="s">
        <v>1892</v>
      </c>
      <c r="E639" s="14">
        <v>590</v>
      </c>
      <c r="F639" s="104">
        <f t="shared" si="46"/>
        <v>21.633333333333333</v>
      </c>
      <c r="G639" s="104">
        <f t="shared" si="47"/>
        <v>21.003236245954692</v>
      </c>
      <c r="H639" s="104">
        <f t="shared" si="48"/>
        <v>20.603174603174605</v>
      </c>
      <c r="I639" s="104">
        <f t="shared" si="45"/>
        <v>23.6</v>
      </c>
      <c r="J639" s="133"/>
      <c r="K639" s="110">
        <f t="shared" si="49"/>
        <v>21.454545454545453</v>
      </c>
      <c r="L639" s="88"/>
      <c r="M639" s="2"/>
    </row>
    <row r="640" spans="1:13" ht="22.5" customHeight="1">
      <c r="A640" s="2" t="s">
        <v>1894</v>
      </c>
      <c r="B640" s="2" t="s">
        <v>1893</v>
      </c>
      <c r="D640" s="13" t="s">
        <v>1895</v>
      </c>
      <c r="E640" s="14">
        <v>749.84</v>
      </c>
      <c r="F640" s="104">
        <f t="shared" si="46"/>
        <v>27.494133333333334</v>
      </c>
      <c r="G640" s="104">
        <f t="shared" si="47"/>
        <v>26.693333333333335</v>
      </c>
      <c r="H640" s="104">
        <f t="shared" si="48"/>
        <v>26.184888888888889</v>
      </c>
      <c r="I640" s="104">
        <f t="shared" si="45"/>
        <v>29.993600000000001</v>
      </c>
      <c r="J640" s="133"/>
      <c r="K640" s="110">
        <f t="shared" si="49"/>
        <v>27.266909090909092</v>
      </c>
      <c r="L640" s="88"/>
      <c r="M640" s="2"/>
    </row>
    <row r="641" spans="1:13" ht="22.5" customHeight="1">
      <c r="A641" s="2" t="s">
        <v>1897</v>
      </c>
      <c r="B641" s="2" t="s">
        <v>1896</v>
      </c>
      <c r="D641" s="13" t="s">
        <v>1898</v>
      </c>
      <c r="E641" s="14">
        <v>1088.3392000000001</v>
      </c>
      <c r="F641" s="104">
        <f t="shared" si="46"/>
        <v>39.905770666666669</v>
      </c>
      <c r="G641" s="104">
        <f t="shared" si="47"/>
        <v>38.74346666666667</v>
      </c>
      <c r="H641" s="104">
        <f t="shared" si="48"/>
        <v>38.005495873015875</v>
      </c>
      <c r="I641" s="104">
        <f t="shared" si="45"/>
        <v>43.53356800000001</v>
      </c>
      <c r="J641" s="133"/>
      <c r="K641" s="110">
        <f t="shared" si="49"/>
        <v>39.575970909090913</v>
      </c>
      <c r="L641" s="88"/>
      <c r="M641" s="2"/>
    </row>
    <row r="642" spans="1:13" ht="22.5" customHeight="1">
      <c r="A642" s="2" t="s">
        <v>1900</v>
      </c>
      <c r="B642" s="2" t="s">
        <v>1899</v>
      </c>
      <c r="D642" s="13" t="s">
        <v>1901</v>
      </c>
      <c r="E642" s="14">
        <v>810</v>
      </c>
      <c r="F642" s="104">
        <f t="shared" si="46"/>
        <v>29.700000000000003</v>
      </c>
      <c r="G642" s="104">
        <f t="shared" si="47"/>
        <v>28.834951456310684</v>
      </c>
      <c r="H642" s="104">
        <f t="shared" si="48"/>
        <v>28.285714285714292</v>
      </c>
      <c r="I642" s="104">
        <f t="shared" ref="I642:I705" si="50">+(E642*1.2/30)</f>
        <v>32.4</v>
      </c>
      <c r="J642" s="133"/>
      <c r="K642" s="110">
        <f t="shared" si="49"/>
        <v>29.454545454545453</v>
      </c>
      <c r="L642" s="88"/>
      <c r="M642" s="2"/>
    </row>
    <row r="643" spans="1:13" ht="22.5" customHeight="1">
      <c r="A643" s="2" t="s">
        <v>1903</v>
      </c>
      <c r="B643" s="2" t="s">
        <v>1902</v>
      </c>
      <c r="D643" s="13" t="s">
        <v>1904</v>
      </c>
      <c r="E643" s="14">
        <v>621.29599999999994</v>
      </c>
      <c r="F643" s="104">
        <f t="shared" ref="F643:F710" si="51">+(E643*1.1/30)</f>
        <v>22.780853333333333</v>
      </c>
      <c r="G643" s="104">
        <f t="shared" ref="G643:G710" si="52">+(F643*100/103)</f>
        <v>22.117333333333335</v>
      </c>
      <c r="H643" s="104">
        <f t="shared" ref="H643:H710" si="53">+(F643*100/105)</f>
        <v>21.696050793650794</v>
      </c>
      <c r="I643" s="104">
        <f t="shared" si="50"/>
        <v>24.851839999999996</v>
      </c>
      <c r="J643" s="133"/>
      <c r="K643" s="110">
        <f t="shared" ref="K643:K710" si="54">+(E643*1.2/33)</f>
        <v>22.592581818181817</v>
      </c>
      <c r="L643" s="88"/>
      <c r="M643" s="2"/>
    </row>
    <row r="644" spans="1:13" ht="22.5" customHeight="1">
      <c r="A644" s="2" t="s">
        <v>1906</v>
      </c>
      <c r="B644" s="2" t="s">
        <v>1905</v>
      </c>
      <c r="D644" s="13" t="s">
        <v>8083</v>
      </c>
      <c r="E644" s="14">
        <v>678.06960000000004</v>
      </c>
      <c r="F644" s="104">
        <f t="shared" si="51"/>
        <v>24.862552000000004</v>
      </c>
      <c r="G644" s="104">
        <f t="shared" si="52"/>
        <v>24.138400000000004</v>
      </c>
      <c r="H644" s="104">
        <f t="shared" si="53"/>
        <v>23.678620952380957</v>
      </c>
      <c r="I644" s="104">
        <f t="shared" si="50"/>
        <v>27.122784000000003</v>
      </c>
      <c r="J644" s="133"/>
      <c r="K644" s="110">
        <f t="shared" si="54"/>
        <v>24.657076363636364</v>
      </c>
      <c r="L644" s="88"/>
      <c r="M644" s="2"/>
    </row>
    <row r="645" spans="1:13" ht="22.5" customHeight="1">
      <c r="A645" s="2" t="s">
        <v>1908</v>
      </c>
      <c r="B645" s="2" t="s">
        <v>1907</v>
      </c>
      <c r="D645" s="13" t="s">
        <v>1909</v>
      </c>
      <c r="E645" s="14">
        <v>668.42880000000002</v>
      </c>
      <c r="F645" s="104">
        <f t="shared" si="51"/>
        <v>24.509056000000001</v>
      </c>
      <c r="G645" s="104">
        <f t="shared" si="52"/>
        <v>23.795200000000001</v>
      </c>
      <c r="H645" s="104">
        <f t="shared" si="53"/>
        <v>23.341958095238095</v>
      </c>
      <c r="I645" s="104">
        <f t="shared" si="50"/>
        <v>26.737151999999998</v>
      </c>
      <c r="J645" s="133"/>
      <c r="K645" s="110">
        <f t="shared" si="54"/>
        <v>24.306501818181818</v>
      </c>
      <c r="L645" s="88"/>
      <c r="M645" s="2"/>
    </row>
    <row r="646" spans="1:13" ht="22.5" customHeight="1">
      <c r="A646" s="2" t="s">
        <v>1911</v>
      </c>
      <c r="B646" s="2" t="s">
        <v>1910</v>
      </c>
      <c r="D646" s="13" t="s">
        <v>1912</v>
      </c>
      <c r="E646" s="14">
        <v>660</v>
      </c>
      <c r="F646" s="104">
        <f t="shared" si="51"/>
        <v>24.200000000000003</v>
      </c>
      <c r="G646" s="104">
        <f t="shared" si="52"/>
        <v>23.495145631067967</v>
      </c>
      <c r="H646" s="104">
        <f t="shared" si="53"/>
        <v>23.047619047619051</v>
      </c>
      <c r="I646" s="104">
        <f t="shared" si="50"/>
        <v>26.4</v>
      </c>
      <c r="J646" s="133"/>
      <c r="K646" s="110">
        <f t="shared" si="54"/>
        <v>24</v>
      </c>
      <c r="L646" s="88"/>
      <c r="M646" s="2"/>
    </row>
    <row r="647" spans="1:13" ht="22.5" customHeight="1">
      <c r="A647" s="2" t="s">
        <v>1914</v>
      </c>
      <c r="B647" s="2" t="s">
        <v>1913</v>
      </c>
      <c r="D647" s="13" t="s">
        <v>1915</v>
      </c>
      <c r="E647" s="14">
        <v>890</v>
      </c>
      <c r="F647" s="104">
        <f t="shared" si="51"/>
        <v>32.63333333333334</v>
      </c>
      <c r="G647" s="104">
        <f t="shared" si="52"/>
        <v>31.682847896440137</v>
      </c>
      <c r="H647" s="104">
        <f t="shared" si="53"/>
        <v>31.079365079365086</v>
      </c>
      <c r="I647" s="104">
        <f t="shared" si="50"/>
        <v>35.6</v>
      </c>
      <c r="J647" s="133"/>
      <c r="K647" s="110">
        <f t="shared" si="54"/>
        <v>32.363636363636367</v>
      </c>
      <c r="L647" s="88"/>
      <c r="M647" s="2"/>
    </row>
    <row r="648" spans="1:13" ht="22.5" customHeight="1">
      <c r="A648" s="2" t="s">
        <v>1917</v>
      </c>
      <c r="B648" s="2" t="s">
        <v>1916</v>
      </c>
      <c r="D648" s="13" t="s">
        <v>1918</v>
      </c>
      <c r="E648" s="14">
        <v>850</v>
      </c>
      <c r="F648" s="104">
        <f t="shared" si="51"/>
        <v>31.166666666666671</v>
      </c>
      <c r="G648" s="104">
        <f t="shared" si="52"/>
        <v>30.258899676375407</v>
      </c>
      <c r="H648" s="104">
        <f t="shared" si="53"/>
        <v>29.682539682539684</v>
      </c>
      <c r="I648" s="104">
        <f t="shared" si="50"/>
        <v>34</v>
      </c>
      <c r="J648" s="133"/>
      <c r="K648" s="110">
        <f t="shared" si="54"/>
        <v>30.90909090909091</v>
      </c>
      <c r="L648" s="88"/>
      <c r="M648" s="2"/>
    </row>
    <row r="649" spans="1:13" ht="22.5" customHeight="1">
      <c r="A649" s="2" t="s">
        <v>1920</v>
      </c>
      <c r="B649" s="2" t="s">
        <v>1919</v>
      </c>
      <c r="D649" s="13" t="s">
        <v>1921</v>
      </c>
      <c r="E649" s="14">
        <v>654.50319999999999</v>
      </c>
      <c r="F649" s="104">
        <f t="shared" si="51"/>
        <v>23.998450666666667</v>
      </c>
      <c r="G649" s="104">
        <f t="shared" si="52"/>
        <v>23.299466666666667</v>
      </c>
      <c r="H649" s="104">
        <f t="shared" si="53"/>
        <v>22.855667301587303</v>
      </c>
      <c r="I649" s="104">
        <f t="shared" si="50"/>
        <v>26.180128</v>
      </c>
      <c r="J649" s="133"/>
      <c r="K649" s="110">
        <f t="shared" si="54"/>
        <v>23.800116363636363</v>
      </c>
      <c r="L649" s="88"/>
      <c r="M649" s="2"/>
    </row>
    <row r="650" spans="1:13" ht="22.5" customHeight="1">
      <c r="A650" s="2" t="s">
        <v>1923</v>
      </c>
      <c r="B650" s="2" t="s">
        <v>1922</v>
      </c>
      <c r="D650" s="13" t="s">
        <v>1924</v>
      </c>
      <c r="E650" s="14">
        <v>589.16</v>
      </c>
      <c r="F650" s="104">
        <f t="shared" si="51"/>
        <v>21.602533333333334</v>
      </c>
      <c r="G650" s="104">
        <f t="shared" si="52"/>
        <v>20.973333333333336</v>
      </c>
      <c r="H650" s="104">
        <f t="shared" si="53"/>
        <v>20.573841269841271</v>
      </c>
      <c r="I650" s="104">
        <f t="shared" si="50"/>
        <v>23.566399999999998</v>
      </c>
      <c r="J650" s="133"/>
      <c r="K650" s="110">
        <f t="shared" si="54"/>
        <v>21.423999999999999</v>
      </c>
      <c r="L650" s="88"/>
      <c r="M650" s="2"/>
    </row>
    <row r="651" spans="1:13" ht="22.5" customHeight="1">
      <c r="A651" s="2" t="s">
        <v>1926</v>
      </c>
      <c r="B651" s="2" t="s">
        <v>1925</v>
      </c>
      <c r="D651" s="13" t="s">
        <v>1927</v>
      </c>
      <c r="E651" s="14">
        <v>710</v>
      </c>
      <c r="F651" s="104">
        <f t="shared" si="51"/>
        <v>26.033333333333339</v>
      </c>
      <c r="G651" s="104">
        <f t="shared" si="52"/>
        <v>25.275080906148872</v>
      </c>
      <c r="H651" s="104">
        <f t="shared" si="53"/>
        <v>24.793650793650798</v>
      </c>
      <c r="I651" s="104">
        <f t="shared" si="50"/>
        <v>28.4</v>
      </c>
      <c r="J651" s="133"/>
      <c r="K651" s="110">
        <f t="shared" si="54"/>
        <v>25.818181818181817</v>
      </c>
      <c r="L651" s="88"/>
      <c r="M651" s="2"/>
    </row>
    <row r="652" spans="1:13" ht="22.5" customHeight="1">
      <c r="A652" s="2" t="s">
        <v>1929</v>
      </c>
      <c r="B652" s="2" t="s">
        <v>1928</v>
      </c>
      <c r="D652" s="13" t="s">
        <v>1930</v>
      </c>
      <c r="E652" s="14">
        <v>710</v>
      </c>
      <c r="F652" s="104">
        <f t="shared" si="51"/>
        <v>26.033333333333339</v>
      </c>
      <c r="G652" s="104">
        <f t="shared" si="52"/>
        <v>25.275080906148872</v>
      </c>
      <c r="H652" s="104">
        <f t="shared" si="53"/>
        <v>24.793650793650798</v>
      </c>
      <c r="I652" s="104">
        <f t="shared" si="50"/>
        <v>28.4</v>
      </c>
      <c r="J652" s="133"/>
      <c r="K652" s="110">
        <f t="shared" si="54"/>
        <v>25.818181818181817</v>
      </c>
      <c r="L652" s="88"/>
      <c r="M652" s="2"/>
    </row>
    <row r="653" spans="1:13" ht="22.5" customHeight="1">
      <c r="A653" s="2" t="s">
        <v>1932</v>
      </c>
      <c r="B653" s="2" t="s">
        <v>1931</v>
      </c>
      <c r="D653" s="13" t="s">
        <v>1933</v>
      </c>
      <c r="E653" s="14">
        <v>710</v>
      </c>
      <c r="F653" s="104">
        <f t="shared" si="51"/>
        <v>26.033333333333339</v>
      </c>
      <c r="G653" s="104">
        <f t="shared" si="52"/>
        <v>25.275080906148872</v>
      </c>
      <c r="H653" s="104">
        <f t="shared" si="53"/>
        <v>24.793650793650798</v>
      </c>
      <c r="I653" s="104">
        <f t="shared" si="50"/>
        <v>28.4</v>
      </c>
      <c r="J653" s="133"/>
      <c r="K653" s="110">
        <f t="shared" si="54"/>
        <v>25.818181818181817</v>
      </c>
      <c r="L653" s="88"/>
      <c r="M653" s="2"/>
    </row>
    <row r="654" spans="1:13" ht="22.5" customHeight="1">
      <c r="A654" s="2" t="s">
        <v>1935</v>
      </c>
      <c r="B654" s="2" t="s">
        <v>1934</v>
      </c>
      <c r="D654" s="13" t="s">
        <v>1936</v>
      </c>
      <c r="E654" s="14">
        <v>686.63920000000007</v>
      </c>
      <c r="F654" s="104">
        <f t="shared" si="51"/>
        <v>25.176770666666673</v>
      </c>
      <c r="G654" s="104">
        <f t="shared" si="52"/>
        <v>24.443466666666676</v>
      </c>
      <c r="H654" s="104">
        <f t="shared" si="53"/>
        <v>23.977876825396834</v>
      </c>
      <c r="I654" s="104">
        <f t="shared" si="50"/>
        <v>27.465568000000005</v>
      </c>
      <c r="J654" s="133"/>
      <c r="K654" s="110">
        <f t="shared" si="54"/>
        <v>24.968698181818183</v>
      </c>
      <c r="L654" s="88"/>
      <c r="M654" s="2"/>
    </row>
    <row r="655" spans="1:13" ht="22.5" customHeight="1">
      <c r="A655" s="2" t="s">
        <v>1938</v>
      </c>
      <c r="B655" s="2" t="s">
        <v>1937</v>
      </c>
      <c r="D655" s="13" t="s">
        <v>1939</v>
      </c>
      <c r="E655" s="14">
        <v>749.84</v>
      </c>
      <c r="F655" s="104">
        <f t="shared" si="51"/>
        <v>27.494133333333334</v>
      </c>
      <c r="G655" s="104">
        <f t="shared" si="52"/>
        <v>26.693333333333335</v>
      </c>
      <c r="H655" s="104">
        <f t="shared" si="53"/>
        <v>26.184888888888889</v>
      </c>
      <c r="I655" s="104">
        <f t="shared" si="50"/>
        <v>29.993600000000001</v>
      </c>
      <c r="J655" s="133"/>
      <c r="K655" s="110">
        <f t="shared" si="54"/>
        <v>27.266909090909092</v>
      </c>
      <c r="L655" s="88"/>
      <c r="M655" s="2"/>
    </row>
    <row r="656" spans="1:13" ht="22.5" customHeight="1">
      <c r="A656" s="2" t="s">
        <v>1941</v>
      </c>
      <c r="B656" s="2" t="s">
        <v>1940</v>
      </c>
      <c r="D656" s="13" t="s">
        <v>1942</v>
      </c>
      <c r="E656" s="14">
        <v>578.44800000000009</v>
      </c>
      <c r="F656" s="104">
        <f t="shared" si="51"/>
        <v>21.209760000000006</v>
      </c>
      <c r="G656" s="104">
        <f t="shared" si="52"/>
        <v>20.592000000000006</v>
      </c>
      <c r="H656" s="104">
        <f t="shared" si="53"/>
        <v>20.199771428571434</v>
      </c>
      <c r="I656" s="104">
        <f t="shared" si="50"/>
        <v>23.137920000000005</v>
      </c>
      <c r="J656" s="133"/>
      <c r="K656" s="110">
        <f t="shared" si="54"/>
        <v>21.034472727272732</v>
      </c>
      <c r="L656" s="88"/>
      <c r="M656" s="2"/>
    </row>
    <row r="657" spans="1:13" ht="22.5" customHeight="1">
      <c r="A657" s="2" t="s">
        <v>1944</v>
      </c>
      <c r="B657" s="2" t="s">
        <v>1943</v>
      </c>
      <c r="D657" s="13" t="s">
        <v>1945</v>
      </c>
      <c r="E657" s="14">
        <v>836.60720000000003</v>
      </c>
      <c r="F657" s="104">
        <f t="shared" si="51"/>
        <v>30.675597333333336</v>
      </c>
      <c r="G657" s="104">
        <f t="shared" si="52"/>
        <v>29.782133333333334</v>
      </c>
      <c r="H657" s="104">
        <f t="shared" si="53"/>
        <v>29.214854603174604</v>
      </c>
      <c r="I657" s="104">
        <f t="shared" si="50"/>
        <v>33.464287999999996</v>
      </c>
      <c r="J657" s="133"/>
      <c r="K657" s="110">
        <f t="shared" si="54"/>
        <v>30.422079999999998</v>
      </c>
      <c r="L657" s="88"/>
      <c r="M657" s="2"/>
    </row>
    <row r="658" spans="1:13" ht="22.5" customHeight="1">
      <c r="A658" s="2" t="s">
        <v>1947</v>
      </c>
      <c r="B658" s="2" t="s">
        <v>1946</v>
      </c>
      <c r="D658" s="13" t="s">
        <v>1948</v>
      </c>
      <c r="E658" s="14">
        <v>730.55840000000001</v>
      </c>
      <c r="F658" s="104">
        <f t="shared" si="51"/>
        <v>26.787141333333338</v>
      </c>
      <c r="G658" s="104">
        <f t="shared" si="52"/>
        <v>26.00693333333334</v>
      </c>
      <c r="H658" s="104">
        <f t="shared" si="53"/>
        <v>25.511563174603179</v>
      </c>
      <c r="I658" s="104">
        <f t="shared" si="50"/>
        <v>29.222335999999999</v>
      </c>
      <c r="J658" s="133"/>
      <c r="K658" s="110">
        <f t="shared" si="54"/>
        <v>26.565760000000001</v>
      </c>
      <c r="L658" s="88"/>
      <c r="M658" s="2"/>
    </row>
    <row r="659" spans="1:13" ht="22.5" customHeight="1">
      <c r="A659" s="2" t="s">
        <v>1950</v>
      </c>
      <c r="B659" s="2" t="s">
        <v>1949</v>
      </c>
      <c r="D659" s="13" t="s">
        <v>1951</v>
      </c>
      <c r="E659" s="14">
        <v>655.57439999999997</v>
      </c>
      <c r="F659" s="104">
        <f t="shared" si="51"/>
        <v>24.037728000000001</v>
      </c>
      <c r="G659" s="104">
        <f t="shared" si="52"/>
        <v>23.337600000000002</v>
      </c>
      <c r="H659" s="104">
        <f t="shared" si="53"/>
        <v>22.893074285714288</v>
      </c>
      <c r="I659" s="104">
        <f t="shared" si="50"/>
        <v>26.222975999999999</v>
      </c>
      <c r="J659" s="133"/>
      <c r="K659" s="110">
        <f t="shared" si="54"/>
        <v>23.839069090909089</v>
      </c>
      <c r="L659" s="88"/>
      <c r="M659" s="2"/>
    </row>
    <row r="660" spans="1:13" ht="22.5" customHeight="1">
      <c r="A660" s="2" t="s">
        <v>1953</v>
      </c>
      <c r="B660" s="2" t="s">
        <v>1952</v>
      </c>
      <c r="D660" s="13" t="s">
        <v>1954</v>
      </c>
      <c r="E660" s="14">
        <v>494.89440000000002</v>
      </c>
      <c r="F660" s="104">
        <f t="shared" si="51"/>
        <v>18.146128000000001</v>
      </c>
      <c r="G660" s="104">
        <f t="shared" si="52"/>
        <v>17.617599999999999</v>
      </c>
      <c r="H660" s="104">
        <f t="shared" si="53"/>
        <v>17.282026666666667</v>
      </c>
      <c r="I660" s="104">
        <f t="shared" si="50"/>
        <v>19.795776</v>
      </c>
      <c r="J660" s="133"/>
      <c r="K660" s="110">
        <f t="shared" si="54"/>
        <v>17.99616</v>
      </c>
      <c r="L660" s="88"/>
      <c r="M660" s="2"/>
    </row>
    <row r="661" spans="1:13" ht="22.5" customHeight="1">
      <c r="A661" s="2" t="s">
        <v>1956</v>
      </c>
      <c r="B661" s="2" t="s">
        <v>1955</v>
      </c>
      <c r="D661" s="13" t="s">
        <v>1957</v>
      </c>
      <c r="E661" s="14">
        <v>578.44800000000009</v>
      </c>
      <c r="F661" s="104">
        <f t="shared" si="51"/>
        <v>21.209760000000006</v>
      </c>
      <c r="G661" s="104">
        <f t="shared" si="52"/>
        <v>20.592000000000006</v>
      </c>
      <c r="H661" s="104">
        <f t="shared" si="53"/>
        <v>20.199771428571434</v>
      </c>
      <c r="I661" s="104">
        <f t="shared" si="50"/>
        <v>23.137920000000005</v>
      </c>
      <c r="J661" s="133"/>
      <c r="K661" s="110">
        <f t="shared" si="54"/>
        <v>21.034472727272732</v>
      </c>
      <c r="L661" s="88"/>
      <c r="M661" s="2"/>
    </row>
    <row r="662" spans="1:13" ht="22.5" customHeight="1">
      <c r="A662" s="2" t="s">
        <v>1959</v>
      </c>
      <c r="B662" s="2" t="s">
        <v>1958</v>
      </c>
      <c r="D662" s="13" t="s">
        <v>1960</v>
      </c>
      <c r="E662" s="14">
        <v>749.84</v>
      </c>
      <c r="F662" s="104">
        <f t="shared" si="51"/>
        <v>27.494133333333334</v>
      </c>
      <c r="G662" s="104">
        <f t="shared" si="52"/>
        <v>26.693333333333335</v>
      </c>
      <c r="H662" s="104">
        <f t="shared" si="53"/>
        <v>26.184888888888889</v>
      </c>
      <c r="I662" s="104">
        <f t="shared" si="50"/>
        <v>29.993600000000001</v>
      </c>
      <c r="J662" s="133"/>
      <c r="K662" s="110">
        <f t="shared" si="54"/>
        <v>27.266909090909092</v>
      </c>
      <c r="L662" s="88"/>
      <c r="M662" s="2"/>
    </row>
    <row r="663" spans="1:13" ht="22.5" customHeight="1">
      <c r="A663" s="2" t="s">
        <v>1962</v>
      </c>
      <c r="B663" s="2" t="s">
        <v>1961</v>
      </c>
      <c r="D663" s="13" t="s">
        <v>1963</v>
      </c>
      <c r="E663" s="14">
        <v>665.21519999999998</v>
      </c>
      <c r="F663" s="104">
        <f t="shared" si="51"/>
        <v>24.391224000000001</v>
      </c>
      <c r="G663" s="104">
        <f t="shared" si="52"/>
        <v>23.680800000000001</v>
      </c>
      <c r="H663" s="104">
        <f t="shared" si="53"/>
        <v>23.229737142857143</v>
      </c>
      <c r="I663" s="104">
        <f t="shared" si="50"/>
        <v>26.608608</v>
      </c>
      <c r="J663" s="133"/>
      <c r="K663" s="110">
        <f t="shared" si="54"/>
        <v>24.189643636363638</v>
      </c>
      <c r="L663" s="88"/>
      <c r="M663" s="2"/>
    </row>
    <row r="664" spans="1:13" ht="22.5" customHeight="1">
      <c r="A664" s="2" t="s">
        <v>1965</v>
      </c>
      <c r="B664" s="2" t="s">
        <v>1964</v>
      </c>
      <c r="D664" s="13" t="s">
        <v>1966</v>
      </c>
      <c r="E664" s="14">
        <v>550</v>
      </c>
      <c r="F664" s="104">
        <f t="shared" si="51"/>
        <v>20.166666666666668</v>
      </c>
      <c r="G664" s="104">
        <f t="shared" si="52"/>
        <v>19.579288025889969</v>
      </c>
      <c r="H664" s="104">
        <f t="shared" si="53"/>
        <v>19.206349206349206</v>
      </c>
      <c r="I664" s="104">
        <f t="shared" si="50"/>
        <v>22</v>
      </c>
      <c r="J664" s="133"/>
      <c r="K664" s="110">
        <f t="shared" si="54"/>
        <v>20</v>
      </c>
      <c r="L664" s="88"/>
      <c r="M664" s="2"/>
    </row>
    <row r="665" spans="1:13" ht="22.5" customHeight="1">
      <c r="A665" s="2" t="s">
        <v>1968</v>
      </c>
      <c r="B665" s="2" t="s">
        <v>1967</v>
      </c>
      <c r="D665" s="13" t="s">
        <v>1969</v>
      </c>
      <c r="E665" s="14">
        <v>641.64880000000005</v>
      </c>
      <c r="F665" s="104">
        <f t="shared" si="51"/>
        <v>23.527122666666671</v>
      </c>
      <c r="G665" s="104">
        <f t="shared" si="52"/>
        <v>22.841866666666668</v>
      </c>
      <c r="H665" s="104">
        <f t="shared" si="53"/>
        <v>22.406783492063493</v>
      </c>
      <c r="I665" s="104">
        <f t="shared" si="50"/>
        <v>25.665952000000001</v>
      </c>
      <c r="J665" s="133"/>
      <c r="K665" s="110">
        <f t="shared" si="54"/>
        <v>23.332683636363637</v>
      </c>
      <c r="L665" s="88"/>
      <c r="M665" s="2"/>
    </row>
    <row r="666" spans="1:13" ht="22.5" customHeight="1">
      <c r="A666" s="2" t="s">
        <v>1971</v>
      </c>
      <c r="B666" s="2" t="s">
        <v>1970</v>
      </c>
      <c r="D666" s="13" t="s">
        <v>1972</v>
      </c>
      <c r="E666" s="14">
        <v>696.28</v>
      </c>
      <c r="F666" s="104">
        <f t="shared" si="51"/>
        <v>25.530266666666666</v>
      </c>
      <c r="G666" s="104">
        <f t="shared" si="52"/>
        <v>24.786666666666665</v>
      </c>
      <c r="H666" s="104">
        <f t="shared" si="53"/>
        <v>24.314539682539682</v>
      </c>
      <c r="I666" s="104">
        <f t="shared" si="50"/>
        <v>27.851199999999999</v>
      </c>
      <c r="J666" s="133"/>
      <c r="K666" s="110">
        <f t="shared" si="54"/>
        <v>25.319272727272725</v>
      </c>
      <c r="L666" s="88"/>
      <c r="M666" s="2"/>
    </row>
    <row r="667" spans="1:13" ht="22.5" customHeight="1">
      <c r="A667" s="2" t="s">
        <v>1974</v>
      </c>
      <c r="B667" s="2" t="s">
        <v>1973</v>
      </c>
      <c r="D667" s="13" t="s">
        <v>811</v>
      </c>
      <c r="E667" s="14">
        <v>753.05360000000007</v>
      </c>
      <c r="F667" s="104">
        <f t="shared" si="51"/>
        <v>27.611965333333337</v>
      </c>
      <c r="G667" s="104">
        <f t="shared" si="52"/>
        <v>26.807733333333339</v>
      </c>
      <c r="H667" s="104">
        <f t="shared" si="53"/>
        <v>26.297109841269844</v>
      </c>
      <c r="I667" s="104">
        <f t="shared" si="50"/>
        <v>30.122144000000002</v>
      </c>
      <c r="J667" s="133"/>
      <c r="K667" s="110">
        <f t="shared" si="54"/>
        <v>27.383767272727276</v>
      </c>
      <c r="L667" s="88"/>
      <c r="M667" s="2"/>
    </row>
    <row r="668" spans="1:13" ht="22.5" customHeight="1">
      <c r="A668" s="2" t="s">
        <v>1976</v>
      </c>
      <c r="B668" s="2" t="s">
        <v>1975</v>
      </c>
      <c r="D668" s="13" t="s">
        <v>1977</v>
      </c>
      <c r="E668" s="14">
        <v>535.6</v>
      </c>
      <c r="F668" s="104">
        <f t="shared" si="51"/>
        <v>19.638666666666669</v>
      </c>
      <c r="G668" s="104">
        <f t="shared" si="52"/>
        <v>19.06666666666667</v>
      </c>
      <c r="H668" s="104">
        <f t="shared" si="53"/>
        <v>18.703492063492067</v>
      </c>
      <c r="I668" s="104">
        <f t="shared" si="50"/>
        <v>21.423999999999999</v>
      </c>
      <c r="J668" s="133"/>
      <c r="K668" s="110">
        <f t="shared" si="54"/>
        <v>19.476363636363637</v>
      </c>
      <c r="L668" s="88"/>
      <c r="M668" s="2"/>
    </row>
    <row r="669" spans="1:13" ht="22.5" customHeight="1">
      <c r="A669" s="2" t="s">
        <v>1979</v>
      </c>
      <c r="B669" s="2" t="s">
        <v>1978</v>
      </c>
      <c r="D669" s="13" t="s">
        <v>1980</v>
      </c>
      <c r="E669" s="14">
        <v>589.16</v>
      </c>
      <c r="F669" s="104">
        <f t="shared" si="51"/>
        <v>21.602533333333334</v>
      </c>
      <c r="G669" s="104">
        <f t="shared" si="52"/>
        <v>20.973333333333336</v>
      </c>
      <c r="H669" s="104">
        <f t="shared" si="53"/>
        <v>20.573841269841271</v>
      </c>
      <c r="I669" s="104">
        <f t="shared" si="50"/>
        <v>23.566399999999998</v>
      </c>
      <c r="J669" s="133"/>
      <c r="K669" s="110">
        <f t="shared" si="54"/>
        <v>21.423999999999999</v>
      </c>
      <c r="L669" s="88"/>
      <c r="M669" s="2"/>
    </row>
    <row r="670" spans="1:13" ht="22.5" customHeight="1">
      <c r="A670" s="2" t="s">
        <v>1982</v>
      </c>
      <c r="B670" s="2" t="s">
        <v>1981</v>
      </c>
      <c r="C670" s="2" t="s">
        <v>8632</v>
      </c>
      <c r="D670" s="13" t="s">
        <v>1983</v>
      </c>
      <c r="E670" s="14">
        <v>996.21600000000001</v>
      </c>
      <c r="F670" s="104">
        <f t="shared" si="51"/>
        <v>36.527920000000002</v>
      </c>
      <c r="G670" s="104">
        <f t="shared" si="52"/>
        <v>35.464000000000006</v>
      </c>
      <c r="H670" s="104">
        <f t="shared" si="53"/>
        <v>34.788495238095244</v>
      </c>
      <c r="I670" s="104">
        <f t="shared" si="50"/>
        <v>39.848640000000003</v>
      </c>
      <c r="J670" s="133"/>
      <c r="K670" s="110">
        <f t="shared" si="54"/>
        <v>36.226036363636361</v>
      </c>
      <c r="L670" s="88"/>
      <c r="M670" s="2"/>
    </row>
    <row r="671" spans="1:13" ht="22.5" customHeight="1">
      <c r="A671" s="2" t="s">
        <v>1985</v>
      </c>
      <c r="B671" s="2" t="s">
        <v>1984</v>
      </c>
      <c r="D671" s="13" t="s">
        <v>1986</v>
      </c>
      <c r="E671" s="14">
        <v>610.58400000000006</v>
      </c>
      <c r="F671" s="104">
        <f t="shared" si="51"/>
        <v>22.388080000000002</v>
      </c>
      <c r="G671" s="104">
        <f t="shared" si="52"/>
        <v>21.736000000000001</v>
      </c>
      <c r="H671" s="104">
        <f t="shared" si="53"/>
        <v>21.321980952380951</v>
      </c>
      <c r="I671" s="104">
        <f t="shared" si="50"/>
        <v>24.423360000000002</v>
      </c>
      <c r="J671" s="133"/>
      <c r="K671" s="110">
        <f t="shared" si="54"/>
        <v>22.203054545454549</v>
      </c>
      <c r="L671" s="88"/>
      <c r="M671" s="2"/>
    </row>
    <row r="672" spans="1:13" ht="22.5" customHeight="1">
      <c r="A672" s="2" t="s">
        <v>1988</v>
      </c>
      <c r="B672" s="2" t="s">
        <v>1987</v>
      </c>
      <c r="D672" s="13" t="s">
        <v>1989</v>
      </c>
      <c r="E672" s="14">
        <v>514.17600000000004</v>
      </c>
      <c r="F672" s="104">
        <f t="shared" si="51"/>
        <v>18.853120000000004</v>
      </c>
      <c r="G672" s="104">
        <f t="shared" si="52"/>
        <v>18.304000000000002</v>
      </c>
      <c r="H672" s="104">
        <f t="shared" si="53"/>
        <v>17.955352380952384</v>
      </c>
      <c r="I672" s="104">
        <f t="shared" si="50"/>
        <v>20.567040000000002</v>
      </c>
      <c r="J672" s="133"/>
      <c r="K672" s="110">
        <f t="shared" si="54"/>
        <v>18.697309090909091</v>
      </c>
      <c r="L672" s="88"/>
      <c r="M672" s="2"/>
    </row>
    <row r="673" spans="1:13" ht="22.5" customHeight="1">
      <c r="A673" s="2" t="s">
        <v>1991</v>
      </c>
      <c r="B673" s="2" t="s">
        <v>1990</v>
      </c>
      <c r="D673" s="13" t="s">
        <v>1992</v>
      </c>
      <c r="E673" s="14">
        <v>810</v>
      </c>
      <c r="F673" s="104">
        <f t="shared" si="51"/>
        <v>29.700000000000003</v>
      </c>
      <c r="G673" s="104">
        <f t="shared" si="52"/>
        <v>28.834951456310684</v>
      </c>
      <c r="H673" s="104">
        <f t="shared" si="53"/>
        <v>28.285714285714292</v>
      </c>
      <c r="I673" s="104">
        <f t="shared" si="50"/>
        <v>32.4</v>
      </c>
      <c r="J673" s="133"/>
      <c r="K673" s="110">
        <f t="shared" si="54"/>
        <v>29.454545454545453</v>
      </c>
      <c r="L673" s="88"/>
      <c r="M673" s="2"/>
    </row>
    <row r="674" spans="1:13" ht="22.5" customHeight="1">
      <c r="A674" s="2" t="s">
        <v>1994</v>
      </c>
      <c r="B674" s="2" t="s">
        <v>1993</v>
      </c>
      <c r="D674" s="13" t="s">
        <v>1995</v>
      </c>
      <c r="E674" s="14">
        <v>578.44800000000009</v>
      </c>
      <c r="F674" s="104">
        <f t="shared" si="51"/>
        <v>21.209760000000006</v>
      </c>
      <c r="G674" s="104">
        <f t="shared" si="52"/>
        <v>20.592000000000006</v>
      </c>
      <c r="H674" s="104">
        <f t="shared" si="53"/>
        <v>20.199771428571434</v>
      </c>
      <c r="I674" s="104">
        <f t="shared" si="50"/>
        <v>23.137920000000005</v>
      </c>
      <c r="J674" s="133"/>
      <c r="K674" s="110">
        <f t="shared" si="54"/>
        <v>21.034472727272732</v>
      </c>
      <c r="L674" s="88"/>
      <c r="M674" s="2"/>
    </row>
    <row r="675" spans="1:13" ht="22.5" customHeight="1">
      <c r="A675" s="2" t="s">
        <v>1997</v>
      </c>
      <c r="B675" s="2" t="s">
        <v>1996</v>
      </c>
      <c r="D675" s="13" t="s">
        <v>1998</v>
      </c>
      <c r="E675" s="14">
        <v>610.58400000000006</v>
      </c>
      <c r="F675" s="104">
        <f t="shared" si="51"/>
        <v>22.388080000000002</v>
      </c>
      <c r="G675" s="104">
        <f t="shared" si="52"/>
        <v>21.736000000000001</v>
      </c>
      <c r="H675" s="104">
        <f t="shared" si="53"/>
        <v>21.321980952380951</v>
      </c>
      <c r="I675" s="104">
        <f t="shared" si="50"/>
        <v>24.423360000000002</v>
      </c>
      <c r="J675" s="133"/>
      <c r="K675" s="110">
        <f t="shared" si="54"/>
        <v>22.203054545454549</v>
      </c>
      <c r="L675" s="88"/>
      <c r="M675" s="2"/>
    </row>
    <row r="676" spans="1:13" ht="22.5" customHeight="1">
      <c r="A676" s="2" t="s">
        <v>2000</v>
      </c>
      <c r="B676" s="2" t="s">
        <v>1999</v>
      </c>
      <c r="D676" s="13" t="s">
        <v>2001</v>
      </c>
      <c r="E676" s="14">
        <v>660</v>
      </c>
      <c r="F676" s="104">
        <f t="shared" si="51"/>
        <v>24.200000000000003</v>
      </c>
      <c r="G676" s="104">
        <f t="shared" si="52"/>
        <v>23.495145631067967</v>
      </c>
      <c r="H676" s="104">
        <f t="shared" si="53"/>
        <v>23.047619047619051</v>
      </c>
      <c r="I676" s="104">
        <f t="shared" si="50"/>
        <v>26.4</v>
      </c>
      <c r="J676" s="133"/>
      <c r="K676" s="110">
        <f t="shared" si="54"/>
        <v>24</v>
      </c>
      <c r="L676" s="88"/>
      <c r="M676" s="2"/>
    </row>
    <row r="677" spans="1:13" ht="22.5" customHeight="1">
      <c r="A677" s="2" t="s">
        <v>2003</v>
      </c>
      <c r="B677" s="2" t="s">
        <v>2002</v>
      </c>
      <c r="D677" s="13" t="s">
        <v>2004</v>
      </c>
      <c r="E677" s="14">
        <v>660</v>
      </c>
      <c r="F677" s="104">
        <f t="shared" si="51"/>
        <v>24.200000000000003</v>
      </c>
      <c r="G677" s="104">
        <f t="shared" si="52"/>
        <v>23.495145631067967</v>
      </c>
      <c r="H677" s="104">
        <f t="shared" si="53"/>
        <v>23.047619047619051</v>
      </c>
      <c r="I677" s="104">
        <f t="shared" si="50"/>
        <v>26.4</v>
      </c>
      <c r="J677" s="133"/>
      <c r="K677" s="110">
        <f t="shared" si="54"/>
        <v>24</v>
      </c>
      <c r="L677" s="88"/>
      <c r="M677" s="2"/>
    </row>
    <row r="678" spans="1:13" ht="22.5" customHeight="1">
      <c r="A678" s="2" t="s">
        <v>2006</v>
      </c>
      <c r="B678" s="2" t="s">
        <v>2005</v>
      </c>
      <c r="D678" s="13" t="s">
        <v>2007</v>
      </c>
      <c r="E678" s="14">
        <v>599.87200000000007</v>
      </c>
      <c r="F678" s="104">
        <f t="shared" si="51"/>
        <v>21.995306666666671</v>
      </c>
      <c r="G678" s="104">
        <f t="shared" si="52"/>
        <v>21.35466666666667</v>
      </c>
      <c r="H678" s="104">
        <f t="shared" si="53"/>
        <v>20.947911111111114</v>
      </c>
      <c r="I678" s="104">
        <f t="shared" si="50"/>
        <v>23.994880000000002</v>
      </c>
      <c r="J678" s="133"/>
      <c r="K678" s="110">
        <f t="shared" si="54"/>
        <v>21.813527272727274</v>
      </c>
      <c r="L678" s="88"/>
      <c r="M678" s="2"/>
    </row>
    <row r="679" spans="1:13" ht="22.5" customHeight="1">
      <c r="A679" s="2" t="s">
        <v>2009</v>
      </c>
      <c r="B679" s="2" t="s">
        <v>2008</v>
      </c>
      <c r="D679" s="13" t="s">
        <v>2010</v>
      </c>
      <c r="E679" s="14">
        <v>717.70400000000006</v>
      </c>
      <c r="F679" s="104">
        <f t="shared" si="51"/>
        <v>26.315813333333338</v>
      </c>
      <c r="G679" s="104">
        <f t="shared" si="52"/>
        <v>25.54933333333334</v>
      </c>
      <c r="H679" s="104">
        <f t="shared" si="53"/>
        <v>25.062679365079372</v>
      </c>
      <c r="I679" s="104">
        <f t="shared" si="50"/>
        <v>28.708160000000003</v>
      </c>
      <c r="J679" s="133"/>
      <c r="K679" s="110">
        <f t="shared" si="54"/>
        <v>26.098327272727275</v>
      </c>
      <c r="L679" s="88"/>
      <c r="M679" s="2"/>
    </row>
    <row r="680" spans="1:13" ht="22.5" customHeight="1">
      <c r="A680" s="2" t="s">
        <v>2012</v>
      </c>
      <c r="B680" s="2" t="s">
        <v>2011</v>
      </c>
      <c r="D680" s="13" t="s">
        <v>2013</v>
      </c>
      <c r="E680" s="14">
        <v>824.82400000000007</v>
      </c>
      <c r="F680" s="104">
        <f t="shared" si="51"/>
        <v>30.243546666666671</v>
      </c>
      <c r="G680" s="104">
        <f t="shared" si="52"/>
        <v>29.362666666666669</v>
      </c>
      <c r="H680" s="104">
        <f t="shared" si="53"/>
        <v>28.803377777777783</v>
      </c>
      <c r="I680" s="104">
        <f t="shared" si="50"/>
        <v>32.992960000000004</v>
      </c>
      <c r="J680" s="133"/>
      <c r="K680" s="110">
        <f t="shared" si="54"/>
        <v>29.993600000000001</v>
      </c>
      <c r="L680" s="88"/>
      <c r="M680" s="2"/>
    </row>
    <row r="681" spans="1:13" ht="22.5" customHeight="1">
      <c r="A681" s="2" t="s">
        <v>2015</v>
      </c>
      <c r="B681" s="2" t="s">
        <v>2014</v>
      </c>
      <c r="D681" s="13" t="s">
        <v>2016</v>
      </c>
      <c r="E681" s="14">
        <v>640.57760000000007</v>
      </c>
      <c r="F681" s="104">
        <f t="shared" si="51"/>
        <v>23.487845333333336</v>
      </c>
      <c r="G681" s="104">
        <f t="shared" si="52"/>
        <v>22.803733333333334</v>
      </c>
      <c r="H681" s="104">
        <f t="shared" si="53"/>
        <v>22.369376507936508</v>
      </c>
      <c r="I681" s="104">
        <f t="shared" si="50"/>
        <v>25.623104000000001</v>
      </c>
      <c r="J681" s="133"/>
      <c r="K681" s="110">
        <f t="shared" si="54"/>
        <v>23.293730909090911</v>
      </c>
      <c r="L681" s="88"/>
      <c r="M681" s="2"/>
    </row>
    <row r="682" spans="1:13" ht="22.5" customHeight="1">
      <c r="A682" s="2" t="s">
        <v>2018</v>
      </c>
      <c r="B682" s="2" t="s">
        <v>2017</v>
      </c>
      <c r="D682" s="13" t="s">
        <v>2019</v>
      </c>
      <c r="E682" s="14">
        <v>823.75280000000009</v>
      </c>
      <c r="F682" s="104">
        <f t="shared" si="51"/>
        <v>30.20426933333334</v>
      </c>
      <c r="G682" s="104">
        <f t="shared" si="52"/>
        <v>29.324533333333342</v>
      </c>
      <c r="H682" s="104">
        <f t="shared" si="53"/>
        <v>28.765970793650801</v>
      </c>
      <c r="I682" s="104">
        <f t="shared" si="50"/>
        <v>32.950112000000004</v>
      </c>
      <c r="J682" s="133"/>
      <c r="K682" s="110">
        <f t="shared" si="54"/>
        <v>29.954647272727275</v>
      </c>
      <c r="L682" s="88"/>
      <c r="M682" s="2"/>
    </row>
    <row r="683" spans="1:13" ht="22.5" customHeight="1">
      <c r="A683" s="2" t="s">
        <v>2021</v>
      </c>
      <c r="B683" s="2" t="s">
        <v>2020</v>
      </c>
      <c r="D683" s="13" t="s">
        <v>2022</v>
      </c>
      <c r="E683" s="14">
        <v>685.5680000000001</v>
      </c>
      <c r="F683" s="104">
        <f t="shared" si="51"/>
        <v>25.137493333333339</v>
      </c>
      <c r="G683" s="104">
        <f t="shared" si="52"/>
        <v>24.405333333333342</v>
      </c>
      <c r="H683" s="104">
        <f t="shared" si="53"/>
        <v>23.940469841269849</v>
      </c>
      <c r="I683" s="104">
        <f t="shared" si="50"/>
        <v>27.422720000000005</v>
      </c>
      <c r="J683" s="133"/>
      <c r="K683" s="110">
        <f t="shared" si="54"/>
        <v>24.929745454545458</v>
      </c>
      <c r="L683" s="88"/>
      <c r="M683" s="2"/>
    </row>
    <row r="684" spans="1:13" ht="22.5" customHeight="1">
      <c r="A684" s="2" t="s">
        <v>2024</v>
      </c>
      <c r="B684" s="2" t="s">
        <v>2023</v>
      </c>
      <c r="D684" s="13" t="s">
        <v>2025</v>
      </c>
      <c r="E684" s="14">
        <v>785.18960000000004</v>
      </c>
      <c r="F684" s="104">
        <f t="shared" si="51"/>
        <v>28.790285333333337</v>
      </c>
      <c r="G684" s="104">
        <f t="shared" si="52"/>
        <v>27.951733333333337</v>
      </c>
      <c r="H684" s="104">
        <f t="shared" si="53"/>
        <v>27.419319365079367</v>
      </c>
      <c r="I684" s="104">
        <f t="shared" si="50"/>
        <v>31.407584</v>
      </c>
      <c r="J684" s="133"/>
      <c r="K684" s="110">
        <f t="shared" si="54"/>
        <v>28.552349090909093</v>
      </c>
      <c r="L684" s="88"/>
      <c r="M684" s="2"/>
    </row>
    <row r="685" spans="1:13" ht="22.5" customHeight="1">
      <c r="A685" s="2" t="s">
        <v>2243</v>
      </c>
      <c r="B685" s="2" t="s">
        <v>2242</v>
      </c>
      <c r="D685" s="13" t="s">
        <v>2244</v>
      </c>
      <c r="E685" s="14">
        <v>417.76799999999997</v>
      </c>
      <c r="F685" s="104">
        <f t="shared" si="51"/>
        <v>15.318160000000001</v>
      </c>
      <c r="G685" s="104">
        <f t="shared" si="52"/>
        <v>14.872</v>
      </c>
      <c r="H685" s="104">
        <f t="shared" si="53"/>
        <v>14.58872380952381</v>
      </c>
      <c r="I685" s="104">
        <f t="shared" si="50"/>
        <v>16.710719999999998</v>
      </c>
      <c r="J685" s="133"/>
      <c r="K685" s="110">
        <f t="shared" si="54"/>
        <v>15.191563636363634</v>
      </c>
      <c r="L685" s="88"/>
      <c r="M685" s="2"/>
    </row>
    <row r="686" spans="1:13" ht="22.5" customHeight="1">
      <c r="A686" s="2" t="s">
        <v>2027</v>
      </c>
      <c r="B686" s="2" t="s">
        <v>2026</v>
      </c>
      <c r="D686" s="13" t="s">
        <v>2028</v>
      </c>
      <c r="E686" s="14">
        <v>714.49040000000002</v>
      </c>
      <c r="F686" s="104">
        <f t="shared" si="51"/>
        <v>26.197981333333338</v>
      </c>
      <c r="G686" s="104">
        <f t="shared" si="52"/>
        <v>25.434933333333337</v>
      </c>
      <c r="H686" s="104">
        <f t="shared" si="53"/>
        <v>24.950458412698417</v>
      </c>
      <c r="I686" s="104">
        <f t="shared" si="50"/>
        <v>28.579615999999998</v>
      </c>
      <c r="J686" s="133"/>
      <c r="K686" s="110">
        <f t="shared" si="54"/>
        <v>25.981469090909091</v>
      </c>
      <c r="L686" s="88"/>
      <c r="M686" s="2"/>
    </row>
    <row r="687" spans="1:13" ht="22.5" customHeight="1">
      <c r="A687" s="25" t="s">
        <v>2030</v>
      </c>
      <c r="B687" s="25" t="s">
        <v>2029</v>
      </c>
      <c r="C687" s="25"/>
      <c r="D687" s="26" t="s">
        <v>2031</v>
      </c>
      <c r="E687" s="27">
        <v>630</v>
      </c>
      <c r="F687" s="104">
        <f t="shared" si="51"/>
        <v>23.1</v>
      </c>
      <c r="G687" s="104">
        <f t="shared" si="52"/>
        <v>22.427184466019419</v>
      </c>
      <c r="H687" s="104">
        <f t="shared" si="53"/>
        <v>22</v>
      </c>
      <c r="I687" s="104">
        <f t="shared" si="50"/>
        <v>25.2</v>
      </c>
      <c r="J687" s="133"/>
      <c r="K687" s="110">
        <f t="shared" si="54"/>
        <v>22.90909090909091</v>
      </c>
      <c r="L687" s="88"/>
      <c r="M687" s="2"/>
    </row>
    <row r="688" spans="1:13" ht="22.5" customHeight="1">
      <c r="A688" s="25" t="s">
        <v>2033</v>
      </c>
      <c r="B688" s="25" t="s">
        <v>2032</v>
      </c>
      <c r="C688" s="25"/>
      <c r="D688" s="26" t="s">
        <v>2034</v>
      </c>
      <c r="E688" s="27">
        <v>630</v>
      </c>
      <c r="F688" s="104">
        <f t="shared" si="51"/>
        <v>23.1</v>
      </c>
      <c r="G688" s="104">
        <f t="shared" si="52"/>
        <v>22.427184466019419</v>
      </c>
      <c r="H688" s="104">
        <f t="shared" si="53"/>
        <v>22</v>
      </c>
      <c r="I688" s="104">
        <f t="shared" si="50"/>
        <v>25.2</v>
      </c>
      <c r="J688" s="133"/>
      <c r="K688" s="110">
        <f t="shared" si="54"/>
        <v>22.90909090909091</v>
      </c>
      <c r="L688" s="88"/>
      <c r="M688" s="2"/>
    </row>
    <row r="689" spans="1:13" ht="22.5" customHeight="1">
      <c r="A689" s="2" t="s">
        <v>2036</v>
      </c>
      <c r="B689" s="2" t="s">
        <v>2035</v>
      </c>
      <c r="D689" s="13" t="s">
        <v>2037</v>
      </c>
      <c r="E689" s="14">
        <v>780.90480000000002</v>
      </c>
      <c r="F689" s="104">
        <f t="shared" si="51"/>
        <v>28.633176000000002</v>
      </c>
      <c r="G689" s="104">
        <f t="shared" si="52"/>
        <v>27.799200000000003</v>
      </c>
      <c r="H689" s="104">
        <f t="shared" si="53"/>
        <v>27.269691428571431</v>
      </c>
      <c r="I689" s="104">
        <f t="shared" si="50"/>
        <v>31.236191999999999</v>
      </c>
      <c r="J689" s="133"/>
      <c r="K689" s="110">
        <f t="shared" si="54"/>
        <v>28.39653818181818</v>
      </c>
      <c r="L689" s="88"/>
      <c r="M689" s="2"/>
    </row>
    <row r="690" spans="1:13" ht="22.5" customHeight="1">
      <c r="A690" s="2" t="s">
        <v>8399</v>
      </c>
      <c r="B690" s="2" t="s">
        <v>8400</v>
      </c>
      <c r="D690" s="13" t="s">
        <v>8401</v>
      </c>
      <c r="E690" s="14">
        <v>860</v>
      </c>
      <c r="F690" s="104">
        <f t="shared" si="51"/>
        <v>31.533333333333339</v>
      </c>
      <c r="G690" s="104">
        <f t="shared" si="52"/>
        <v>30.614886731391593</v>
      </c>
      <c r="H690" s="104">
        <f t="shared" si="53"/>
        <v>30.031746031746039</v>
      </c>
      <c r="I690" s="104">
        <f t="shared" si="50"/>
        <v>34.4</v>
      </c>
      <c r="J690" s="133"/>
      <c r="K690" s="110">
        <f t="shared" si="54"/>
        <v>31.272727272727273</v>
      </c>
      <c r="L690" s="88"/>
      <c r="M690" s="2"/>
    </row>
    <row r="691" spans="1:13" ht="22.5" customHeight="1">
      <c r="A691" s="2" t="s">
        <v>8404</v>
      </c>
      <c r="B691" s="2" t="s">
        <v>8412</v>
      </c>
      <c r="D691" s="13" t="s">
        <v>1199</v>
      </c>
      <c r="E691" s="14">
        <v>860</v>
      </c>
      <c r="F691" s="104">
        <f t="shared" si="51"/>
        <v>31.533333333333339</v>
      </c>
      <c r="G691" s="104">
        <f t="shared" si="52"/>
        <v>30.614886731391593</v>
      </c>
      <c r="H691" s="104">
        <f t="shared" si="53"/>
        <v>30.031746031746039</v>
      </c>
      <c r="I691" s="104">
        <f t="shared" si="50"/>
        <v>34.4</v>
      </c>
      <c r="J691" s="133"/>
      <c r="K691" s="110">
        <f t="shared" si="54"/>
        <v>31.272727272727273</v>
      </c>
      <c r="L691" s="88"/>
      <c r="M691" s="2"/>
    </row>
    <row r="692" spans="1:13" ht="22.5" customHeight="1">
      <c r="A692" s="2" t="s">
        <v>8405</v>
      </c>
      <c r="B692" s="2" t="s">
        <v>8407</v>
      </c>
      <c r="D692" s="13" t="s">
        <v>8410</v>
      </c>
      <c r="E692" s="14">
        <v>860</v>
      </c>
      <c r="F692" s="104">
        <f t="shared" si="51"/>
        <v>31.533333333333339</v>
      </c>
      <c r="G692" s="104">
        <f t="shared" si="52"/>
        <v>30.614886731391593</v>
      </c>
      <c r="H692" s="104">
        <f t="shared" si="53"/>
        <v>30.031746031746039</v>
      </c>
      <c r="I692" s="104">
        <f t="shared" si="50"/>
        <v>34.4</v>
      </c>
      <c r="J692" s="133"/>
      <c r="K692" s="110">
        <f t="shared" si="54"/>
        <v>31.272727272727273</v>
      </c>
      <c r="L692" s="88"/>
      <c r="M692" s="2"/>
    </row>
    <row r="693" spans="1:13" ht="22.5" customHeight="1">
      <c r="A693" s="2" t="s">
        <v>8406</v>
      </c>
      <c r="B693" s="2" t="s">
        <v>8408</v>
      </c>
      <c r="D693" s="13" t="s">
        <v>8409</v>
      </c>
      <c r="E693" s="14">
        <v>860</v>
      </c>
      <c r="F693" s="104">
        <f t="shared" si="51"/>
        <v>31.533333333333339</v>
      </c>
      <c r="G693" s="104">
        <f t="shared" si="52"/>
        <v>30.614886731391593</v>
      </c>
      <c r="H693" s="104">
        <f t="shared" si="53"/>
        <v>30.031746031746039</v>
      </c>
      <c r="I693" s="104">
        <f t="shared" si="50"/>
        <v>34.4</v>
      </c>
      <c r="J693" s="133"/>
      <c r="K693" s="110">
        <f t="shared" si="54"/>
        <v>31.272727272727273</v>
      </c>
      <c r="L693" s="88"/>
      <c r="M693" s="2"/>
    </row>
    <row r="694" spans="1:13" ht="22.5" customHeight="1">
      <c r="A694" s="2" t="s">
        <v>2039</v>
      </c>
      <c r="B694" s="2" t="s">
        <v>2038</v>
      </c>
      <c r="D694" s="13" t="s">
        <v>2040</v>
      </c>
      <c r="E694" s="14">
        <v>484.18240000000003</v>
      </c>
      <c r="F694" s="104">
        <f t="shared" si="51"/>
        <v>17.75335466666667</v>
      </c>
      <c r="G694" s="104">
        <f t="shared" si="52"/>
        <v>17.236266666666673</v>
      </c>
      <c r="H694" s="104">
        <f t="shared" si="53"/>
        <v>16.90795682539683</v>
      </c>
      <c r="I694" s="104">
        <f t="shared" si="50"/>
        <v>19.367296</v>
      </c>
      <c r="J694" s="133"/>
      <c r="K694" s="110">
        <f t="shared" si="54"/>
        <v>17.606632727272725</v>
      </c>
      <c r="L694" s="88"/>
      <c r="M694" s="2"/>
    </row>
    <row r="695" spans="1:13" ht="22.5" customHeight="1">
      <c r="A695" s="2" t="s">
        <v>2042</v>
      </c>
      <c r="B695" s="2" t="s">
        <v>2041</v>
      </c>
      <c r="D695" s="13" t="s">
        <v>2043</v>
      </c>
      <c r="E695" s="14">
        <v>634.15039999999999</v>
      </c>
      <c r="F695" s="104">
        <f t="shared" si="51"/>
        <v>23.252181333333336</v>
      </c>
      <c r="G695" s="104">
        <f t="shared" si="52"/>
        <v>22.574933333333338</v>
      </c>
      <c r="H695" s="104">
        <f t="shared" si="53"/>
        <v>22.144934603174608</v>
      </c>
      <c r="I695" s="104">
        <f t="shared" si="50"/>
        <v>25.366015999999998</v>
      </c>
      <c r="J695" s="133"/>
      <c r="K695" s="110">
        <f t="shared" si="54"/>
        <v>23.060014545454543</v>
      </c>
      <c r="L695" s="88"/>
      <c r="M695" s="2"/>
    </row>
    <row r="696" spans="1:13" ht="22.5" customHeight="1">
      <c r="A696" s="2" t="s">
        <v>2045</v>
      </c>
      <c r="B696" s="2" t="s">
        <v>2044</v>
      </c>
      <c r="D696" s="13" t="s">
        <v>2046</v>
      </c>
      <c r="E696" s="14">
        <v>520</v>
      </c>
      <c r="F696" s="104">
        <f t="shared" si="51"/>
        <v>19.066666666666666</v>
      </c>
      <c r="G696" s="104">
        <f t="shared" si="52"/>
        <v>18.511326860841425</v>
      </c>
      <c r="H696" s="104">
        <f t="shared" si="53"/>
        <v>18.158730158730158</v>
      </c>
      <c r="I696" s="104">
        <f t="shared" si="50"/>
        <v>20.8</v>
      </c>
      <c r="J696" s="133"/>
      <c r="K696" s="110">
        <f t="shared" si="54"/>
        <v>18.90909090909091</v>
      </c>
      <c r="L696" s="88"/>
      <c r="M696" s="2"/>
    </row>
    <row r="697" spans="1:13" ht="22.5" customHeight="1">
      <c r="A697" s="25" t="s">
        <v>2048</v>
      </c>
      <c r="B697" s="25" t="s">
        <v>2047</v>
      </c>
      <c r="C697" s="25"/>
      <c r="D697" s="26" t="s">
        <v>2049</v>
      </c>
      <c r="E697" s="27">
        <v>690</v>
      </c>
      <c r="F697" s="104">
        <f t="shared" si="51"/>
        <v>25.300000000000004</v>
      </c>
      <c r="G697" s="104">
        <f t="shared" si="52"/>
        <v>24.563106796116511</v>
      </c>
      <c r="H697" s="104">
        <f t="shared" si="53"/>
        <v>24.095238095238098</v>
      </c>
      <c r="I697" s="104">
        <f t="shared" si="50"/>
        <v>27.6</v>
      </c>
      <c r="J697" s="133"/>
      <c r="K697" s="110">
        <f t="shared" si="54"/>
        <v>25.09090909090909</v>
      </c>
      <c r="L697" s="88"/>
      <c r="M697" s="2"/>
    </row>
    <row r="698" spans="1:13" ht="22.5" customHeight="1">
      <c r="A698" s="2" t="s">
        <v>2051</v>
      </c>
      <c r="B698" s="2" t="s">
        <v>2050</v>
      </c>
      <c r="D698" s="13" t="s">
        <v>2052</v>
      </c>
      <c r="E698" s="14">
        <v>652.36079999999993</v>
      </c>
      <c r="F698" s="104">
        <f t="shared" si="51"/>
        <v>23.919895999999998</v>
      </c>
      <c r="G698" s="104">
        <f t="shared" si="52"/>
        <v>23.223199999999999</v>
      </c>
      <c r="H698" s="104">
        <f t="shared" si="53"/>
        <v>22.780853333333333</v>
      </c>
      <c r="I698" s="104">
        <f t="shared" si="50"/>
        <v>26.094431999999994</v>
      </c>
      <c r="J698" s="133"/>
      <c r="K698" s="110">
        <f t="shared" si="54"/>
        <v>23.722210909090904</v>
      </c>
      <c r="L698" s="88"/>
      <c r="M698" s="2"/>
    </row>
    <row r="699" spans="1:13" ht="22.5" customHeight="1">
      <c r="A699" s="25" t="s">
        <v>2054</v>
      </c>
      <c r="B699" s="25" t="s">
        <v>2053</v>
      </c>
      <c r="C699" s="25"/>
      <c r="D699" s="26" t="s">
        <v>2055</v>
      </c>
      <c r="E699" s="27">
        <v>660</v>
      </c>
      <c r="F699" s="104">
        <f t="shared" si="51"/>
        <v>24.200000000000003</v>
      </c>
      <c r="G699" s="104">
        <f t="shared" si="52"/>
        <v>23.495145631067967</v>
      </c>
      <c r="H699" s="104">
        <f t="shared" si="53"/>
        <v>23.047619047619051</v>
      </c>
      <c r="I699" s="104">
        <f t="shared" si="50"/>
        <v>26.4</v>
      </c>
      <c r="J699" s="133"/>
      <c r="K699" s="110">
        <f t="shared" si="54"/>
        <v>24</v>
      </c>
      <c r="L699" s="88"/>
      <c r="M699" s="2"/>
    </row>
    <row r="700" spans="1:13" ht="22.5" customHeight="1">
      <c r="A700" s="2" t="s">
        <v>2057</v>
      </c>
      <c r="B700" s="2" t="s">
        <v>2056</v>
      </c>
      <c r="D700" s="13" t="s">
        <v>2058</v>
      </c>
      <c r="E700" s="14">
        <v>742.34159999999997</v>
      </c>
      <c r="F700" s="104">
        <f t="shared" si="51"/>
        <v>27.219192000000003</v>
      </c>
      <c r="G700" s="104">
        <f t="shared" si="52"/>
        <v>26.426400000000001</v>
      </c>
      <c r="H700" s="104">
        <f t="shared" si="53"/>
        <v>25.923040000000004</v>
      </c>
      <c r="I700" s="104">
        <f t="shared" si="50"/>
        <v>29.693663999999998</v>
      </c>
      <c r="J700" s="133"/>
      <c r="K700" s="110">
        <f t="shared" si="54"/>
        <v>26.994239999999998</v>
      </c>
      <c r="L700" s="88"/>
      <c r="M700" s="2"/>
    </row>
    <row r="701" spans="1:13" ht="22.5" customHeight="1">
      <c r="A701" s="2" t="s">
        <v>2060</v>
      </c>
      <c r="B701" s="2" t="s">
        <v>2059</v>
      </c>
      <c r="D701" s="13" t="s">
        <v>2061</v>
      </c>
      <c r="E701" s="14">
        <v>706.99200000000008</v>
      </c>
      <c r="F701" s="104">
        <f t="shared" si="51"/>
        <v>25.923040000000004</v>
      </c>
      <c r="G701" s="104">
        <f t="shared" si="52"/>
        <v>25.168000000000006</v>
      </c>
      <c r="H701" s="104">
        <f t="shared" si="53"/>
        <v>24.688609523809529</v>
      </c>
      <c r="I701" s="104">
        <f t="shared" si="50"/>
        <v>28.279680000000003</v>
      </c>
      <c r="J701" s="133"/>
      <c r="K701" s="110">
        <f t="shared" si="54"/>
        <v>25.708800000000004</v>
      </c>
      <c r="L701" s="88"/>
      <c r="M701" s="2"/>
    </row>
    <row r="702" spans="1:13" ht="22.5" customHeight="1">
      <c r="A702" s="2" t="s">
        <v>2063</v>
      </c>
      <c r="B702" s="2" t="s">
        <v>2062</v>
      </c>
      <c r="D702" s="13" t="s">
        <v>2064</v>
      </c>
      <c r="E702" s="14">
        <v>771.26400000000001</v>
      </c>
      <c r="F702" s="104">
        <f t="shared" si="51"/>
        <v>28.279680000000003</v>
      </c>
      <c r="G702" s="104">
        <f t="shared" si="52"/>
        <v>27.456000000000003</v>
      </c>
      <c r="H702" s="104">
        <f t="shared" si="53"/>
        <v>26.933028571428576</v>
      </c>
      <c r="I702" s="104">
        <f t="shared" si="50"/>
        <v>30.850559999999998</v>
      </c>
      <c r="J702" s="133"/>
      <c r="K702" s="110">
        <f t="shared" si="54"/>
        <v>28.045963636363638</v>
      </c>
      <c r="L702" s="88"/>
      <c r="M702" s="2"/>
    </row>
    <row r="703" spans="1:13" ht="22.5" customHeight="1">
      <c r="A703" s="25" t="s">
        <v>2066</v>
      </c>
      <c r="B703" s="25" t="s">
        <v>2065</v>
      </c>
      <c r="C703" s="25"/>
      <c r="D703" s="26" t="s">
        <v>2067</v>
      </c>
      <c r="E703" s="27">
        <v>740</v>
      </c>
      <c r="F703" s="104">
        <f t="shared" si="51"/>
        <v>27.133333333333336</v>
      </c>
      <c r="G703" s="104">
        <f t="shared" si="52"/>
        <v>26.343042071197413</v>
      </c>
      <c r="H703" s="104">
        <f t="shared" si="53"/>
        <v>25.841269841269842</v>
      </c>
      <c r="I703" s="104">
        <f t="shared" si="50"/>
        <v>29.6</v>
      </c>
      <c r="J703" s="133"/>
      <c r="K703" s="110">
        <f t="shared" si="54"/>
        <v>26.90909090909091</v>
      </c>
      <c r="L703" s="88"/>
      <c r="M703" s="2"/>
    </row>
    <row r="704" spans="1:13" ht="22.5" customHeight="1">
      <c r="A704" s="2" t="s">
        <v>2069</v>
      </c>
      <c r="B704" s="2" t="s">
        <v>2068</v>
      </c>
      <c r="D704" s="13" t="s">
        <v>2070</v>
      </c>
      <c r="E704" s="14">
        <v>664.14400000000001</v>
      </c>
      <c r="F704" s="104">
        <f t="shared" si="51"/>
        <v>24.35194666666667</v>
      </c>
      <c r="G704" s="104">
        <f t="shared" si="52"/>
        <v>23.64266666666667</v>
      </c>
      <c r="H704" s="104">
        <f t="shared" si="53"/>
        <v>23.192330158730165</v>
      </c>
      <c r="I704" s="104">
        <f t="shared" si="50"/>
        <v>26.565760000000001</v>
      </c>
      <c r="J704" s="133"/>
      <c r="K704" s="110">
        <f t="shared" si="54"/>
        <v>24.150690909090908</v>
      </c>
      <c r="L704" s="88"/>
      <c r="M704" s="2"/>
    </row>
    <row r="705" spans="1:13" ht="22.5" customHeight="1">
      <c r="A705" s="2" t="s">
        <v>2072</v>
      </c>
      <c r="B705" s="2" t="s">
        <v>2071</v>
      </c>
      <c r="D705" s="13" t="s">
        <v>2073</v>
      </c>
      <c r="E705" s="14">
        <v>670</v>
      </c>
      <c r="F705" s="104">
        <f t="shared" si="51"/>
        <v>24.56666666666667</v>
      </c>
      <c r="G705" s="104">
        <f t="shared" si="52"/>
        <v>23.851132686084146</v>
      </c>
      <c r="H705" s="104">
        <f t="shared" si="53"/>
        <v>23.396825396825399</v>
      </c>
      <c r="I705" s="104">
        <f t="shared" si="50"/>
        <v>26.8</v>
      </c>
      <c r="J705" s="133"/>
      <c r="K705" s="110">
        <f t="shared" si="54"/>
        <v>24.363636363636363</v>
      </c>
      <c r="L705" s="88"/>
      <c r="M705" s="2"/>
    </row>
    <row r="706" spans="1:13" ht="22.5" customHeight="1">
      <c r="A706" s="2" t="s">
        <v>2075</v>
      </c>
      <c r="B706" s="2" t="s">
        <v>2074</v>
      </c>
      <c r="D706" s="13" t="s">
        <v>2076</v>
      </c>
      <c r="E706" s="14">
        <v>710</v>
      </c>
      <c r="F706" s="104">
        <f t="shared" si="51"/>
        <v>26.033333333333339</v>
      </c>
      <c r="G706" s="104">
        <f t="shared" si="52"/>
        <v>25.275080906148872</v>
      </c>
      <c r="H706" s="104">
        <f t="shared" si="53"/>
        <v>24.793650793650798</v>
      </c>
      <c r="I706" s="104">
        <f t="shared" ref="I706:I769" si="55">+(E706*1.2/30)</f>
        <v>28.4</v>
      </c>
      <c r="J706" s="133"/>
      <c r="K706" s="110">
        <f t="shared" si="54"/>
        <v>25.818181818181817</v>
      </c>
      <c r="L706" s="88"/>
      <c r="M706" s="2"/>
    </row>
    <row r="707" spans="1:13" ht="22.5" customHeight="1">
      <c r="A707" s="2" t="s">
        <v>2078</v>
      </c>
      <c r="B707" s="2" t="s">
        <v>2077</v>
      </c>
      <c r="D707" s="13" t="s">
        <v>1924</v>
      </c>
      <c r="E707" s="14">
        <v>653.43200000000002</v>
      </c>
      <c r="F707" s="104">
        <f t="shared" si="51"/>
        <v>23.959173333333336</v>
      </c>
      <c r="G707" s="104">
        <f t="shared" si="52"/>
        <v>23.261333333333337</v>
      </c>
      <c r="H707" s="104">
        <f t="shared" si="53"/>
        <v>22.818260317460322</v>
      </c>
      <c r="I707" s="104">
        <f t="shared" si="55"/>
        <v>26.137279999999997</v>
      </c>
      <c r="J707" s="133"/>
      <c r="K707" s="110">
        <f t="shared" si="54"/>
        <v>23.761163636363634</v>
      </c>
      <c r="L707" s="88"/>
      <c r="M707" s="2"/>
    </row>
    <row r="708" spans="1:13" ht="22.5" customHeight="1">
      <c r="A708" s="25" t="s">
        <v>2080</v>
      </c>
      <c r="B708" s="25" t="s">
        <v>2079</v>
      </c>
      <c r="C708" s="25"/>
      <c r="D708" s="26" t="s">
        <v>2081</v>
      </c>
      <c r="E708" s="27">
        <v>550</v>
      </c>
      <c r="F708" s="104">
        <f t="shared" si="51"/>
        <v>20.166666666666668</v>
      </c>
      <c r="G708" s="104">
        <f t="shared" si="52"/>
        <v>19.579288025889969</v>
      </c>
      <c r="H708" s="104">
        <f t="shared" si="53"/>
        <v>19.206349206349206</v>
      </c>
      <c r="I708" s="104">
        <f t="shared" si="55"/>
        <v>22</v>
      </c>
      <c r="J708" s="133"/>
      <c r="K708" s="110">
        <f t="shared" si="54"/>
        <v>20</v>
      </c>
      <c r="L708" s="88"/>
      <c r="M708" s="2"/>
    </row>
    <row r="709" spans="1:13" ht="22.5" customHeight="1">
      <c r="A709" s="25" t="s">
        <v>2083</v>
      </c>
      <c r="B709" s="25" t="s">
        <v>2082</v>
      </c>
      <c r="C709" s="25"/>
      <c r="D709" s="26" t="s">
        <v>2084</v>
      </c>
      <c r="E709" s="27">
        <v>750</v>
      </c>
      <c r="F709" s="104">
        <f t="shared" si="51"/>
        <v>27.500000000000004</v>
      </c>
      <c r="G709" s="104">
        <f t="shared" si="52"/>
        <v>26.699029126213595</v>
      </c>
      <c r="H709" s="104">
        <f t="shared" si="53"/>
        <v>26.190476190476193</v>
      </c>
      <c r="I709" s="104">
        <f t="shared" si="55"/>
        <v>30</v>
      </c>
      <c r="J709" s="133"/>
      <c r="K709" s="110">
        <f t="shared" si="54"/>
        <v>27.272727272727273</v>
      </c>
      <c r="L709" s="88"/>
      <c r="M709" s="2"/>
    </row>
    <row r="710" spans="1:13" ht="22.5" customHeight="1">
      <c r="A710" s="2" t="s">
        <v>2086</v>
      </c>
      <c r="B710" s="2" t="s">
        <v>2085</v>
      </c>
      <c r="D710" s="13" t="s">
        <v>2087</v>
      </c>
      <c r="E710" s="14">
        <v>686.63920000000007</v>
      </c>
      <c r="F710" s="104">
        <f t="shared" si="51"/>
        <v>25.176770666666673</v>
      </c>
      <c r="G710" s="104">
        <f t="shared" si="52"/>
        <v>24.443466666666676</v>
      </c>
      <c r="H710" s="104">
        <f t="shared" si="53"/>
        <v>23.977876825396834</v>
      </c>
      <c r="I710" s="104">
        <f t="shared" si="55"/>
        <v>27.465568000000005</v>
      </c>
      <c r="J710" s="133"/>
      <c r="K710" s="110">
        <f t="shared" si="54"/>
        <v>24.968698181818183</v>
      </c>
      <c r="L710" s="88"/>
      <c r="M710" s="2"/>
    </row>
    <row r="711" spans="1:13" ht="22.5" customHeight="1">
      <c r="A711" s="2" t="s">
        <v>2089</v>
      </c>
      <c r="B711" s="2" t="s">
        <v>2088</v>
      </c>
      <c r="D711" s="13" t="s">
        <v>2090</v>
      </c>
      <c r="E711" s="14">
        <v>844.10559999999998</v>
      </c>
      <c r="F711" s="104">
        <f t="shared" ref="F711:F776" si="56">+(E711*1.1/30)</f>
        <v>30.950538666666667</v>
      </c>
      <c r="G711" s="104">
        <f t="shared" ref="G711:G789" si="57">+(F711*100/103)</f>
        <v>30.049066666666665</v>
      </c>
      <c r="H711" s="104">
        <f t="shared" ref="H711:H789" si="58">+(F711*100/105)</f>
        <v>29.476703492063493</v>
      </c>
      <c r="I711" s="104">
        <f t="shared" si="55"/>
        <v>33.764223999999999</v>
      </c>
      <c r="J711" s="133"/>
      <c r="K711" s="110">
        <f t="shared" ref="K711:K789" si="59">+(E711*1.2/33)</f>
        <v>30.694749090909088</v>
      </c>
      <c r="L711" s="88"/>
      <c r="M711" s="2"/>
    </row>
    <row r="712" spans="1:13" ht="22.5" customHeight="1">
      <c r="A712" s="25" t="s">
        <v>2092</v>
      </c>
      <c r="B712" s="25" t="s">
        <v>2091</v>
      </c>
      <c r="C712" s="25"/>
      <c r="D712" s="26" t="s">
        <v>2093</v>
      </c>
      <c r="E712" s="27">
        <v>950</v>
      </c>
      <c r="F712" s="104">
        <f t="shared" si="56"/>
        <v>34.833333333333336</v>
      </c>
      <c r="G712" s="104">
        <f t="shared" si="57"/>
        <v>33.818770226537218</v>
      </c>
      <c r="H712" s="104">
        <f t="shared" si="58"/>
        <v>33.174603174603178</v>
      </c>
      <c r="I712" s="104">
        <f t="shared" si="55"/>
        <v>38</v>
      </c>
      <c r="J712" s="133"/>
      <c r="K712" s="110">
        <f t="shared" si="59"/>
        <v>34.545454545454547</v>
      </c>
      <c r="L712" s="88"/>
      <c r="M712" s="2"/>
    </row>
    <row r="713" spans="1:13" ht="22.5" customHeight="1">
      <c r="A713" s="2" t="s">
        <v>2095</v>
      </c>
      <c r="B713" s="2" t="s">
        <v>2094</v>
      </c>
      <c r="D713" s="13" t="s">
        <v>2096</v>
      </c>
      <c r="E713" s="14">
        <v>764.83680000000004</v>
      </c>
      <c r="F713" s="104">
        <f t="shared" si="56"/>
        <v>28.044016000000003</v>
      </c>
      <c r="G713" s="104">
        <f t="shared" si="57"/>
        <v>27.2272</v>
      </c>
      <c r="H713" s="104">
        <f t="shared" si="58"/>
        <v>26.708586666666669</v>
      </c>
      <c r="I713" s="104">
        <f t="shared" si="55"/>
        <v>30.593472000000002</v>
      </c>
      <c r="J713" s="133"/>
      <c r="K713" s="110">
        <f t="shared" si="59"/>
        <v>27.812247272727273</v>
      </c>
      <c r="L713" s="88"/>
      <c r="M713" s="2"/>
    </row>
    <row r="714" spans="1:13" ht="22.5" customHeight="1">
      <c r="A714" s="25" t="s">
        <v>2098</v>
      </c>
      <c r="B714" s="25" t="s">
        <v>2097</v>
      </c>
      <c r="C714" s="25"/>
      <c r="D714" s="26" t="s">
        <v>2099</v>
      </c>
      <c r="E714" s="27">
        <v>760</v>
      </c>
      <c r="F714" s="104">
        <f t="shared" si="56"/>
        <v>27.866666666666671</v>
      </c>
      <c r="G714" s="104">
        <f t="shared" si="57"/>
        <v>27.055016181229778</v>
      </c>
      <c r="H714" s="104">
        <f t="shared" si="58"/>
        <v>26.539682539682541</v>
      </c>
      <c r="I714" s="104">
        <f t="shared" si="55"/>
        <v>30.4</v>
      </c>
      <c r="J714" s="133"/>
      <c r="K714" s="110">
        <f t="shared" si="59"/>
        <v>27.636363636363637</v>
      </c>
      <c r="L714" s="88"/>
      <c r="M714" s="2"/>
    </row>
    <row r="715" spans="1:13" ht="22.5" customHeight="1">
      <c r="A715" s="25" t="s">
        <v>2101</v>
      </c>
      <c r="B715" s="25" t="s">
        <v>2100</v>
      </c>
      <c r="C715" s="25"/>
      <c r="D715" s="26" t="s">
        <v>2102</v>
      </c>
      <c r="E715" s="27">
        <v>800</v>
      </c>
      <c r="F715" s="104">
        <f t="shared" si="56"/>
        <v>29.333333333333336</v>
      </c>
      <c r="G715" s="104">
        <f t="shared" si="57"/>
        <v>28.478964401294501</v>
      </c>
      <c r="H715" s="104">
        <f t="shared" si="58"/>
        <v>27.936507936507937</v>
      </c>
      <c r="I715" s="104">
        <f t="shared" si="55"/>
        <v>32</v>
      </c>
      <c r="J715" s="133"/>
      <c r="K715" s="110">
        <f t="shared" si="59"/>
        <v>29.09090909090909</v>
      </c>
      <c r="L715" s="88"/>
      <c r="M715" s="2"/>
    </row>
    <row r="716" spans="1:13" ht="22.5" customHeight="1">
      <c r="A716" s="2" t="s">
        <v>2104</v>
      </c>
      <c r="B716" s="2" t="s">
        <v>2103</v>
      </c>
      <c r="D716" s="13" t="s">
        <v>2105</v>
      </c>
      <c r="E716" s="14">
        <v>584.87519999999995</v>
      </c>
      <c r="F716" s="104">
        <f t="shared" si="56"/>
        <v>21.445423999999999</v>
      </c>
      <c r="G716" s="104">
        <f t="shared" si="57"/>
        <v>20.820799999999998</v>
      </c>
      <c r="H716" s="104">
        <f t="shared" si="58"/>
        <v>20.424213333333331</v>
      </c>
      <c r="I716" s="104">
        <f t="shared" si="55"/>
        <v>23.395007999999997</v>
      </c>
      <c r="J716" s="133"/>
      <c r="K716" s="110">
        <f t="shared" si="59"/>
        <v>21.268189090909086</v>
      </c>
      <c r="L716" s="88"/>
      <c r="M716" s="2"/>
    </row>
    <row r="717" spans="1:13" ht="22.5" customHeight="1">
      <c r="A717" s="25" t="s">
        <v>2107</v>
      </c>
      <c r="B717" s="25" t="s">
        <v>2106</v>
      </c>
      <c r="C717" s="25"/>
      <c r="D717" s="26" t="s">
        <v>2108</v>
      </c>
      <c r="E717" s="27">
        <v>860</v>
      </c>
      <c r="F717" s="104">
        <f t="shared" si="56"/>
        <v>31.533333333333339</v>
      </c>
      <c r="G717" s="104">
        <f t="shared" si="57"/>
        <v>30.614886731391593</v>
      </c>
      <c r="H717" s="104">
        <f t="shared" si="58"/>
        <v>30.031746031746039</v>
      </c>
      <c r="I717" s="104">
        <f t="shared" si="55"/>
        <v>34.4</v>
      </c>
      <c r="J717" s="133"/>
      <c r="K717" s="110">
        <f t="shared" si="59"/>
        <v>31.272727272727273</v>
      </c>
      <c r="L717" s="88"/>
      <c r="M717" s="2"/>
    </row>
    <row r="718" spans="1:13" ht="22.5" customHeight="1">
      <c r="A718" s="2" t="s">
        <v>2110</v>
      </c>
      <c r="B718" s="2" t="s">
        <v>2109</v>
      </c>
      <c r="D718" s="13" t="s">
        <v>2111</v>
      </c>
      <c r="E718" s="14">
        <v>619.15359999999998</v>
      </c>
      <c r="F718" s="104">
        <f t="shared" si="56"/>
        <v>22.702298666666668</v>
      </c>
      <c r="G718" s="104">
        <f t="shared" si="57"/>
        <v>22.041066666666666</v>
      </c>
      <c r="H718" s="104">
        <f t="shared" si="58"/>
        <v>21.621236825396824</v>
      </c>
      <c r="I718" s="104">
        <f t="shared" si="55"/>
        <v>24.766143999999997</v>
      </c>
      <c r="J718" s="133"/>
      <c r="K718" s="110">
        <f t="shared" si="59"/>
        <v>22.514676363636362</v>
      </c>
      <c r="L718" s="88"/>
      <c r="M718" s="2"/>
    </row>
    <row r="719" spans="1:13" ht="22.5" customHeight="1">
      <c r="A719" s="2" t="s">
        <v>2113</v>
      </c>
      <c r="B719" s="2" t="s">
        <v>2112</v>
      </c>
      <c r="D719" s="13" t="s">
        <v>2114</v>
      </c>
      <c r="E719" s="14">
        <v>685.5680000000001</v>
      </c>
      <c r="F719" s="104">
        <f t="shared" si="56"/>
        <v>25.137493333333339</v>
      </c>
      <c r="G719" s="104">
        <f t="shared" si="57"/>
        <v>24.405333333333342</v>
      </c>
      <c r="H719" s="104">
        <f t="shared" si="58"/>
        <v>23.940469841269849</v>
      </c>
      <c r="I719" s="104">
        <f t="shared" si="55"/>
        <v>27.422720000000005</v>
      </c>
      <c r="J719" s="133"/>
      <c r="K719" s="110">
        <f t="shared" si="59"/>
        <v>24.929745454545458</v>
      </c>
      <c r="L719" s="88"/>
      <c r="M719" s="2"/>
    </row>
    <row r="720" spans="1:13" ht="22.5" customHeight="1">
      <c r="A720" s="2" t="s">
        <v>2116</v>
      </c>
      <c r="B720" s="2" t="s">
        <v>2115</v>
      </c>
      <c r="D720" s="13" t="s">
        <v>2117</v>
      </c>
      <c r="E720" s="14">
        <v>809.82720000000006</v>
      </c>
      <c r="F720" s="104">
        <f t="shared" si="56"/>
        <v>29.693664000000005</v>
      </c>
      <c r="G720" s="104">
        <f t="shared" si="57"/>
        <v>28.828800000000005</v>
      </c>
      <c r="H720" s="104">
        <f t="shared" si="58"/>
        <v>28.279680000000003</v>
      </c>
      <c r="I720" s="104">
        <f t="shared" si="55"/>
        <v>32.393087999999999</v>
      </c>
      <c r="J720" s="133"/>
      <c r="K720" s="110">
        <f t="shared" si="59"/>
        <v>29.44826181818182</v>
      </c>
      <c r="L720" s="88"/>
      <c r="M720" s="2"/>
    </row>
    <row r="721" spans="1:14" ht="22.5" customHeight="1">
      <c r="A721" s="2" t="s">
        <v>2119</v>
      </c>
      <c r="B721" s="2" t="s">
        <v>2118</v>
      </c>
      <c r="D721" s="13" t="s">
        <v>2120</v>
      </c>
      <c r="E721" s="14">
        <v>799.11519999999996</v>
      </c>
      <c r="F721" s="104">
        <f t="shared" si="56"/>
        <v>29.300890666666668</v>
      </c>
      <c r="G721" s="104">
        <f t="shared" si="57"/>
        <v>28.447466666666667</v>
      </c>
      <c r="H721" s="104">
        <f t="shared" si="58"/>
        <v>27.905610158730163</v>
      </c>
      <c r="I721" s="104">
        <f t="shared" si="55"/>
        <v>31.964607999999998</v>
      </c>
      <c r="J721" s="133"/>
      <c r="K721" s="110">
        <f t="shared" si="59"/>
        <v>29.058734545454545</v>
      </c>
      <c r="L721" s="88"/>
      <c r="M721" s="2"/>
    </row>
    <row r="722" spans="1:14" ht="22.5" customHeight="1">
      <c r="A722" s="25" t="s">
        <v>2122</v>
      </c>
      <c r="B722" s="25" t="s">
        <v>2121</v>
      </c>
      <c r="C722" s="25"/>
      <c r="D722" s="26" t="s">
        <v>2123</v>
      </c>
      <c r="E722" s="27">
        <v>780</v>
      </c>
      <c r="F722" s="104">
        <f t="shared" si="56"/>
        <v>28.600000000000005</v>
      </c>
      <c r="G722" s="104">
        <f t="shared" si="57"/>
        <v>27.76699029126214</v>
      </c>
      <c r="H722" s="104">
        <f t="shared" si="58"/>
        <v>27.238095238095241</v>
      </c>
      <c r="I722" s="104">
        <f t="shared" si="55"/>
        <v>31.2</v>
      </c>
      <c r="J722" s="133"/>
      <c r="K722" s="110">
        <f t="shared" si="59"/>
        <v>28.363636363636363</v>
      </c>
      <c r="L722" s="88"/>
      <c r="M722" s="2"/>
    </row>
    <row r="723" spans="1:14" ht="22.5" customHeight="1">
      <c r="A723" s="2" t="s">
        <v>2125</v>
      </c>
      <c r="B723" s="2" t="s">
        <v>2124</v>
      </c>
      <c r="C723" s="2" t="s">
        <v>8764</v>
      </c>
      <c r="D723" s="13" t="s">
        <v>2126</v>
      </c>
      <c r="E723" s="14">
        <v>781.976</v>
      </c>
      <c r="F723" s="104">
        <f t="shared" si="56"/>
        <v>28.672453333333337</v>
      </c>
      <c r="G723" s="104">
        <f t="shared" si="57"/>
        <v>27.837333333333337</v>
      </c>
      <c r="H723" s="104">
        <f t="shared" si="58"/>
        <v>27.307098412698416</v>
      </c>
      <c r="I723" s="104">
        <f t="shared" si="55"/>
        <v>31.279039999999998</v>
      </c>
      <c r="J723" s="133"/>
      <c r="K723" s="110">
        <f t="shared" si="59"/>
        <v>28.435490909090905</v>
      </c>
      <c r="L723" s="88"/>
      <c r="M723" s="2"/>
    </row>
    <row r="724" spans="1:14" ht="22.5" customHeight="1">
      <c r="A724" s="2" t="s">
        <v>2128</v>
      </c>
      <c r="B724" s="2" t="s">
        <v>2127</v>
      </c>
      <c r="D724" s="13" t="s">
        <v>2129</v>
      </c>
      <c r="E724" s="14">
        <v>652.36079999999993</v>
      </c>
      <c r="F724" s="104">
        <f t="shared" si="56"/>
        <v>23.919895999999998</v>
      </c>
      <c r="G724" s="104">
        <f t="shared" si="57"/>
        <v>23.223199999999999</v>
      </c>
      <c r="H724" s="104">
        <f t="shared" si="58"/>
        <v>22.780853333333333</v>
      </c>
      <c r="I724" s="104">
        <f t="shared" si="55"/>
        <v>26.094431999999994</v>
      </c>
      <c r="J724" s="133"/>
      <c r="K724" s="110">
        <f t="shared" si="59"/>
        <v>23.722210909090904</v>
      </c>
      <c r="L724" s="88"/>
      <c r="M724" s="2"/>
    </row>
    <row r="725" spans="1:14" ht="22.5" customHeight="1">
      <c r="A725" s="2" t="s">
        <v>2131</v>
      </c>
      <c r="B725" s="2" t="s">
        <v>2130</v>
      </c>
      <c r="D725" s="13" t="s">
        <v>2132</v>
      </c>
      <c r="E725" s="14">
        <v>546.31200000000013</v>
      </c>
      <c r="F725" s="104">
        <f t="shared" si="56"/>
        <v>20.031440000000007</v>
      </c>
      <c r="G725" s="104">
        <f t="shared" si="57"/>
        <v>19.448000000000008</v>
      </c>
      <c r="H725" s="104">
        <f t="shared" si="58"/>
        <v>19.077561904761911</v>
      </c>
      <c r="I725" s="104">
        <f t="shared" si="55"/>
        <v>21.852480000000003</v>
      </c>
      <c r="J725" s="133"/>
      <c r="K725" s="110">
        <f t="shared" si="59"/>
        <v>19.865890909090911</v>
      </c>
      <c r="L725" s="88"/>
      <c r="M725" s="2"/>
    </row>
    <row r="726" spans="1:14" ht="22.5" customHeight="1">
      <c r="A726" s="2" t="s">
        <v>2134</v>
      </c>
      <c r="B726" s="2" t="s">
        <v>2133</v>
      </c>
      <c r="D726" s="13" t="s">
        <v>2135</v>
      </c>
      <c r="E726" s="14">
        <v>833.39359999999999</v>
      </c>
      <c r="F726" s="104">
        <f t="shared" si="56"/>
        <v>30.557765333333336</v>
      </c>
      <c r="G726" s="104">
        <f t="shared" si="57"/>
        <v>29.667733333333338</v>
      </c>
      <c r="H726" s="104">
        <f t="shared" si="58"/>
        <v>29.102633650793653</v>
      </c>
      <c r="I726" s="104">
        <f t="shared" si="55"/>
        <v>33.335743999999998</v>
      </c>
      <c r="J726" s="133"/>
      <c r="K726" s="110">
        <f t="shared" si="59"/>
        <v>30.305221818181817</v>
      </c>
      <c r="L726" s="88"/>
      <c r="M726" s="2"/>
    </row>
    <row r="727" spans="1:14" ht="22.5" customHeight="1">
      <c r="A727" s="2" t="s">
        <v>2137</v>
      </c>
      <c r="B727" s="2" t="s">
        <v>2136</v>
      </c>
      <c r="D727" s="13" t="s">
        <v>2138</v>
      </c>
      <c r="E727" s="14">
        <v>732.70079999999996</v>
      </c>
      <c r="F727" s="104">
        <f t="shared" si="56"/>
        <v>26.865696</v>
      </c>
      <c r="G727" s="104">
        <f t="shared" si="57"/>
        <v>26.083199999999998</v>
      </c>
      <c r="H727" s="104">
        <f t="shared" si="58"/>
        <v>25.586377142857142</v>
      </c>
      <c r="I727" s="104">
        <f t="shared" si="55"/>
        <v>29.308032000000001</v>
      </c>
      <c r="J727" s="133"/>
      <c r="K727" s="110">
        <f t="shared" si="59"/>
        <v>26.643665454545452</v>
      </c>
      <c r="L727" s="88"/>
      <c r="M727" s="2"/>
    </row>
    <row r="728" spans="1:14" ht="22.5" customHeight="1">
      <c r="A728" s="2" t="s">
        <v>2140</v>
      </c>
      <c r="B728" s="2" t="s">
        <v>2139</v>
      </c>
      <c r="D728" s="13" t="s">
        <v>2141</v>
      </c>
      <c r="E728" s="14">
        <v>800</v>
      </c>
      <c r="F728" s="104">
        <f t="shared" si="56"/>
        <v>29.333333333333336</v>
      </c>
      <c r="G728" s="104">
        <f t="shared" si="57"/>
        <v>28.478964401294501</v>
      </c>
      <c r="H728" s="104">
        <f t="shared" si="58"/>
        <v>27.936507936507937</v>
      </c>
      <c r="I728" s="104">
        <f t="shared" si="55"/>
        <v>32</v>
      </c>
      <c r="J728" s="133"/>
      <c r="K728" s="110">
        <f t="shared" si="59"/>
        <v>29.09090909090909</v>
      </c>
      <c r="L728" s="88"/>
      <c r="M728" s="2"/>
    </row>
    <row r="729" spans="1:14" ht="22.5" customHeight="1">
      <c r="A729" s="2" t="s">
        <v>2143</v>
      </c>
      <c r="B729" s="2" t="s">
        <v>2142</v>
      </c>
      <c r="D729" s="13" t="s">
        <v>2144</v>
      </c>
      <c r="E729" s="14">
        <v>878.38400000000001</v>
      </c>
      <c r="F729" s="104">
        <f t="shared" si="56"/>
        <v>32.207413333333335</v>
      </c>
      <c r="G729" s="104">
        <f t="shared" si="57"/>
        <v>31.269333333333332</v>
      </c>
      <c r="H729" s="104">
        <f t="shared" si="58"/>
        <v>30.673726984126986</v>
      </c>
      <c r="I729" s="104">
        <f t="shared" si="55"/>
        <v>35.135359999999999</v>
      </c>
      <c r="J729" s="133"/>
      <c r="K729" s="110">
        <f t="shared" si="59"/>
        <v>31.941236363636364</v>
      </c>
      <c r="L729" s="88"/>
      <c r="M729" s="2"/>
    </row>
    <row r="730" spans="1:14" ht="22.5" customHeight="1">
      <c r="A730" s="2" t="s">
        <v>2146</v>
      </c>
      <c r="B730" s="2" t="s">
        <v>2145</v>
      </c>
      <c r="D730" s="13" t="s">
        <v>2147</v>
      </c>
      <c r="E730" s="14">
        <v>888.02480000000003</v>
      </c>
      <c r="F730" s="104">
        <f t="shared" si="56"/>
        <v>32.560909333333335</v>
      </c>
      <c r="G730" s="104">
        <f t="shared" si="57"/>
        <v>31.612533333333335</v>
      </c>
      <c r="H730" s="104">
        <f t="shared" si="58"/>
        <v>31.010389841269841</v>
      </c>
      <c r="I730" s="104">
        <f t="shared" si="55"/>
        <v>35.520992</v>
      </c>
      <c r="J730" s="133"/>
      <c r="K730" s="110">
        <f t="shared" si="59"/>
        <v>32.291810909090913</v>
      </c>
      <c r="L730" s="88"/>
      <c r="M730" s="2"/>
    </row>
    <row r="731" spans="1:14" ht="22.5" customHeight="1">
      <c r="A731" s="2" t="s">
        <v>8388</v>
      </c>
      <c r="B731" s="2" t="s">
        <v>8389</v>
      </c>
      <c r="D731" s="13" t="s">
        <v>8397</v>
      </c>
      <c r="E731" s="14">
        <v>710</v>
      </c>
      <c r="F731" s="104">
        <f t="shared" si="56"/>
        <v>26.033333333333339</v>
      </c>
      <c r="G731" s="104">
        <f t="shared" si="57"/>
        <v>25.275080906148872</v>
      </c>
      <c r="H731" s="104">
        <f t="shared" si="58"/>
        <v>24.793650793650798</v>
      </c>
      <c r="I731" s="104">
        <f t="shared" si="55"/>
        <v>28.4</v>
      </c>
      <c r="J731" s="133"/>
      <c r="K731" s="110">
        <f t="shared" si="59"/>
        <v>25.818181818181817</v>
      </c>
      <c r="L731" s="88">
        <v>45058</v>
      </c>
      <c r="M731" s="2"/>
    </row>
    <row r="732" spans="1:14" ht="22.5" customHeight="1">
      <c r="A732" s="25" t="s">
        <v>2149</v>
      </c>
      <c r="B732" s="25" t="s">
        <v>2148</v>
      </c>
      <c r="C732" s="25"/>
      <c r="D732" s="26" t="s">
        <v>2150</v>
      </c>
      <c r="E732" s="14">
        <v>690</v>
      </c>
      <c r="F732" s="104">
        <f t="shared" si="56"/>
        <v>25.300000000000004</v>
      </c>
      <c r="G732" s="104">
        <f t="shared" si="57"/>
        <v>24.563106796116511</v>
      </c>
      <c r="H732" s="104">
        <f t="shared" si="58"/>
        <v>24.095238095238098</v>
      </c>
      <c r="I732" s="104">
        <f t="shared" si="55"/>
        <v>27.6</v>
      </c>
      <c r="J732" s="133"/>
      <c r="K732" s="110">
        <f t="shared" si="59"/>
        <v>25.09090909090909</v>
      </c>
      <c r="L732" s="88"/>
      <c r="M732" s="2"/>
    </row>
    <row r="733" spans="1:14" ht="22.5" customHeight="1">
      <c r="A733" s="2" t="s">
        <v>2152</v>
      </c>
      <c r="B733" s="2" t="s">
        <v>2151</v>
      </c>
      <c r="D733" s="13" t="s">
        <v>8616</v>
      </c>
      <c r="E733" s="14">
        <v>889.096</v>
      </c>
      <c r="F733" s="104">
        <f t="shared" si="56"/>
        <v>32.600186666666666</v>
      </c>
      <c r="G733" s="104">
        <f t="shared" si="57"/>
        <v>31.650666666666663</v>
      </c>
      <c r="H733" s="104">
        <f t="shared" si="58"/>
        <v>31.047796825396823</v>
      </c>
      <c r="I733" s="104">
        <f t="shared" si="55"/>
        <v>35.563839999999999</v>
      </c>
      <c r="J733" s="133"/>
      <c r="K733" s="110">
        <f t="shared" si="59"/>
        <v>32.330763636363635</v>
      </c>
      <c r="L733" s="88"/>
      <c r="M733" s="2"/>
      <c r="N733" s="130">
        <v>45660</v>
      </c>
    </row>
    <row r="734" spans="1:14" ht="22.5" customHeight="1">
      <c r="A734" s="2" t="s">
        <v>2154</v>
      </c>
      <c r="B734" s="2" t="s">
        <v>2153</v>
      </c>
      <c r="D734" s="13" t="s">
        <v>8612</v>
      </c>
      <c r="E734" s="14">
        <v>889.096</v>
      </c>
      <c r="F734" s="104">
        <f t="shared" si="56"/>
        <v>32.600186666666666</v>
      </c>
      <c r="G734" s="104">
        <f t="shared" si="57"/>
        <v>31.650666666666663</v>
      </c>
      <c r="H734" s="104">
        <f t="shared" si="58"/>
        <v>31.047796825396823</v>
      </c>
      <c r="I734" s="104">
        <f t="shared" si="55"/>
        <v>35.563839999999999</v>
      </c>
      <c r="J734" s="133"/>
      <c r="K734" s="110">
        <f t="shared" si="59"/>
        <v>32.330763636363635</v>
      </c>
      <c r="L734" s="88"/>
      <c r="M734" s="2"/>
      <c r="N734" s="130">
        <v>45660</v>
      </c>
    </row>
    <row r="735" spans="1:14" ht="22.5" customHeight="1">
      <c r="A735" s="2" t="s">
        <v>2156</v>
      </c>
      <c r="B735" s="2" t="s">
        <v>2155</v>
      </c>
      <c r="D735" s="13" t="s">
        <v>2157</v>
      </c>
      <c r="E735" s="14">
        <v>430.62240000000003</v>
      </c>
      <c r="F735" s="104">
        <f t="shared" si="56"/>
        <v>15.789488000000002</v>
      </c>
      <c r="G735" s="104">
        <f t="shared" si="57"/>
        <v>15.329600000000001</v>
      </c>
      <c r="H735" s="104">
        <f t="shared" si="58"/>
        <v>15.03760761904762</v>
      </c>
      <c r="I735" s="104">
        <f t="shared" si="55"/>
        <v>17.224896000000001</v>
      </c>
      <c r="J735" s="133"/>
      <c r="K735" s="110">
        <f t="shared" si="59"/>
        <v>15.658996363636364</v>
      </c>
      <c r="L735" s="88"/>
      <c r="M735" s="2"/>
    </row>
    <row r="736" spans="1:14" ht="22.5" customHeight="1">
      <c r="A736" s="2" t="s">
        <v>2159</v>
      </c>
      <c r="B736" s="2" t="s">
        <v>2158</v>
      </c>
      <c r="D736" s="13" t="s">
        <v>2160</v>
      </c>
      <c r="E736" s="14">
        <v>641.64880000000005</v>
      </c>
      <c r="F736" s="104">
        <f t="shared" si="56"/>
        <v>23.527122666666671</v>
      </c>
      <c r="G736" s="104">
        <f t="shared" si="57"/>
        <v>22.841866666666668</v>
      </c>
      <c r="H736" s="104">
        <f t="shared" si="58"/>
        <v>22.406783492063493</v>
      </c>
      <c r="I736" s="104">
        <f t="shared" si="55"/>
        <v>25.665952000000001</v>
      </c>
      <c r="J736" s="133"/>
      <c r="K736" s="110">
        <f t="shared" si="59"/>
        <v>23.332683636363637</v>
      </c>
      <c r="L736" s="88"/>
      <c r="M736" s="2"/>
    </row>
    <row r="737" spans="1:13" ht="22.5" customHeight="1">
      <c r="A737" s="2" t="s">
        <v>2162</v>
      </c>
      <c r="B737" s="2" t="s">
        <v>2161</v>
      </c>
      <c r="D737" s="13" t="s">
        <v>2163</v>
      </c>
      <c r="E737" s="14">
        <v>653.43200000000002</v>
      </c>
      <c r="F737" s="104">
        <f t="shared" si="56"/>
        <v>23.959173333333336</v>
      </c>
      <c r="G737" s="104">
        <f t="shared" si="57"/>
        <v>23.261333333333337</v>
      </c>
      <c r="H737" s="104">
        <f t="shared" si="58"/>
        <v>22.818260317460322</v>
      </c>
      <c r="I737" s="104">
        <f t="shared" si="55"/>
        <v>26.137279999999997</v>
      </c>
      <c r="J737" s="133"/>
      <c r="K737" s="110">
        <f t="shared" si="59"/>
        <v>23.761163636363634</v>
      </c>
      <c r="L737" s="88"/>
      <c r="M737" s="2"/>
    </row>
    <row r="738" spans="1:13" ht="22.5" customHeight="1">
      <c r="A738" s="2" t="s">
        <v>2165</v>
      </c>
      <c r="B738" s="2" t="s">
        <v>2164</v>
      </c>
      <c r="D738" s="13" t="s">
        <v>2166</v>
      </c>
      <c r="E738" s="14">
        <v>536.6712</v>
      </c>
      <c r="F738" s="104">
        <f t="shared" si="56"/>
        <v>19.677944000000004</v>
      </c>
      <c r="G738" s="104">
        <f t="shared" si="57"/>
        <v>19.104800000000004</v>
      </c>
      <c r="H738" s="104">
        <f t="shared" si="58"/>
        <v>18.740899047619052</v>
      </c>
      <c r="I738" s="104">
        <f t="shared" si="55"/>
        <v>21.466848000000002</v>
      </c>
      <c r="J738" s="133"/>
      <c r="K738" s="110">
        <f t="shared" si="59"/>
        <v>19.515316363636366</v>
      </c>
      <c r="L738" s="88"/>
      <c r="M738" s="2"/>
    </row>
    <row r="739" spans="1:13" ht="22.5" customHeight="1">
      <c r="A739" s="2" t="s">
        <v>2168</v>
      </c>
      <c r="B739" s="2" t="s">
        <v>2167</v>
      </c>
      <c r="D739" s="13" t="s">
        <v>2166</v>
      </c>
      <c r="E739" s="14">
        <v>903.02160000000003</v>
      </c>
      <c r="F739" s="104">
        <f t="shared" si="56"/>
        <v>33.110792000000004</v>
      </c>
      <c r="G739" s="104">
        <f t="shared" si="57"/>
        <v>32.1464</v>
      </c>
      <c r="H739" s="104">
        <f t="shared" si="58"/>
        <v>31.534087619047622</v>
      </c>
      <c r="I739" s="104">
        <f t="shared" si="55"/>
        <v>36.120863999999997</v>
      </c>
      <c r="J739" s="133"/>
      <c r="K739" s="110">
        <f t="shared" si="59"/>
        <v>32.837149090909087</v>
      </c>
      <c r="L739" s="88"/>
      <c r="M739" s="2"/>
    </row>
    <row r="740" spans="1:13" ht="22.5" customHeight="1">
      <c r="A740" s="2" t="s">
        <v>2170</v>
      </c>
      <c r="B740" s="2" t="s">
        <v>2169</v>
      </c>
      <c r="D740" s="13" t="s">
        <v>2171</v>
      </c>
      <c r="E740" s="14">
        <v>715.5616</v>
      </c>
      <c r="F740" s="104">
        <f t="shared" si="56"/>
        <v>26.237258666666669</v>
      </c>
      <c r="G740" s="104">
        <f t="shared" si="57"/>
        <v>25.473066666666671</v>
      </c>
      <c r="H740" s="104">
        <f t="shared" si="58"/>
        <v>24.987865396825402</v>
      </c>
      <c r="I740" s="104">
        <f t="shared" si="55"/>
        <v>28.622463999999997</v>
      </c>
      <c r="J740" s="133"/>
      <c r="K740" s="110">
        <f t="shared" si="59"/>
        <v>26.020421818181816</v>
      </c>
      <c r="L740" s="88"/>
      <c r="M740" s="2"/>
    </row>
    <row r="741" spans="1:13" ht="22.5" customHeight="1">
      <c r="A741" s="2" t="s">
        <v>2173</v>
      </c>
      <c r="B741" s="2" t="s">
        <v>2172</v>
      </c>
      <c r="D741" s="13" t="s">
        <v>2174</v>
      </c>
      <c r="E741" s="14">
        <v>821.61040000000003</v>
      </c>
      <c r="F741" s="104">
        <f t="shared" si="56"/>
        <v>30.125714666666671</v>
      </c>
      <c r="G741" s="104">
        <f t="shared" si="57"/>
        <v>29.248266666666673</v>
      </c>
      <c r="H741" s="104">
        <f t="shared" si="58"/>
        <v>28.691156825396831</v>
      </c>
      <c r="I741" s="104">
        <f t="shared" si="55"/>
        <v>32.864415999999999</v>
      </c>
      <c r="J741" s="133"/>
      <c r="K741" s="110">
        <f t="shared" si="59"/>
        <v>29.876741818181817</v>
      </c>
      <c r="L741" s="88"/>
      <c r="M741" s="2"/>
    </row>
    <row r="742" spans="1:13" ht="22.5" customHeight="1">
      <c r="A742" s="2" t="s">
        <v>2176</v>
      </c>
      <c r="B742" s="2" t="s">
        <v>2175</v>
      </c>
      <c r="D742" s="13" t="s">
        <v>2177</v>
      </c>
      <c r="E742" s="14">
        <v>771.26400000000001</v>
      </c>
      <c r="F742" s="104">
        <f t="shared" si="56"/>
        <v>28.279680000000003</v>
      </c>
      <c r="G742" s="104">
        <f t="shared" si="57"/>
        <v>27.456000000000003</v>
      </c>
      <c r="H742" s="104">
        <f t="shared" si="58"/>
        <v>26.933028571428576</v>
      </c>
      <c r="I742" s="104">
        <f t="shared" si="55"/>
        <v>30.850559999999998</v>
      </c>
      <c r="J742" s="133"/>
      <c r="K742" s="110">
        <f t="shared" si="59"/>
        <v>28.045963636363638</v>
      </c>
      <c r="L742" s="88"/>
      <c r="M742" s="2"/>
    </row>
    <row r="743" spans="1:13" ht="22.5" customHeight="1">
      <c r="A743" s="2" t="s">
        <v>2179</v>
      </c>
      <c r="B743" s="2" t="s">
        <v>2178</v>
      </c>
      <c r="D743" s="13" t="s">
        <v>2180</v>
      </c>
      <c r="E743" s="14">
        <v>714.49040000000002</v>
      </c>
      <c r="F743" s="104">
        <f t="shared" si="56"/>
        <v>26.197981333333338</v>
      </c>
      <c r="G743" s="104">
        <f t="shared" si="57"/>
        <v>25.434933333333337</v>
      </c>
      <c r="H743" s="104">
        <f t="shared" si="58"/>
        <v>24.950458412698417</v>
      </c>
      <c r="I743" s="104">
        <f t="shared" si="55"/>
        <v>28.579615999999998</v>
      </c>
      <c r="J743" s="133"/>
      <c r="K743" s="110">
        <f t="shared" si="59"/>
        <v>25.981469090909091</v>
      </c>
      <c r="L743" s="88"/>
      <c r="M743" s="2"/>
    </row>
    <row r="744" spans="1:13" ht="22.5" customHeight="1">
      <c r="A744" s="2" t="s">
        <v>2182</v>
      </c>
      <c r="B744" s="2" t="s">
        <v>2181</v>
      </c>
      <c r="D744" s="13" t="s">
        <v>2183</v>
      </c>
      <c r="E744" s="14">
        <v>689.8528</v>
      </c>
      <c r="F744" s="104">
        <f t="shared" si="56"/>
        <v>25.29460266666667</v>
      </c>
      <c r="G744" s="104">
        <f t="shared" si="57"/>
        <v>24.557866666666669</v>
      </c>
      <c r="H744" s="104">
        <f t="shared" si="58"/>
        <v>24.090097777777782</v>
      </c>
      <c r="I744" s="104">
        <f t="shared" si="55"/>
        <v>27.594111999999999</v>
      </c>
      <c r="J744" s="133"/>
      <c r="K744" s="110">
        <f t="shared" si="59"/>
        <v>25.085556363636364</v>
      </c>
      <c r="L744" s="88"/>
      <c r="M744" s="2"/>
    </row>
    <row r="745" spans="1:13" ht="22.5" customHeight="1">
      <c r="A745" s="2" t="s">
        <v>2185</v>
      </c>
      <c r="B745" s="2" t="s">
        <v>2184</v>
      </c>
      <c r="D745" s="13" t="s">
        <v>2186</v>
      </c>
      <c r="E745" s="14">
        <v>792.6880000000001</v>
      </c>
      <c r="F745" s="104">
        <f t="shared" si="56"/>
        <v>29.065226666666671</v>
      </c>
      <c r="G745" s="104">
        <f t="shared" si="57"/>
        <v>28.218666666666671</v>
      </c>
      <c r="H745" s="104">
        <f t="shared" si="58"/>
        <v>27.681168253968259</v>
      </c>
      <c r="I745" s="104">
        <f t="shared" si="55"/>
        <v>31.707520000000002</v>
      </c>
      <c r="J745" s="133"/>
      <c r="K745" s="110">
        <f t="shared" si="59"/>
        <v>28.825018181818184</v>
      </c>
      <c r="L745" s="88"/>
      <c r="M745" s="2"/>
    </row>
    <row r="746" spans="1:13" ht="22.5" customHeight="1">
      <c r="A746" s="2" t="s">
        <v>2188</v>
      </c>
      <c r="B746" s="2" t="s">
        <v>2187</v>
      </c>
      <c r="D746" s="13" t="s">
        <v>2189</v>
      </c>
      <c r="E746" s="14">
        <v>792.6880000000001</v>
      </c>
      <c r="F746" s="104">
        <f t="shared" si="56"/>
        <v>29.065226666666671</v>
      </c>
      <c r="G746" s="104">
        <f t="shared" si="57"/>
        <v>28.218666666666671</v>
      </c>
      <c r="H746" s="104">
        <f t="shared" si="58"/>
        <v>27.681168253968259</v>
      </c>
      <c r="I746" s="104">
        <f t="shared" si="55"/>
        <v>31.707520000000002</v>
      </c>
      <c r="J746" s="133"/>
      <c r="K746" s="110">
        <f t="shared" si="59"/>
        <v>28.825018181818184</v>
      </c>
      <c r="L746" s="88"/>
      <c r="M746" s="2"/>
    </row>
    <row r="747" spans="1:13" ht="22.5" customHeight="1">
      <c r="A747" s="2" t="s">
        <v>2191</v>
      </c>
      <c r="B747" s="2" t="s">
        <v>2190</v>
      </c>
      <c r="D747" s="13" t="s">
        <v>2192</v>
      </c>
      <c r="E747" s="14">
        <v>899.80799999999999</v>
      </c>
      <c r="F747" s="104">
        <f t="shared" si="56"/>
        <v>32.992960000000004</v>
      </c>
      <c r="G747" s="104">
        <f t="shared" si="57"/>
        <v>32.032000000000004</v>
      </c>
      <c r="H747" s="104">
        <f t="shared" si="58"/>
        <v>31.42186666666667</v>
      </c>
      <c r="I747" s="104">
        <f t="shared" si="55"/>
        <v>35.992319999999992</v>
      </c>
      <c r="J747" s="133"/>
      <c r="K747" s="110">
        <f t="shared" si="59"/>
        <v>32.720290909090906</v>
      </c>
      <c r="L747" s="88"/>
      <c r="M747" s="2"/>
    </row>
    <row r="748" spans="1:13" ht="22.5" customHeight="1">
      <c r="A748" s="25" t="s">
        <v>2194</v>
      </c>
      <c r="B748" s="25" t="s">
        <v>2193</v>
      </c>
      <c r="C748" s="25" t="s">
        <v>8680</v>
      </c>
      <c r="D748" s="26" t="s">
        <v>2195</v>
      </c>
      <c r="E748" s="27">
        <v>750</v>
      </c>
      <c r="F748" s="104">
        <f t="shared" si="56"/>
        <v>27.500000000000004</v>
      </c>
      <c r="G748" s="104">
        <f t="shared" si="57"/>
        <v>26.699029126213595</v>
      </c>
      <c r="H748" s="104">
        <f t="shared" si="58"/>
        <v>26.190476190476193</v>
      </c>
      <c r="I748" s="104">
        <f t="shared" si="55"/>
        <v>30</v>
      </c>
      <c r="J748" s="133"/>
      <c r="K748" s="110">
        <f t="shared" si="59"/>
        <v>27.272727272727273</v>
      </c>
      <c r="L748" s="88"/>
      <c r="M748" s="2"/>
    </row>
    <row r="749" spans="1:13" ht="22.5" customHeight="1">
      <c r="A749" s="25" t="s">
        <v>2197</v>
      </c>
      <c r="B749" s="25" t="s">
        <v>2196</v>
      </c>
      <c r="C749" s="25"/>
      <c r="D749" s="26" t="s">
        <v>2198</v>
      </c>
      <c r="E749" s="27">
        <v>660</v>
      </c>
      <c r="F749" s="104">
        <f t="shared" si="56"/>
        <v>24.200000000000003</v>
      </c>
      <c r="G749" s="104">
        <f t="shared" si="57"/>
        <v>23.495145631067967</v>
      </c>
      <c r="H749" s="104">
        <f t="shared" si="58"/>
        <v>23.047619047619051</v>
      </c>
      <c r="I749" s="104">
        <f t="shared" si="55"/>
        <v>26.4</v>
      </c>
      <c r="J749" s="133"/>
      <c r="K749" s="110">
        <f t="shared" si="59"/>
        <v>24</v>
      </c>
      <c r="L749" s="88"/>
      <c r="M749" s="2"/>
    </row>
    <row r="750" spans="1:13" ht="22.5" customHeight="1">
      <c r="A750" s="25" t="s">
        <v>2200</v>
      </c>
      <c r="B750" s="25" t="s">
        <v>2199</v>
      </c>
      <c r="C750" s="25"/>
      <c r="D750" s="26" t="s">
        <v>2201</v>
      </c>
      <c r="E750" s="27">
        <v>690</v>
      </c>
      <c r="F750" s="104">
        <f t="shared" si="56"/>
        <v>25.300000000000004</v>
      </c>
      <c r="G750" s="104">
        <f t="shared" si="57"/>
        <v>24.563106796116511</v>
      </c>
      <c r="H750" s="104">
        <f t="shared" si="58"/>
        <v>24.095238095238098</v>
      </c>
      <c r="I750" s="104">
        <f t="shared" si="55"/>
        <v>27.6</v>
      </c>
      <c r="J750" s="133"/>
      <c r="K750" s="110">
        <f t="shared" si="59"/>
        <v>25.09090909090909</v>
      </c>
      <c r="L750" s="88"/>
      <c r="M750" s="2"/>
    </row>
    <row r="751" spans="1:13" ht="22.5" customHeight="1">
      <c r="A751" s="25" t="s">
        <v>2203</v>
      </c>
      <c r="B751" s="25" t="s">
        <v>2202</v>
      </c>
      <c r="C751" s="25"/>
      <c r="D751" s="26" t="s">
        <v>2204</v>
      </c>
      <c r="E751" s="27">
        <v>720</v>
      </c>
      <c r="F751" s="104">
        <f t="shared" si="56"/>
        <v>26.400000000000002</v>
      </c>
      <c r="G751" s="104">
        <f t="shared" si="57"/>
        <v>25.631067961165048</v>
      </c>
      <c r="H751" s="104">
        <f t="shared" si="58"/>
        <v>25.142857142857142</v>
      </c>
      <c r="I751" s="104">
        <f t="shared" si="55"/>
        <v>28.8</v>
      </c>
      <c r="J751" s="133"/>
      <c r="K751" s="110">
        <f t="shared" si="59"/>
        <v>26.181818181818183</v>
      </c>
      <c r="L751" s="88"/>
      <c r="M751" s="2"/>
    </row>
    <row r="752" spans="1:13" ht="22.5" customHeight="1">
      <c r="A752" s="25" t="s">
        <v>2206</v>
      </c>
      <c r="B752" s="25" t="s">
        <v>2205</v>
      </c>
      <c r="C752" s="25"/>
      <c r="D752" s="26" t="s">
        <v>2207</v>
      </c>
      <c r="E752" s="27">
        <v>1100</v>
      </c>
      <c r="F752" s="104">
        <f t="shared" si="56"/>
        <v>40.333333333333336</v>
      </c>
      <c r="G752" s="104">
        <f t="shared" si="57"/>
        <v>39.158576051779939</v>
      </c>
      <c r="H752" s="104">
        <f t="shared" si="58"/>
        <v>38.412698412698411</v>
      </c>
      <c r="I752" s="104">
        <f t="shared" si="55"/>
        <v>44</v>
      </c>
      <c r="J752" s="133"/>
      <c r="K752" s="110">
        <f t="shared" si="59"/>
        <v>40</v>
      </c>
      <c r="L752" s="88"/>
      <c r="M752" s="2"/>
    </row>
    <row r="753" spans="1:13" ht="22.5" customHeight="1">
      <c r="A753" s="25" t="s">
        <v>2209</v>
      </c>
      <c r="B753" s="25" t="s">
        <v>2208</v>
      </c>
      <c r="C753" s="25"/>
      <c r="D753" s="26" t="s">
        <v>2210</v>
      </c>
      <c r="E753" s="27">
        <v>1100</v>
      </c>
      <c r="F753" s="104">
        <f t="shared" si="56"/>
        <v>40.333333333333336</v>
      </c>
      <c r="G753" s="104">
        <f t="shared" si="57"/>
        <v>39.158576051779939</v>
      </c>
      <c r="H753" s="104">
        <f t="shared" si="58"/>
        <v>38.412698412698411</v>
      </c>
      <c r="I753" s="104">
        <f t="shared" si="55"/>
        <v>44</v>
      </c>
      <c r="J753" s="133"/>
      <c r="K753" s="110">
        <f t="shared" si="59"/>
        <v>40</v>
      </c>
      <c r="L753" s="88"/>
      <c r="M753" s="2"/>
    </row>
    <row r="754" spans="1:13" ht="19.5" customHeight="1">
      <c r="A754" s="25" t="s">
        <v>2212</v>
      </c>
      <c r="B754" s="25" t="s">
        <v>2211</v>
      </c>
      <c r="C754" s="25"/>
      <c r="D754" s="26" t="s">
        <v>2213</v>
      </c>
      <c r="E754" s="27">
        <v>655.57439999999997</v>
      </c>
      <c r="F754" s="104">
        <f t="shared" si="56"/>
        <v>24.037728000000001</v>
      </c>
      <c r="G754" s="104">
        <f t="shared" si="57"/>
        <v>23.337600000000002</v>
      </c>
      <c r="H754" s="104">
        <f t="shared" si="58"/>
        <v>22.893074285714288</v>
      </c>
      <c r="I754" s="104">
        <f t="shared" si="55"/>
        <v>26.222975999999999</v>
      </c>
      <c r="J754" s="133"/>
      <c r="K754" s="110">
        <f t="shared" si="59"/>
        <v>23.839069090909089</v>
      </c>
      <c r="L754" s="88"/>
      <c r="M754" s="2"/>
    </row>
    <row r="755" spans="1:13" ht="19.5" customHeight="1">
      <c r="A755" s="25" t="s">
        <v>2215</v>
      </c>
      <c r="B755" s="25" t="s">
        <v>2214</v>
      </c>
      <c r="C755" s="25"/>
      <c r="D755" s="26" t="s">
        <v>8079</v>
      </c>
      <c r="E755" s="27">
        <v>960</v>
      </c>
      <c r="F755" s="104">
        <f t="shared" si="56"/>
        <v>35.200000000000003</v>
      </c>
      <c r="G755" s="104">
        <f t="shared" si="57"/>
        <v>34.174757281553404</v>
      </c>
      <c r="H755" s="104">
        <f t="shared" si="58"/>
        <v>33.523809523809526</v>
      </c>
      <c r="I755" s="104">
        <f t="shared" si="55"/>
        <v>38.4</v>
      </c>
      <c r="J755" s="133"/>
      <c r="K755" s="110">
        <f t="shared" si="59"/>
        <v>34.909090909090907</v>
      </c>
      <c r="L755" s="88"/>
      <c r="M755" s="2"/>
    </row>
    <row r="756" spans="1:13" ht="19.5" customHeight="1">
      <c r="A756" s="25" t="s">
        <v>2217</v>
      </c>
      <c r="B756" s="25" t="s">
        <v>2216</v>
      </c>
      <c r="C756" s="25"/>
      <c r="D756" s="26" t="s">
        <v>2218</v>
      </c>
      <c r="E756" s="27">
        <v>680</v>
      </c>
      <c r="F756" s="104">
        <f t="shared" si="56"/>
        <v>24.933333333333337</v>
      </c>
      <c r="G756" s="104">
        <f t="shared" si="57"/>
        <v>24.207119741100328</v>
      </c>
      <c r="H756" s="104">
        <f t="shared" si="58"/>
        <v>23.74603174603175</v>
      </c>
      <c r="I756" s="104">
        <f t="shared" si="55"/>
        <v>27.2</v>
      </c>
      <c r="J756" s="133"/>
      <c r="K756" s="110">
        <f t="shared" si="59"/>
        <v>24.727272727272727</v>
      </c>
      <c r="L756" s="88"/>
      <c r="M756" s="2"/>
    </row>
    <row r="757" spans="1:13" ht="19.5" customHeight="1">
      <c r="A757" s="25" t="s">
        <v>2220</v>
      </c>
      <c r="B757" s="25" t="s">
        <v>2219</v>
      </c>
      <c r="C757" s="25"/>
      <c r="D757" s="26" t="s">
        <v>2221</v>
      </c>
      <c r="E757" s="27">
        <v>520</v>
      </c>
      <c r="F757" s="104">
        <f t="shared" si="56"/>
        <v>19.066666666666666</v>
      </c>
      <c r="G757" s="104">
        <f t="shared" si="57"/>
        <v>18.511326860841425</v>
      </c>
      <c r="H757" s="104">
        <f t="shared" si="58"/>
        <v>18.158730158730158</v>
      </c>
      <c r="I757" s="104">
        <f t="shared" si="55"/>
        <v>20.8</v>
      </c>
      <c r="J757" s="133"/>
      <c r="K757" s="110">
        <f t="shared" si="59"/>
        <v>18.90909090909091</v>
      </c>
      <c r="L757" s="88"/>
      <c r="M757" s="2"/>
    </row>
    <row r="758" spans="1:13" ht="19.5" customHeight="1">
      <c r="A758" s="25" t="s">
        <v>2223</v>
      </c>
      <c r="B758" s="25" t="s">
        <v>2222</v>
      </c>
      <c r="C758" s="25"/>
      <c r="D758" s="26" t="s">
        <v>2224</v>
      </c>
      <c r="E758" s="27">
        <v>500</v>
      </c>
      <c r="F758" s="104">
        <f t="shared" si="56"/>
        <v>18.333333333333332</v>
      </c>
      <c r="G758" s="104">
        <f t="shared" si="57"/>
        <v>17.79935275080906</v>
      </c>
      <c r="H758" s="104">
        <f t="shared" si="58"/>
        <v>17.460317460317459</v>
      </c>
      <c r="I758" s="104">
        <f t="shared" si="55"/>
        <v>20</v>
      </c>
      <c r="J758" s="133"/>
      <c r="K758" s="110">
        <f t="shared" si="59"/>
        <v>18.181818181818183</v>
      </c>
      <c r="L758" s="88"/>
      <c r="M758" s="2"/>
    </row>
    <row r="759" spans="1:13" ht="19.5" customHeight="1">
      <c r="A759" s="25" t="s">
        <v>2226</v>
      </c>
      <c r="B759" s="25" t="s">
        <v>2225</v>
      </c>
      <c r="C759" s="25"/>
      <c r="D759" s="26" t="s">
        <v>2227</v>
      </c>
      <c r="E759" s="27">
        <v>510</v>
      </c>
      <c r="F759" s="104">
        <f t="shared" si="56"/>
        <v>18.7</v>
      </c>
      <c r="G759" s="104">
        <f t="shared" si="57"/>
        <v>18.155339805825243</v>
      </c>
      <c r="H759" s="104">
        <f t="shared" si="58"/>
        <v>17.80952380952381</v>
      </c>
      <c r="I759" s="104">
        <f t="shared" si="55"/>
        <v>20.399999999999999</v>
      </c>
      <c r="J759" s="133"/>
      <c r="K759" s="110">
        <f t="shared" si="59"/>
        <v>18.545454545454547</v>
      </c>
      <c r="L759" s="88"/>
      <c r="M759" s="2"/>
    </row>
    <row r="760" spans="1:13" ht="19.5" customHeight="1">
      <c r="A760" s="25" t="s">
        <v>2229</v>
      </c>
      <c r="B760" s="25" t="s">
        <v>2228</v>
      </c>
      <c r="C760" s="25"/>
      <c r="D760" s="26" t="s">
        <v>2230</v>
      </c>
      <c r="E760" s="27">
        <v>803.4</v>
      </c>
      <c r="F760" s="104">
        <f t="shared" si="56"/>
        <v>29.458000000000002</v>
      </c>
      <c r="G760" s="104">
        <f t="shared" si="57"/>
        <v>28.6</v>
      </c>
      <c r="H760" s="104">
        <f t="shared" si="58"/>
        <v>28.055238095238096</v>
      </c>
      <c r="I760" s="104">
        <f t="shared" si="55"/>
        <v>32.135999999999996</v>
      </c>
      <c r="J760" s="133"/>
      <c r="K760" s="110">
        <f t="shared" si="59"/>
        <v>29.214545454545451</v>
      </c>
      <c r="L760" s="88"/>
      <c r="M760" s="2"/>
    </row>
    <row r="761" spans="1:13" ht="19.5" customHeight="1">
      <c r="A761" s="25" t="s">
        <v>2232</v>
      </c>
      <c r="B761" s="25" t="s">
        <v>2231</v>
      </c>
      <c r="C761" s="25"/>
      <c r="D761" s="26" t="s">
        <v>2233</v>
      </c>
      <c r="E761" s="27">
        <v>630</v>
      </c>
      <c r="F761" s="104">
        <f t="shared" si="56"/>
        <v>23.1</v>
      </c>
      <c r="G761" s="104">
        <f t="shared" si="57"/>
        <v>22.427184466019419</v>
      </c>
      <c r="H761" s="104">
        <f t="shared" si="58"/>
        <v>22</v>
      </c>
      <c r="I761" s="104">
        <f t="shared" si="55"/>
        <v>25.2</v>
      </c>
      <c r="J761" s="133"/>
      <c r="K761" s="110">
        <f t="shared" si="59"/>
        <v>22.90909090909091</v>
      </c>
      <c r="L761" s="88"/>
      <c r="M761" s="2"/>
    </row>
    <row r="762" spans="1:13" ht="19.5" customHeight="1">
      <c r="A762" s="2" t="s">
        <v>2235</v>
      </c>
      <c r="B762" s="2" t="s">
        <v>2234</v>
      </c>
      <c r="D762" s="13" t="s">
        <v>2236</v>
      </c>
      <c r="E762" s="14">
        <v>706.99200000000008</v>
      </c>
      <c r="F762" s="104">
        <f t="shared" si="56"/>
        <v>25.923040000000004</v>
      </c>
      <c r="G762" s="104">
        <f t="shared" si="57"/>
        <v>25.168000000000006</v>
      </c>
      <c r="H762" s="104">
        <f t="shared" si="58"/>
        <v>24.688609523809529</v>
      </c>
      <c r="I762" s="104">
        <f t="shared" si="55"/>
        <v>28.279680000000003</v>
      </c>
      <c r="J762" s="133"/>
      <c r="K762" s="110">
        <f t="shared" si="59"/>
        <v>25.708800000000004</v>
      </c>
      <c r="L762" s="88"/>
      <c r="M762" s="2"/>
    </row>
    <row r="763" spans="1:13" ht="19.5" customHeight="1">
      <c r="A763" s="2" t="s">
        <v>2238</v>
      </c>
      <c r="B763" s="2" t="s">
        <v>2237</v>
      </c>
      <c r="D763" s="13" t="s">
        <v>8089</v>
      </c>
      <c r="E763" s="14">
        <v>650</v>
      </c>
      <c r="F763" s="104">
        <f t="shared" si="56"/>
        <v>23.833333333333336</v>
      </c>
      <c r="G763" s="104">
        <f t="shared" si="57"/>
        <v>23.139158576051781</v>
      </c>
      <c r="H763" s="104">
        <f t="shared" si="58"/>
        <v>22.698412698412699</v>
      </c>
      <c r="I763" s="104">
        <f t="shared" si="55"/>
        <v>26</v>
      </c>
      <c r="J763" s="133"/>
      <c r="K763" s="110">
        <f t="shared" si="59"/>
        <v>23.636363636363637</v>
      </c>
      <c r="L763" s="88"/>
      <c r="M763" s="2"/>
    </row>
    <row r="764" spans="1:13" ht="19.5" customHeight="1">
      <c r="A764" s="25" t="s">
        <v>2240</v>
      </c>
      <c r="B764" s="25" t="s">
        <v>2239</v>
      </c>
      <c r="C764" s="25"/>
      <c r="D764" s="26" t="s">
        <v>2241</v>
      </c>
      <c r="E764" s="27">
        <v>750</v>
      </c>
      <c r="F764" s="104">
        <f t="shared" si="56"/>
        <v>27.500000000000004</v>
      </c>
      <c r="G764" s="104">
        <f t="shared" si="57"/>
        <v>26.699029126213595</v>
      </c>
      <c r="H764" s="104">
        <f t="shared" si="58"/>
        <v>26.190476190476193</v>
      </c>
      <c r="I764" s="104">
        <f t="shared" si="55"/>
        <v>30</v>
      </c>
      <c r="J764" s="133"/>
      <c r="K764" s="110">
        <f t="shared" si="59"/>
        <v>27.272727272727273</v>
      </c>
      <c r="L764" s="88"/>
      <c r="M764" s="2"/>
    </row>
    <row r="765" spans="1:13" ht="19.5" customHeight="1">
      <c r="A765" s="25" t="s">
        <v>2249</v>
      </c>
      <c r="B765" s="25" t="s">
        <v>2248</v>
      </c>
      <c r="C765" s="25"/>
      <c r="D765" s="26" t="s">
        <v>2250</v>
      </c>
      <c r="E765" s="27">
        <v>800</v>
      </c>
      <c r="F765" s="104">
        <f t="shared" si="56"/>
        <v>29.333333333333336</v>
      </c>
      <c r="G765" s="104">
        <f t="shared" si="57"/>
        <v>28.478964401294501</v>
      </c>
      <c r="H765" s="104">
        <f t="shared" si="58"/>
        <v>27.936507936507937</v>
      </c>
      <c r="I765" s="104">
        <f t="shared" si="55"/>
        <v>32</v>
      </c>
      <c r="J765" s="133"/>
      <c r="K765" s="110">
        <f t="shared" si="59"/>
        <v>29.09090909090909</v>
      </c>
      <c r="L765" s="88"/>
      <c r="M765" s="2"/>
    </row>
    <row r="766" spans="1:13" ht="19.5" customHeight="1">
      <c r="A766" s="25" t="s">
        <v>2246</v>
      </c>
      <c r="B766" s="25" t="s">
        <v>2245</v>
      </c>
      <c r="C766" s="25"/>
      <c r="D766" s="26" t="s">
        <v>2247</v>
      </c>
      <c r="E766" s="27">
        <v>530</v>
      </c>
      <c r="F766" s="104">
        <f t="shared" si="56"/>
        <v>19.433333333333334</v>
      </c>
      <c r="G766" s="104">
        <f t="shared" si="57"/>
        <v>18.867313915857604</v>
      </c>
      <c r="H766" s="104">
        <f t="shared" si="58"/>
        <v>18.507936507936506</v>
      </c>
      <c r="I766" s="104">
        <f t="shared" si="55"/>
        <v>21.2</v>
      </c>
      <c r="J766" s="133"/>
      <c r="K766" s="110">
        <f t="shared" si="59"/>
        <v>19.272727272727273</v>
      </c>
      <c r="L766" s="88"/>
      <c r="M766" s="2"/>
    </row>
    <row r="767" spans="1:13" ht="19.5" customHeight="1">
      <c r="A767" s="2" t="s">
        <v>2258</v>
      </c>
      <c r="B767" s="2" t="s">
        <v>2257</v>
      </c>
      <c r="D767" s="13" t="s">
        <v>2259</v>
      </c>
      <c r="E767" s="14">
        <v>964.08</v>
      </c>
      <c r="F767" s="104">
        <f t="shared" si="56"/>
        <v>35.349600000000002</v>
      </c>
      <c r="G767" s="104">
        <f t="shared" si="57"/>
        <v>34.32</v>
      </c>
      <c r="H767" s="104">
        <f t="shared" si="58"/>
        <v>33.666285714285713</v>
      </c>
      <c r="I767" s="104">
        <f t="shared" si="55"/>
        <v>38.563200000000002</v>
      </c>
      <c r="J767" s="133"/>
      <c r="K767" s="110">
        <f t="shared" si="59"/>
        <v>35.057454545454547</v>
      </c>
      <c r="L767" s="88"/>
      <c r="M767" s="2"/>
    </row>
    <row r="768" spans="1:13" ht="19.5" customHeight="1">
      <c r="A768" s="25" t="s">
        <v>2255</v>
      </c>
      <c r="B768" s="25" t="s">
        <v>2254</v>
      </c>
      <c r="C768" s="25"/>
      <c r="D768" s="26" t="s">
        <v>2256</v>
      </c>
      <c r="E768" s="27">
        <v>430</v>
      </c>
      <c r="F768" s="104">
        <f t="shared" si="56"/>
        <v>15.766666666666669</v>
      </c>
      <c r="G768" s="104">
        <f t="shared" si="57"/>
        <v>15.307443365695796</v>
      </c>
      <c r="H768" s="104">
        <f t="shared" si="58"/>
        <v>15.015873015873019</v>
      </c>
      <c r="I768" s="104">
        <f t="shared" si="55"/>
        <v>17.2</v>
      </c>
      <c r="J768" s="133"/>
      <c r="K768" s="110">
        <f t="shared" si="59"/>
        <v>15.636363636363637</v>
      </c>
      <c r="L768" s="88"/>
      <c r="M768" s="2"/>
    </row>
    <row r="769" spans="1:13" ht="19.5" customHeight="1">
      <c r="A769" s="12" t="s">
        <v>2252</v>
      </c>
      <c r="B769" s="2" t="s">
        <v>2251</v>
      </c>
      <c r="D769" s="13" t="s">
        <v>2253</v>
      </c>
      <c r="E769" s="14">
        <v>771.26400000000001</v>
      </c>
      <c r="F769" s="104">
        <f t="shared" si="56"/>
        <v>28.279680000000003</v>
      </c>
      <c r="G769" s="104">
        <f t="shared" si="57"/>
        <v>27.456000000000003</v>
      </c>
      <c r="H769" s="104">
        <f t="shared" si="58"/>
        <v>26.933028571428576</v>
      </c>
      <c r="I769" s="104">
        <f t="shared" si="55"/>
        <v>30.850559999999998</v>
      </c>
      <c r="J769" s="133"/>
      <c r="K769" s="110">
        <f t="shared" si="59"/>
        <v>28.045963636363638</v>
      </c>
      <c r="L769" s="88"/>
      <c r="M769" s="2"/>
    </row>
    <row r="770" spans="1:13" ht="19.5" customHeight="1">
      <c r="A770" s="2" t="s">
        <v>8156</v>
      </c>
      <c r="B770" s="2" t="s">
        <v>8157</v>
      </c>
      <c r="D770" s="13" t="s">
        <v>8158</v>
      </c>
      <c r="E770" s="14">
        <v>660</v>
      </c>
      <c r="F770" s="104">
        <f t="shared" si="56"/>
        <v>24.200000000000003</v>
      </c>
      <c r="G770" s="104">
        <f t="shared" si="57"/>
        <v>23.495145631067967</v>
      </c>
      <c r="H770" s="104">
        <f t="shared" si="58"/>
        <v>23.047619047619051</v>
      </c>
      <c r="I770" s="104">
        <f t="shared" ref="I770:I822" si="60">+(E770*1.2/30)</f>
        <v>26.4</v>
      </c>
      <c r="J770" s="133"/>
      <c r="K770" s="110">
        <f t="shared" si="59"/>
        <v>24</v>
      </c>
      <c r="L770" s="88"/>
      <c r="M770" s="2"/>
    </row>
    <row r="771" spans="1:13" ht="19.5" customHeight="1">
      <c r="A771" s="2" t="s">
        <v>2261</v>
      </c>
      <c r="B771" s="2" t="s">
        <v>2260</v>
      </c>
      <c r="D771" s="13" t="s">
        <v>2262</v>
      </c>
      <c r="E771" s="14">
        <v>796.97280000000001</v>
      </c>
      <c r="F771" s="104">
        <f t="shared" si="56"/>
        <v>29.222336000000002</v>
      </c>
      <c r="G771" s="104">
        <f t="shared" si="57"/>
        <v>28.371200000000002</v>
      </c>
      <c r="H771" s="104">
        <f t="shared" si="58"/>
        <v>27.830796190476192</v>
      </c>
      <c r="I771" s="104">
        <f t="shared" si="60"/>
        <v>31.878912</v>
      </c>
      <c r="J771" s="133"/>
      <c r="K771" s="110">
        <f t="shared" si="59"/>
        <v>28.98082909090909</v>
      </c>
      <c r="L771" s="88"/>
      <c r="M771" s="2"/>
    </row>
    <row r="772" spans="1:13" ht="19.5" customHeight="1">
      <c r="A772" s="25" t="s">
        <v>2278</v>
      </c>
      <c r="B772" s="25" t="s">
        <v>2277</v>
      </c>
      <c r="C772" s="25"/>
      <c r="D772" s="26" t="s">
        <v>2279</v>
      </c>
      <c r="E772" s="27">
        <v>740</v>
      </c>
      <c r="F772" s="104">
        <f t="shared" si="56"/>
        <v>27.133333333333336</v>
      </c>
      <c r="G772" s="104">
        <f t="shared" si="57"/>
        <v>26.343042071197413</v>
      </c>
      <c r="H772" s="104">
        <f t="shared" si="58"/>
        <v>25.841269841269842</v>
      </c>
      <c r="I772" s="104">
        <f t="shared" si="60"/>
        <v>29.6</v>
      </c>
      <c r="J772" s="133"/>
      <c r="K772" s="110">
        <f t="shared" si="59"/>
        <v>26.90909090909091</v>
      </c>
      <c r="L772" s="88"/>
      <c r="M772" s="2"/>
    </row>
    <row r="773" spans="1:13" ht="19.5" customHeight="1">
      <c r="A773" s="2" t="s">
        <v>2264</v>
      </c>
      <c r="B773" s="2" t="s">
        <v>2263</v>
      </c>
      <c r="D773" s="13" t="s">
        <v>2265</v>
      </c>
      <c r="E773" s="14">
        <v>985.50400000000002</v>
      </c>
      <c r="F773" s="104">
        <f t="shared" si="56"/>
        <v>36.135146666666671</v>
      </c>
      <c r="G773" s="104">
        <f t="shared" si="57"/>
        <v>35.082666666666668</v>
      </c>
      <c r="H773" s="104">
        <f t="shared" si="58"/>
        <v>34.414425396825401</v>
      </c>
      <c r="I773" s="104">
        <f t="shared" si="60"/>
        <v>39.420160000000003</v>
      </c>
      <c r="J773" s="133"/>
      <c r="K773" s="110">
        <f t="shared" si="59"/>
        <v>35.83650909090909</v>
      </c>
      <c r="L773" s="88"/>
      <c r="M773" s="2"/>
    </row>
    <row r="774" spans="1:13" ht="19.5" customHeight="1">
      <c r="A774" s="2" t="s">
        <v>2267</v>
      </c>
      <c r="B774" s="2" t="s">
        <v>2266</v>
      </c>
      <c r="D774" s="13" t="s">
        <v>2268</v>
      </c>
      <c r="E774" s="14">
        <v>964.08</v>
      </c>
      <c r="F774" s="104">
        <f t="shared" si="56"/>
        <v>35.349600000000002</v>
      </c>
      <c r="G774" s="104">
        <f t="shared" si="57"/>
        <v>34.32</v>
      </c>
      <c r="H774" s="104">
        <f t="shared" si="58"/>
        <v>33.666285714285713</v>
      </c>
      <c r="I774" s="104">
        <f t="shared" si="60"/>
        <v>38.563200000000002</v>
      </c>
      <c r="J774" s="133"/>
      <c r="K774" s="110">
        <f t="shared" si="59"/>
        <v>35.057454545454547</v>
      </c>
      <c r="L774" s="88"/>
      <c r="M774" s="2"/>
    </row>
    <row r="775" spans="1:13" ht="19.5" customHeight="1">
      <c r="A775" s="2" t="s">
        <v>2270</v>
      </c>
      <c r="B775" s="2" t="s">
        <v>2269</v>
      </c>
      <c r="D775" s="24" t="s">
        <v>8232</v>
      </c>
      <c r="E775" s="14">
        <v>910.52</v>
      </c>
      <c r="F775" s="104">
        <f t="shared" si="56"/>
        <v>33.385733333333334</v>
      </c>
      <c r="G775" s="104">
        <f t="shared" si="57"/>
        <v>32.413333333333334</v>
      </c>
      <c r="H775" s="104">
        <f t="shared" si="58"/>
        <v>31.795936507936506</v>
      </c>
      <c r="I775" s="104">
        <f t="shared" si="60"/>
        <v>36.4208</v>
      </c>
      <c r="J775" s="133"/>
      <c r="K775" s="110">
        <f t="shared" si="59"/>
        <v>33.109818181818184</v>
      </c>
      <c r="L775" s="88"/>
      <c r="M775" s="2"/>
    </row>
    <row r="776" spans="1:13" ht="19.5" customHeight="1">
      <c r="A776" s="25" t="s">
        <v>2272</v>
      </c>
      <c r="B776" s="25" t="s">
        <v>2271</v>
      </c>
      <c r="C776" s="25"/>
      <c r="D776" s="26" t="s">
        <v>2273</v>
      </c>
      <c r="E776" s="14">
        <v>650</v>
      </c>
      <c r="F776" s="104">
        <f t="shared" si="56"/>
        <v>23.833333333333336</v>
      </c>
      <c r="G776" s="104">
        <f t="shared" si="57"/>
        <v>23.139158576051781</v>
      </c>
      <c r="H776" s="104">
        <f t="shared" si="58"/>
        <v>22.698412698412699</v>
      </c>
      <c r="I776" s="104">
        <f t="shared" si="60"/>
        <v>26</v>
      </c>
      <c r="J776" s="133"/>
      <c r="K776" s="110">
        <f t="shared" si="59"/>
        <v>23.636363636363637</v>
      </c>
      <c r="L776" s="88"/>
      <c r="M776" s="2"/>
    </row>
    <row r="777" spans="1:13" ht="19.5" customHeight="1">
      <c r="A777" s="2" t="s">
        <v>2281</v>
      </c>
      <c r="B777" s="2" t="s">
        <v>2280</v>
      </c>
      <c r="D777" s="13" t="s">
        <v>2282</v>
      </c>
      <c r="E777" s="14">
        <v>964.08</v>
      </c>
      <c r="F777" s="104">
        <f t="shared" ref="F777:F797" si="61">+(E777*1.1/30)</f>
        <v>35.349600000000002</v>
      </c>
      <c r="G777" s="104">
        <f t="shared" si="57"/>
        <v>34.32</v>
      </c>
      <c r="H777" s="104">
        <f t="shared" si="58"/>
        <v>33.666285714285713</v>
      </c>
      <c r="I777" s="104">
        <f t="shared" si="60"/>
        <v>38.563200000000002</v>
      </c>
      <c r="J777" s="133"/>
      <c r="K777" s="110">
        <f t="shared" si="59"/>
        <v>35.057454545454547</v>
      </c>
      <c r="L777" s="88"/>
      <c r="M777" s="2"/>
    </row>
    <row r="778" spans="1:13" ht="19.5" customHeight="1">
      <c r="A778" s="25" t="s">
        <v>2275</v>
      </c>
      <c r="B778" s="25" t="s">
        <v>2274</v>
      </c>
      <c r="C778" s="25"/>
      <c r="D778" s="26" t="s">
        <v>2276</v>
      </c>
      <c r="E778" s="14">
        <v>780</v>
      </c>
      <c r="F778" s="104">
        <f t="shared" si="61"/>
        <v>28.600000000000005</v>
      </c>
      <c r="G778" s="104">
        <f t="shared" si="57"/>
        <v>27.76699029126214</v>
      </c>
      <c r="H778" s="104">
        <f t="shared" si="58"/>
        <v>27.238095238095241</v>
      </c>
      <c r="I778" s="104">
        <f t="shared" si="60"/>
        <v>31.2</v>
      </c>
      <c r="J778" s="133"/>
      <c r="K778" s="110">
        <f t="shared" si="59"/>
        <v>28.363636363636363</v>
      </c>
      <c r="L778" s="88"/>
      <c r="M778" s="2"/>
    </row>
    <row r="779" spans="1:13" ht="19.5" customHeight="1">
      <c r="A779" s="25" t="s">
        <v>8210</v>
      </c>
      <c r="B779" s="25" t="s">
        <v>8211</v>
      </c>
      <c r="C779" s="25"/>
      <c r="D779" s="26" t="s">
        <v>8212</v>
      </c>
      <c r="E779" s="14">
        <v>780</v>
      </c>
      <c r="F779" s="104">
        <f t="shared" si="61"/>
        <v>28.600000000000005</v>
      </c>
      <c r="G779" s="104">
        <f t="shared" si="57"/>
        <v>27.76699029126214</v>
      </c>
      <c r="H779" s="104">
        <f t="shared" si="58"/>
        <v>27.238095238095241</v>
      </c>
      <c r="I779" s="104">
        <f t="shared" si="60"/>
        <v>31.2</v>
      </c>
      <c r="J779" s="133"/>
      <c r="K779" s="110">
        <f t="shared" si="59"/>
        <v>28.363636363636363</v>
      </c>
      <c r="L779" s="88"/>
      <c r="M779" s="2"/>
    </row>
    <row r="780" spans="1:13" ht="19.5" customHeight="1">
      <c r="A780" s="2" t="s">
        <v>2284</v>
      </c>
      <c r="B780" s="2" t="s">
        <v>2283</v>
      </c>
      <c r="D780" s="13" t="s">
        <v>8231</v>
      </c>
      <c r="E780" s="14">
        <v>710</v>
      </c>
      <c r="F780" s="104">
        <f t="shared" si="61"/>
        <v>26.033333333333339</v>
      </c>
      <c r="G780" s="104">
        <f t="shared" si="57"/>
        <v>25.275080906148872</v>
      </c>
      <c r="H780" s="104">
        <f t="shared" si="58"/>
        <v>24.793650793650798</v>
      </c>
      <c r="I780" s="104">
        <f t="shared" si="60"/>
        <v>28.4</v>
      </c>
      <c r="J780" s="133"/>
      <c r="K780" s="110">
        <f t="shared" si="59"/>
        <v>25.818181818181817</v>
      </c>
      <c r="L780" s="88"/>
      <c r="M780" s="2"/>
    </row>
    <row r="781" spans="1:13" ht="19.5" customHeight="1">
      <c r="A781" s="2" t="s">
        <v>2286</v>
      </c>
      <c r="B781" s="2" t="s">
        <v>2285</v>
      </c>
      <c r="D781" s="13" t="s">
        <v>2287</v>
      </c>
      <c r="E781" s="14">
        <v>823.75280000000009</v>
      </c>
      <c r="F781" s="104">
        <f t="shared" si="61"/>
        <v>30.20426933333334</v>
      </c>
      <c r="G781" s="104">
        <f t="shared" si="57"/>
        <v>29.324533333333342</v>
      </c>
      <c r="H781" s="104">
        <f t="shared" si="58"/>
        <v>28.765970793650801</v>
      </c>
      <c r="I781" s="104">
        <f t="shared" si="60"/>
        <v>32.950112000000004</v>
      </c>
      <c r="J781" s="133"/>
      <c r="K781" s="110">
        <f t="shared" si="59"/>
        <v>29.954647272727275</v>
      </c>
      <c r="L781" s="88"/>
      <c r="M781" s="2"/>
    </row>
    <row r="782" spans="1:13" ht="19.5" customHeight="1">
      <c r="A782" s="2" t="s">
        <v>8159</v>
      </c>
      <c r="B782" s="2" t="s">
        <v>8160</v>
      </c>
      <c r="D782" s="13" t="s">
        <v>8529</v>
      </c>
      <c r="E782" s="14">
        <v>690</v>
      </c>
      <c r="F782" s="104">
        <f t="shared" si="61"/>
        <v>25.300000000000004</v>
      </c>
      <c r="G782" s="104">
        <f t="shared" si="57"/>
        <v>24.563106796116511</v>
      </c>
      <c r="H782" s="104">
        <f t="shared" si="58"/>
        <v>24.095238095238098</v>
      </c>
      <c r="I782" s="104">
        <f t="shared" si="60"/>
        <v>27.6</v>
      </c>
      <c r="J782" s="133"/>
      <c r="K782" s="110">
        <f t="shared" si="59"/>
        <v>25.09090909090909</v>
      </c>
      <c r="L782" s="88"/>
      <c r="M782" s="2"/>
    </row>
    <row r="783" spans="1:13" ht="19.5" customHeight="1">
      <c r="A783" s="2" t="s">
        <v>8213</v>
      </c>
      <c r="B783" s="2" t="s">
        <v>8219</v>
      </c>
      <c r="D783" s="13" t="s">
        <v>8220</v>
      </c>
      <c r="E783" s="14">
        <v>770</v>
      </c>
      <c r="F783" s="104">
        <f t="shared" si="61"/>
        <v>28.233333333333338</v>
      </c>
      <c r="G783" s="104">
        <f t="shared" si="57"/>
        <v>27.411003236245961</v>
      </c>
      <c r="H783" s="104">
        <f t="shared" si="58"/>
        <v>26.888888888888896</v>
      </c>
      <c r="I783" s="104">
        <f t="shared" si="60"/>
        <v>30.8</v>
      </c>
      <c r="J783" s="133"/>
      <c r="K783" s="110">
        <f t="shared" si="59"/>
        <v>28</v>
      </c>
      <c r="L783" s="88"/>
      <c r="M783" s="2"/>
    </row>
    <row r="784" spans="1:13" ht="19.5" customHeight="1">
      <c r="A784" s="25" t="s">
        <v>8214</v>
      </c>
      <c r="B784" s="25" t="s">
        <v>8221</v>
      </c>
      <c r="C784" s="25"/>
      <c r="D784" s="26" t="s">
        <v>8222</v>
      </c>
      <c r="E784" s="14">
        <v>780</v>
      </c>
      <c r="F784" s="104">
        <f t="shared" si="61"/>
        <v>28.600000000000005</v>
      </c>
      <c r="G784" s="104">
        <f t="shared" si="57"/>
        <v>27.76699029126214</v>
      </c>
      <c r="H784" s="104">
        <f t="shared" si="58"/>
        <v>27.238095238095241</v>
      </c>
      <c r="I784" s="104">
        <f t="shared" si="60"/>
        <v>31.2</v>
      </c>
      <c r="J784" s="133"/>
      <c r="K784" s="110">
        <f t="shared" si="59"/>
        <v>28.363636363636363</v>
      </c>
      <c r="L784" s="88"/>
      <c r="M784" s="2"/>
    </row>
    <row r="785" spans="1:13" ht="19.5" customHeight="1">
      <c r="A785" s="25" t="s">
        <v>8215</v>
      </c>
      <c r="B785" s="25" t="s">
        <v>8223</v>
      </c>
      <c r="C785" s="25"/>
      <c r="D785" s="26" t="s">
        <v>8224</v>
      </c>
      <c r="E785" s="14">
        <v>610</v>
      </c>
      <c r="F785" s="104">
        <f t="shared" si="61"/>
        <v>22.366666666666667</v>
      </c>
      <c r="G785" s="104">
        <f t="shared" si="57"/>
        <v>21.715210355987054</v>
      </c>
      <c r="H785" s="104">
        <f t="shared" si="58"/>
        <v>21.301587301587301</v>
      </c>
      <c r="I785" s="104">
        <f t="shared" si="60"/>
        <v>24.4</v>
      </c>
      <c r="J785" s="133"/>
      <c r="K785" s="110">
        <f t="shared" si="59"/>
        <v>22.181818181818183</v>
      </c>
      <c r="L785" s="88"/>
      <c r="M785" s="2"/>
    </row>
    <row r="786" spans="1:13" ht="19.5" customHeight="1">
      <c r="A786" s="25" t="s">
        <v>8216</v>
      </c>
      <c r="B786" s="25" t="s">
        <v>8225</v>
      </c>
      <c r="C786" s="25"/>
      <c r="D786" s="26" t="s">
        <v>8226</v>
      </c>
      <c r="E786" s="14">
        <v>830</v>
      </c>
      <c r="F786" s="104">
        <f t="shared" si="61"/>
        <v>30.433333333333337</v>
      </c>
      <c r="G786" s="104">
        <f t="shared" si="57"/>
        <v>29.546925566343049</v>
      </c>
      <c r="H786" s="104">
        <f t="shared" si="58"/>
        <v>28.984126984126991</v>
      </c>
      <c r="I786" s="104">
        <f t="shared" si="60"/>
        <v>33.200000000000003</v>
      </c>
      <c r="J786" s="133"/>
      <c r="K786" s="110">
        <f t="shared" si="59"/>
        <v>30.181818181818183</v>
      </c>
      <c r="L786" s="88"/>
      <c r="M786" s="2"/>
    </row>
    <row r="787" spans="1:13" ht="19.5" customHeight="1">
      <c r="A787" s="25" t="s">
        <v>8217</v>
      </c>
      <c r="B787" s="25" t="s">
        <v>8227</v>
      </c>
      <c r="C787" s="25"/>
      <c r="D787" s="26" t="s">
        <v>8228</v>
      </c>
      <c r="E787" s="14">
        <v>740</v>
      </c>
      <c r="F787" s="104">
        <f t="shared" si="61"/>
        <v>27.133333333333336</v>
      </c>
      <c r="G787" s="104">
        <f t="shared" si="57"/>
        <v>26.343042071197413</v>
      </c>
      <c r="H787" s="104">
        <f t="shared" si="58"/>
        <v>25.841269841269842</v>
      </c>
      <c r="I787" s="104">
        <f t="shared" si="60"/>
        <v>29.6</v>
      </c>
      <c r="J787" s="133"/>
      <c r="K787" s="110">
        <f t="shared" si="59"/>
        <v>26.90909090909091</v>
      </c>
      <c r="L787" s="88"/>
      <c r="M787" s="2"/>
    </row>
    <row r="788" spans="1:13" ht="19.5" customHeight="1">
      <c r="A788" s="25" t="s">
        <v>8218</v>
      </c>
      <c r="B788" s="25" t="s">
        <v>8229</v>
      </c>
      <c r="C788" s="25"/>
      <c r="D788" s="26" t="s">
        <v>8230</v>
      </c>
      <c r="E788" s="14">
        <v>780</v>
      </c>
      <c r="F788" s="104">
        <f t="shared" si="61"/>
        <v>28.600000000000005</v>
      </c>
      <c r="G788" s="104">
        <f t="shared" si="57"/>
        <v>27.76699029126214</v>
      </c>
      <c r="H788" s="104">
        <f t="shared" si="58"/>
        <v>27.238095238095241</v>
      </c>
      <c r="I788" s="104">
        <f t="shared" si="60"/>
        <v>31.2</v>
      </c>
      <c r="J788" s="133"/>
      <c r="K788" s="110">
        <f t="shared" si="59"/>
        <v>28.363636363636363</v>
      </c>
      <c r="L788" s="88"/>
      <c r="M788" s="2"/>
    </row>
    <row r="789" spans="1:13" ht="19.5" customHeight="1">
      <c r="A789" s="25" t="s">
        <v>8138</v>
      </c>
      <c r="B789" s="25" t="s">
        <v>8139</v>
      </c>
      <c r="C789" s="25"/>
      <c r="D789" s="26" t="s">
        <v>8140</v>
      </c>
      <c r="E789" s="14">
        <v>820</v>
      </c>
      <c r="F789" s="104">
        <f t="shared" si="61"/>
        <v>30.06666666666667</v>
      </c>
      <c r="G789" s="104">
        <f t="shared" si="57"/>
        <v>29.190938511326863</v>
      </c>
      <c r="H789" s="104">
        <f t="shared" si="58"/>
        <v>28.634920634920636</v>
      </c>
      <c r="I789" s="104">
        <f t="shared" si="60"/>
        <v>32.799999999999997</v>
      </c>
      <c r="J789" s="133"/>
      <c r="K789" s="110">
        <f t="shared" si="59"/>
        <v>29.818181818181817</v>
      </c>
      <c r="L789" s="88"/>
      <c r="M789" s="2"/>
    </row>
    <row r="790" spans="1:13" ht="19.5" customHeight="1">
      <c r="A790" s="2" t="s">
        <v>8151</v>
      </c>
      <c r="B790" s="2" t="s">
        <v>8152</v>
      </c>
      <c r="D790" s="13" t="s">
        <v>7994</v>
      </c>
      <c r="E790" s="14">
        <v>750</v>
      </c>
      <c r="F790" s="104">
        <f t="shared" si="61"/>
        <v>27.500000000000004</v>
      </c>
      <c r="G790" s="104">
        <f t="shared" ref="G790:G797" si="62">+(F790*100/103)</f>
        <v>26.699029126213595</v>
      </c>
      <c r="H790" s="104">
        <f t="shared" ref="H790:H797" si="63">+(F790*100/105)</f>
        <v>26.190476190476193</v>
      </c>
      <c r="I790" s="104">
        <f t="shared" si="60"/>
        <v>30</v>
      </c>
      <c r="J790" s="133"/>
      <c r="K790" s="110">
        <f t="shared" ref="K790:K799" si="64">+(E790*1.2/33)</f>
        <v>27.272727272727273</v>
      </c>
      <c r="L790" s="88"/>
      <c r="M790" s="2"/>
    </row>
    <row r="791" spans="1:13" ht="19.5" customHeight="1">
      <c r="A791" s="25" t="s">
        <v>8162</v>
      </c>
      <c r="B791" s="25" t="s">
        <v>8163</v>
      </c>
      <c r="C791" s="25"/>
      <c r="D791" s="26" t="s">
        <v>8164</v>
      </c>
      <c r="E791" s="14">
        <v>750</v>
      </c>
      <c r="F791" s="104">
        <f t="shared" si="61"/>
        <v>27.500000000000004</v>
      </c>
      <c r="G791" s="104">
        <f t="shared" si="62"/>
        <v>26.699029126213595</v>
      </c>
      <c r="H791" s="104">
        <f t="shared" si="63"/>
        <v>26.190476190476193</v>
      </c>
      <c r="I791" s="104">
        <f t="shared" si="60"/>
        <v>30</v>
      </c>
      <c r="J791" s="133"/>
      <c r="K791" s="110">
        <f t="shared" si="64"/>
        <v>27.272727272727273</v>
      </c>
      <c r="L791" s="88"/>
      <c r="M791" s="2"/>
    </row>
    <row r="792" spans="1:13" ht="19.5" customHeight="1">
      <c r="A792" s="2" t="s">
        <v>8169</v>
      </c>
      <c r="B792" s="2" t="s">
        <v>8170</v>
      </c>
      <c r="D792" s="13" t="s">
        <v>8171</v>
      </c>
      <c r="E792" s="14">
        <v>760</v>
      </c>
      <c r="F792" s="104">
        <f t="shared" si="61"/>
        <v>27.866666666666671</v>
      </c>
      <c r="G792" s="104">
        <f t="shared" si="62"/>
        <v>27.055016181229778</v>
      </c>
      <c r="H792" s="104">
        <f t="shared" si="63"/>
        <v>26.539682539682541</v>
      </c>
      <c r="I792" s="104">
        <f t="shared" si="60"/>
        <v>30.4</v>
      </c>
      <c r="J792" s="133"/>
      <c r="K792" s="110">
        <f t="shared" si="64"/>
        <v>27.636363636363637</v>
      </c>
      <c r="L792" s="88"/>
      <c r="M792" s="2"/>
    </row>
    <row r="793" spans="1:13">
      <c r="A793" s="2" t="s">
        <v>8377</v>
      </c>
      <c r="B793" s="2" t="s">
        <v>8378</v>
      </c>
      <c r="D793" s="13" t="s">
        <v>8392</v>
      </c>
      <c r="E793" s="14">
        <v>690</v>
      </c>
      <c r="F793" s="104">
        <f t="shared" si="61"/>
        <v>25.300000000000004</v>
      </c>
      <c r="G793" s="104">
        <f t="shared" si="62"/>
        <v>24.563106796116511</v>
      </c>
      <c r="H793" s="104">
        <f t="shared" si="63"/>
        <v>24.095238095238098</v>
      </c>
      <c r="I793" s="104">
        <f t="shared" si="60"/>
        <v>27.6</v>
      </c>
      <c r="J793" s="133"/>
      <c r="K793" s="110">
        <f t="shared" si="64"/>
        <v>25.09090909090909</v>
      </c>
      <c r="L793" s="88">
        <v>45045</v>
      </c>
      <c r="M793" s="2"/>
    </row>
    <row r="794" spans="1:13">
      <c r="A794" s="2" t="s">
        <v>8390</v>
      </c>
      <c r="B794" s="2" t="s">
        <v>8391</v>
      </c>
      <c r="D794" s="13" t="s">
        <v>8393</v>
      </c>
      <c r="E794" s="14">
        <v>670</v>
      </c>
      <c r="F794" s="104">
        <f t="shared" si="61"/>
        <v>24.56666666666667</v>
      </c>
      <c r="G794" s="104">
        <f t="shared" si="62"/>
        <v>23.851132686084146</v>
      </c>
      <c r="H794" s="104">
        <f t="shared" si="63"/>
        <v>23.396825396825399</v>
      </c>
      <c r="I794" s="104">
        <f t="shared" si="60"/>
        <v>26.8</v>
      </c>
      <c r="J794" s="133"/>
      <c r="K794" s="110">
        <f t="shared" si="64"/>
        <v>24.363636363636363</v>
      </c>
      <c r="L794" s="88">
        <v>45063</v>
      </c>
      <c r="M794" s="2"/>
    </row>
    <row r="795" spans="1:13">
      <c r="A795" s="2" t="s">
        <v>8428</v>
      </c>
      <c r="B795" s="2" t="s">
        <v>8565</v>
      </c>
      <c r="D795" s="13" t="s">
        <v>8427</v>
      </c>
      <c r="E795" s="14">
        <v>650</v>
      </c>
      <c r="F795" s="104">
        <f t="shared" si="61"/>
        <v>23.833333333333336</v>
      </c>
      <c r="G795" s="104">
        <f t="shared" si="62"/>
        <v>23.139158576051781</v>
      </c>
      <c r="H795" s="104">
        <f t="shared" si="63"/>
        <v>22.698412698412699</v>
      </c>
      <c r="I795" s="104">
        <f t="shared" si="60"/>
        <v>26</v>
      </c>
      <c r="J795" s="133"/>
      <c r="K795" s="110">
        <f t="shared" si="64"/>
        <v>23.636363636363637</v>
      </c>
      <c r="L795" s="88">
        <v>45167</v>
      </c>
      <c r="M795" s="2"/>
    </row>
    <row r="796" spans="1:13">
      <c r="A796" s="2" t="s">
        <v>8429</v>
      </c>
      <c r="B796" s="2" t="s">
        <v>8430</v>
      </c>
      <c r="D796" s="13" t="s">
        <v>8431</v>
      </c>
      <c r="E796" s="14">
        <v>760</v>
      </c>
      <c r="F796" s="104">
        <f t="shared" si="61"/>
        <v>27.866666666666671</v>
      </c>
      <c r="G796" s="104">
        <f t="shared" si="62"/>
        <v>27.055016181229778</v>
      </c>
      <c r="H796" s="104">
        <f t="shared" si="63"/>
        <v>26.539682539682541</v>
      </c>
      <c r="I796" s="104">
        <f t="shared" si="60"/>
        <v>30.4</v>
      </c>
      <c r="J796" s="133"/>
      <c r="K796" s="110">
        <f t="shared" si="64"/>
        <v>27.636363636363637</v>
      </c>
      <c r="L796" s="88">
        <v>45167</v>
      </c>
      <c r="M796" s="2"/>
    </row>
    <row r="797" spans="1:13">
      <c r="A797" s="2" t="s">
        <v>8463</v>
      </c>
      <c r="B797" s="2" t="s">
        <v>8464</v>
      </c>
      <c r="D797" s="13" t="s">
        <v>8465</v>
      </c>
      <c r="E797" s="14">
        <v>630</v>
      </c>
      <c r="F797" s="104">
        <f t="shared" si="61"/>
        <v>23.1</v>
      </c>
      <c r="G797" s="104">
        <f t="shared" si="62"/>
        <v>22.427184466019419</v>
      </c>
      <c r="H797" s="104">
        <f t="shared" si="63"/>
        <v>22</v>
      </c>
      <c r="I797" s="104">
        <f t="shared" si="60"/>
        <v>25.2</v>
      </c>
      <c r="J797" s="133"/>
      <c r="K797" s="110">
        <f t="shared" si="64"/>
        <v>22.90909090909091</v>
      </c>
      <c r="L797" s="88"/>
      <c r="M797" s="2"/>
    </row>
    <row r="798" spans="1:13">
      <c r="A798" s="2" t="s">
        <v>8520</v>
      </c>
      <c r="B798" s="2" t="s">
        <v>8521</v>
      </c>
      <c r="D798" s="13" t="s">
        <v>8522</v>
      </c>
      <c r="E798" s="14">
        <v>560</v>
      </c>
      <c r="F798" s="104">
        <f t="shared" ref="F798:F799" si="65">+(E798*1.1/30)</f>
        <v>20.533333333333335</v>
      </c>
      <c r="G798" s="104">
        <f t="shared" ref="G798:G799" si="66">+(F798*100/103)</f>
        <v>19.935275080906152</v>
      </c>
      <c r="H798" s="104">
        <f t="shared" ref="H798:H799" si="67">+(F798*100/105)</f>
        <v>19.555555555555557</v>
      </c>
      <c r="I798" s="104">
        <f t="shared" si="60"/>
        <v>22.4</v>
      </c>
      <c r="J798" s="133"/>
      <c r="K798" s="110">
        <f t="shared" si="64"/>
        <v>20.363636363636363</v>
      </c>
      <c r="L798" s="88">
        <v>45329</v>
      </c>
      <c r="M798" s="2"/>
    </row>
    <row r="799" spans="1:13">
      <c r="A799" s="2" t="s">
        <v>8552</v>
      </c>
      <c r="B799" s="2" t="s">
        <v>8553</v>
      </c>
      <c r="D799" s="13" t="s">
        <v>8554</v>
      </c>
      <c r="E799" s="14">
        <v>790</v>
      </c>
      <c r="F799" s="104">
        <f t="shared" si="65"/>
        <v>28.966666666666672</v>
      </c>
      <c r="G799" s="104">
        <f t="shared" si="66"/>
        <v>28.122977346278326</v>
      </c>
      <c r="H799" s="104">
        <f t="shared" si="67"/>
        <v>27.587301587301596</v>
      </c>
      <c r="I799" s="104">
        <f t="shared" si="60"/>
        <v>31.6</v>
      </c>
      <c r="J799" s="133"/>
      <c r="K799" s="110">
        <f t="shared" si="64"/>
        <v>28.727272727272727</v>
      </c>
      <c r="L799" s="88">
        <v>45421</v>
      </c>
      <c r="M799" s="2"/>
    </row>
    <row r="800" spans="1:13">
      <c r="A800" s="141" t="s">
        <v>8694</v>
      </c>
      <c r="B800" s="141" t="s">
        <v>8695</v>
      </c>
      <c r="D800" s="142" t="s">
        <v>8696</v>
      </c>
      <c r="E800" s="144">
        <v>1050</v>
      </c>
      <c r="F800" s="107">
        <f>+(E800*1.1/30)</f>
        <v>38.5</v>
      </c>
      <c r="G800" s="107">
        <f>+(F800*100/103)</f>
        <v>37.378640776699029</v>
      </c>
      <c r="H800" s="107">
        <f>+(F800*100/105)</f>
        <v>36.666666666666664</v>
      </c>
      <c r="I800" s="107">
        <f t="shared" si="60"/>
        <v>42</v>
      </c>
      <c r="J800" s="136"/>
      <c r="K800" s="112">
        <f>+(E800*1.2/33)</f>
        <v>38.18181818181818</v>
      </c>
    </row>
    <row r="801" spans="1:12">
      <c r="A801" s="141" t="s">
        <v>8693</v>
      </c>
      <c r="B801" s="141" t="s">
        <v>8692</v>
      </c>
      <c r="D801" s="142" t="s">
        <v>8691</v>
      </c>
      <c r="E801" s="143">
        <v>710</v>
      </c>
      <c r="F801" s="107">
        <f t="shared" ref="F801:F806" si="68">+(E801*1.1/30)</f>
        <v>26.033333333333339</v>
      </c>
      <c r="G801" s="107">
        <f t="shared" ref="G801:G806" si="69">+(F801*100/103)</f>
        <v>25.275080906148872</v>
      </c>
      <c r="H801" s="107">
        <f t="shared" ref="H801:H806" si="70">+(F801*100/105)</f>
        <v>24.793650793650798</v>
      </c>
      <c r="I801" s="107">
        <f t="shared" si="60"/>
        <v>28.4</v>
      </c>
      <c r="J801" s="136"/>
      <c r="K801" s="112">
        <f t="shared" ref="K801:K806" si="71">+(E801*1.2/33)</f>
        <v>25.818181818181817</v>
      </c>
    </row>
    <row r="802" spans="1:12">
      <c r="A802" s="141" t="s">
        <v>8690</v>
      </c>
      <c r="B802" s="141" t="s">
        <v>8689</v>
      </c>
      <c r="D802" s="142" t="s">
        <v>8691</v>
      </c>
      <c r="E802" s="144">
        <v>1180</v>
      </c>
      <c r="F802" s="107">
        <f>+(E802*1.1/30)</f>
        <v>43.266666666666666</v>
      </c>
      <c r="G802" s="107">
        <f>+(F802*100/103)</f>
        <v>42.006472491909385</v>
      </c>
      <c r="H802" s="107">
        <f>+(F802*100/105)</f>
        <v>41.206349206349209</v>
      </c>
      <c r="I802" s="107">
        <f t="shared" si="60"/>
        <v>47.2</v>
      </c>
      <c r="J802" s="136"/>
      <c r="K802" s="112">
        <f>+(E802*1.2/33)</f>
        <v>42.909090909090907</v>
      </c>
    </row>
    <row r="803" spans="1:12">
      <c r="A803" s="141" t="s">
        <v>8796</v>
      </c>
      <c r="B803" s="2" t="s">
        <v>8797</v>
      </c>
      <c r="D803" s="13" t="s">
        <v>8798</v>
      </c>
      <c r="E803" s="14">
        <v>850</v>
      </c>
      <c r="F803" s="107">
        <f>+(E803*1.1/30)</f>
        <v>31.166666666666671</v>
      </c>
      <c r="G803" s="107">
        <f>+(F803*100/103)</f>
        <v>30.258899676375407</v>
      </c>
      <c r="H803" s="107">
        <f>+(F803*100/105)</f>
        <v>29.682539682539684</v>
      </c>
      <c r="I803" s="107">
        <f t="shared" si="60"/>
        <v>34</v>
      </c>
    </row>
    <row r="804" spans="1:12">
      <c r="A804" s="141" t="s">
        <v>8790</v>
      </c>
      <c r="B804" s="2" t="s">
        <v>8791</v>
      </c>
      <c r="D804" s="13" t="s">
        <v>8792</v>
      </c>
      <c r="E804" s="14">
        <v>650</v>
      </c>
      <c r="F804" s="107">
        <f>+(E804*1.1/30)</f>
        <v>23.833333333333336</v>
      </c>
      <c r="G804" s="107">
        <f>+(F804*100/103)</f>
        <v>23.139158576051781</v>
      </c>
      <c r="H804" s="107">
        <f>+(F804*100/105)</f>
        <v>22.698412698412699</v>
      </c>
      <c r="I804" s="107">
        <f t="shared" si="60"/>
        <v>26</v>
      </c>
    </row>
    <row r="805" spans="1:12">
      <c r="A805" s="141" t="s">
        <v>8687</v>
      </c>
      <c r="B805" s="141" t="s">
        <v>8686</v>
      </c>
      <c r="D805" s="142" t="s">
        <v>8688</v>
      </c>
      <c r="E805" s="143">
        <v>710</v>
      </c>
      <c r="F805" s="107">
        <f>+(E805*1.1/30)</f>
        <v>26.033333333333339</v>
      </c>
      <c r="G805" s="107">
        <f>+(F805*100/103)</f>
        <v>25.275080906148872</v>
      </c>
      <c r="H805" s="107">
        <f>+(F805*100/105)</f>
        <v>24.793650793650798</v>
      </c>
      <c r="I805" s="107">
        <f t="shared" si="60"/>
        <v>28.4</v>
      </c>
      <c r="J805" s="136"/>
      <c r="K805" s="112">
        <f>+(E805*1.2/33)</f>
        <v>25.818181818181817</v>
      </c>
    </row>
    <row r="806" spans="1:12">
      <c r="A806" s="141" t="s">
        <v>8784</v>
      </c>
      <c r="B806" s="2" t="s">
        <v>8785</v>
      </c>
      <c r="D806" s="13" t="s">
        <v>8786</v>
      </c>
      <c r="E806" s="14">
        <v>760</v>
      </c>
      <c r="F806" s="107">
        <f t="shared" si="68"/>
        <v>27.866666666666671</v>
      </c>
      <c r="G806" s="107">
        <f t="shared" si="69"/>
        <v>27.055016181229778</v>
      </c>
      <c r="H806" s="107">
        <f t="shared" si="70"/>
        <v>26.539682539682541</v>
      </c>
      <c r="I806" s="107">
        <f t="shared" si="60"/>
        <v>30.4</v>
      </c>
      <c r="K806" s="112">
        <f t="shared" si="71"/>
        <v>27.636363636363637</v>
      </c>
    </row>
    <row r="807" spans="1:12">
      <c r="A807" s="141" t="s">
        <v>8684</v>
      </c>
      <c r="B807" s="141" t="s">
        <v>8683</v>
      </c>
      <c r="D807" s="142" t="s">
        <v>8685</v>
      </c>
      <c r="E807" s="143">
        <v>710</v>
      </c>
      <c r="F807" s="107">
        <f>+(E807*1.1/30)</f>
        <v>26.033333333333339</v>
      </c>
      <c r="G807" s="107">
        <f>+(F807*100/103)</f>
        <v>25.275080906148872</v>
      </c>
      <c r="H807" s="107">
        <f>+(F807*100/105)</f>
        <v>24.793650793650798</v>
      </c>
      <c r="I807" s="107">
        <f t="shared" si="60"/>
        <v>28.4</v>
      </c>
      <c r="J807" s="136"/>
      <c r="K807" s="112">
        <f>+(E807*1.2/33)</f>
        <v>25.818181818181817</v>
      </c>
      <c r="L807" s="90" t="s">
        <v>8856</v>
      </c>
    </row>
    <row r="808" spans="1:12">
      <c r="A808" s="2" t="s">
        <v>8853</v>
      </c>
      <c r="B808" s="2" t="s">
        <v>8854</v>
      </c>
      <c r="D808" s="13" t="s">
        <v>8855</v>
      </c>
      <c r="E808" s="14">
        <v>950</v>
      </c>
      <c r="F808" s="107">
        <f t="shared" ref="F808:F822" si="72">+(E808*1.1/30)</f>
        <v>34.833333333333336</v>
      </c>
      <c r="G808" s="107">
        <f t="shared" ref="G808:G822" si="73">+(F808*100/103)</f>
        <v>33.818770226537218</v>
      </c>
      <c r="H808" s="107">
        <f t="shared" ref="H808:H822" si="74">+(F808*100/105)</f>
        <v>33.174603174603178</v>
      </c>
      <c r="I808" s="107">
        <f t="shared" si="60"/>
        <v>38</v>
      </c>
    </row>
    <row r="809" spans="1:12">
      <c r="A809" s="2" t="s">
        <v>8887</v>
      </c>
      <c r="B809" s="2" t="s">
        <v>8886</v>
      </c>
      <c r="D809" s="13" t="s">
        <v>8885</v>
      </c>
      <c r="E809" s="14">
        <v>760</v>
      </c>
      <c r="F809" s="107">
        <f t="shared" ref="F809" si="75">+(E809*1.1/30)</f>
        <v>27.866666666666671</v>
      </c>
      <c r="G809" s="107">
        <f t="shared" ref="G809" si="76">+(F809*100/103)</f>
        <v>27.055016181229778</v>
      </c>
      <c r="H809" s="107">
        <f t="shared" ref="H809" si="77">+(F809*100/105)</f>
        <v>26.539682539682541</v>
      </c>
      <c r="I809" s="107">
        <f t="shared" ref="I809" si="78">+(E809*1.2/30)</f>
        <v>30.4</v>
      </c>
    </row>
    <row r="810" spans="1:12">
      <c r="A810" s="2" t="s">
        <v>8881</v>
      </c>
      <c r="B810" s="2" t="s">
        <v>8879</v>
      </c>
      <c r="D810" s="13" t="s">
        <v>8880</v>
      </c>
      <c r="E810" s="14">
        <v>770</v>
      </c>
      <c r="F810" s="107">
        <f t="shared" si="72"/>
        <v>28.233333333333338</v>
      </c>
      <c r="G810" s="107">
        <f t="shared" si="73"/>
        <v>27.411003236245961</v>
      </c>
      <c r="H810" s="107">
        <f t="shared" si="74"/>
        <v>26.888888888888896</v>
      </c>
      <c r="I810" s="107">
        <f t="shared" si="60"/>
        <v>30.8</v>
      </c>
      <c r="K810" s="112">
        <v>46191</v>
      </c>
    </row>
    <row r="811" spans="1:12">
      <c r="D811" s="13"/>
      <c r="F811" s="107">
        <f t="shared" si="72"/>
        <v>0</v>
      </c>
      <c r="G811" s="107">
        <f t="shared" si="73"/>
        <v>0</v>
      </c>
      <c r="H811" s="107">
        <f t="shared" si="74"/>
        <v>0</v>
      </c>
      <c r="I811" s="107">
        <f t="shared" si="60"/>
        <v>0</v>
      </c>
    </row>
    <row r="812" spans="1:12">
      <c r="D812" s="13"/>
      <c r="F812" s="107">
        <f t="shared" si="72"/>
        <v>0</v>
      </c>
      <c r="G812" s="107">
        <f t="shared" si="73"/>
        <v>0</v>
      </c>
      <c r="H812" s="107">
        <f t="shared" si="74"/>
        <v>0</v>
      </c>
      <c r="I812" s="107">
        <f t="shared" si="60"/>
        <v>0</v>
      </c>
    </row>
    <row r="813" spans="1:12">
      <c r="D813" s="13"/>
      <c r="F813" s="107">
        <f t="shared" si="72"/>
        <v>0</v>
      </c>
      <c r="G813" s="107">
        <f t="shared" si="73"/>
        <v>0</v>
      </c>
      <c r="H813" s="107">
        <f t="shared" si="74"/>
        <v>0</v>
      </c>
      <c r="I813" s="107">
        <f t="shared" si="60"/>
        <v>0</v>
      </c>
    </row>
    <row r="814" spans="1:12">
      <c r="D814" s="13"/>
      <c r="F814" s="107">
        <f t="shared" si="72"/>
        <v>0</v>
      </c>
      <c r="G814" s="107">
        <f t="shared" si="73"/>
        <v>0</v>
      </c>
      <c r="H814" s="107">
        <f t="shared" si="74"/>
        <v>0</v>
      </c>
      <c r="I814" s="107">
        <f t="shared" si="60"/>
        <v>0</v>
      </c>
    </row>
    <row r="815" spans="1:12">
      <c r="D815" s="13"/>
      <c r="F815" s="107">
        <f t="shared" si="72"/>
        <v>0</v>
      </c>
      <c r="G815" s="107">
        <f t="shared" si="73"/>
        <v>0</v>
      </c>
      <c r="H815" s="107">
        <f t="shared" si="74"/>
        <v>0</v>
      </c>
      <c r="I815" s="107">
        <f t="shared" si="60"/>
        <v>0</v>
      </c>
    </row>
    <row r="816" spans="1:12">
      <c r="D816" s="13"/>
      <c r="F816" s="107">
        <f t="shared" si="72"/>
        <v>0</v>
      </c>
      <c r="G816" s="107">
        <f t="shared" si="73"/>
        <v>0</v>
      </c>
      <c r="H816" s="107">
        <f t="shared" si="74"/>
        <v>0</v>
      </c>
      <c r="I816" s="107">
        <f t="shared" si="60"/>
        <v>0</v>
      </c>
    </row>
    <row r="817" spans="4:9">
      <c r="D817" s="13"/>
      <c r="F817" s="107">
        <f t="shared" si="72"/>
        <v>0</v>
      </c>
      <c r="G817" s="107">
        <f t="shared" si="73"/>
        <v>0</v>
      </c>
      <c r="H817" s="107">
        <f t="shared" si="74"/>
        <v>0</v>
      </c>
      <c r="I817" s="107">
        <f t="shared" si="60"/>
        <v>0</v>
      </c>
    </row>
    <row r="818" spans="4:9">
      <c r="D818" s="13"/>
      <c r="F818" s="107">
        <f t="shared" si="72"/>
        <v>0</v>
      </c>
      <c r="G818" s="107">
        <f t="shared" si="73"/>
        <v>0</v>
      </c>
      <c r="H818" s="107">
        <f t="shared" si="74"/>
        <v>0</v>
      </c>
      <c r="I818" s="107">
        <f t="shared" si="60"/>
        <v>0</v>
      </c>
    </row>
    <row r="819" spans="4:9">
      <c r="D819" s="13"/>
      <c r="F819" s="107">
        <f t="shared" si="72"/>
        <v>0</v>
      </c>
      <c r="G819" s="107">
        <f t="shared" si="73"/>
        <v>0</v>
      </c>
      <c r="H819" s="107">
        <f t="shared" si="74"/>
        <v>0</v>
      </c>
      <c r="I819" s="107">
        <f t="shared" si="60"/>
        <v>0</v>
      </c>
    </row>
    <row r="820" spans="4:9">
      <c r="D820" s="13"/>
      <c r="F820" s="107">
        <f t="shared" si="72"/>
        <v>0</v>
      </c>
      <c r="G820" s="107">
        <f t="shared" si="73"/>
        <v>0</v>
      </c>
      <c r="H820" s="107">
        <f t="shared" si="74"/>
        <v>0</v>
      </c>
      <c r="I820" s="107">
        <f t="shared" si="60"/>
        <v>0</v>
      </c>
    </row>
    <row r="821" spans="4:9">
      <c r="D821" s="13"/>
      <c r="F821" s="107">
        <f t="shared" si="72"/>
        <v>0</v>
      </c>
      <c r="G821" s="107">
        <f t="shared" si="73"/>
        <v>0</v>
      </c>
      <c r="H821" s="107">
        <f t="shared" si="74"/>
        <v>0</v>
      </c>
      <c r="I821" s="107">
        <f t="shared" si="60"/>
        <v>0</v>
      </c>
    </row>
    <row r="822" spans="4:9">
      <c r="D822" s="13"/>
      <c r="F822" s="107">
        <f t="shared" si="72"/>
        <v>0</v>
      </c>
      <c r="G822" s="107">
        <f t="shared" si="73"/>
        <v>0</v>
      </c>
      <c r="H822" s="107">
        <f t="shared" si="74"/>
        <v>0</v>
      </c>
      <c r="I822" s="107">
        <f t="shared" si="60"/>
        <v>0</v>
      </c>
    </row>
    <row r="823" spans="4:9">
      <c r="D823" s="13"/>
    </row>
    <row r="824" spans="4:9">
      <c r="D824" s="13"/>
    </row>
    <row r="825" spans="4:9">
      <c r="D825" s="13"/>
    </row>
    <row r="826" spans="4:9">
      <c r="D826" s="13"/>
    </row>
    <row r="827" spans="4:9">
      <c r="D827" s="13"/>
    </row>
    <row r="828" spans="4:9">
      <c r="D828" s="13"/>
    </row>
    <row r="829" spans="4:9">
      <c r="D829" s="13"/>
    </row>
    <row r="830" spans="4:9">
      <c r="D830" s="13"/>
    </row>
    <row r="831" spans="4:9">
      <c r="D831" s="13"/>
    </row>
    <row r="832" spans="4:9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</sheetData>
  <sortState xmlns:xlrd2="http://schemas.microsoft.com/office/spreadsheetml/2017/richdata2" ref="A1:M779">
    <sortCondition ref="A1:A779"/>
  </sortState>
  <phoneticPr fontId="12" type="noConversion"/>
  <pageMargins left="0.70866141732283472" right="0.70866141732283472" top="0.35433070866141736" bottom="0.35433070866141736" header="0.31496062992125984" footer="0.31496062992125984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39"/>
  <sheetViews>
    <sheetView topLeftCell="A470" zoomScale="90" zoomScaleNormal="90" workbookViewId="0">
      <selection activeCell="L488" sqref="L488"/>
    </sheetView>
  </sheetViews>
  <sheetFormatPr defaultColWidth="9" defaultRowHeight="24.95" customHeight="1"/>
  <cols>
    <col min="1" max="1" width="10.85546875" style="9" customWidth="1"/>
    <col min="2" max="2" width="16.7109375" style="9" customWidth="1"/>
    <col min="3" max="3" width="52.85546875" style="9" hidden="1" customWidth="1"/>
    <col min="4" max="4" width="59.7109375" style="6" customWidth="1"/>
    <col min="5" max="5" width="15.7109375" style="17" customWidth="1"/>
    <col min="6" max="10" width="15.7109375" style="124" customWidth="1"/>
    <col min="11" max="11" width="5.7109375" style="118" customWidth="1"/>
    <col min="12" max="12" width="15.7109375" style="147" customWidth="1"/>
    <col min="13" max="13" width="15.7109375" style="86" customWidth="1"/>
    <col min="14" max="14" width="41" style="6" customWidth="1"/>
    <col min="15" max="16" width="9" style="6" customWidth="1"/>
    <col min="17" max="16384" width="9" style="6"/>
  </cols>
  <sheetData>
    <row r="1" spans="1:15" s="18" customFormat="1" ht="24.95" customHeight="1">
      <c r="A1" s="77" t="s">
        <v>8054</v>
      </c>
      <c r="B1" s="77" t="s">
        <v>8055</v>
      </c>
      <c r="C1" s="77" t="s">
        <v>8629</v>
      </c>
      <c r="D1" s="77" t="s">
        <v>8014</v>
      </c>
      <c r="E1" s="78" t="s">
        <v>8105</v>
      </c>
      <c r="F1" s="119" t="s">
        <v>8101</v>
      </c>
      <c r="G1" s="119" t="s">
        <v>8100</v>
      </c>
      <c r="H1" s="119" t="s">
        <v>8103</v>
      </c>
      <c r="I1" s="119" t="s">
        <v>8104</v>
      </c>
      <c r="J1" s="119" t="s">
        <v>8102</v>
      </c>
      <c r="K1" s="113"/>
      <c r="L1" s="126" t="s">
        <v>8013</v>
      </c>
      <c r="M1" s="80" t="s">
        <v>8564</v>
      </c>
    </row>
    <row r="2" spans="1:15" s="7" customFormat="1" ht="24.95" hidden="1" customHeight="1">
      <c r="A2" s="2" t="s">
        <v>3266</v>
      </c>
      <c r="B2" s="2" t="s">
        <v>3267</v>
      </c>
      <c r="C2" s="2"/>
      <c r="D2" s="3" t="s">
        <v>3268</v>
      </c>
      <c r="E2" s="15">
        <v>664.14400000000001</v>
      </c>
      <c r="F2" s="120">
        <f>+(E2*1.07/30)</f>
        <v>23.687802666666666</v>
      </c>
      <c r="G2" s="120">
        <f t="shared" ref="G2:G3" si="0">F2*100/103</f>
        <v>22.997866666666667</v>
      </c>
      <c r="H2" s="120">
        <f t="shared" ref="H2:H3" si="1">F2*100/105</f>
        <v>22.559812063492064</v>
      </c>
      <c r="I2" s="120">
        <f t="shared" ref="I2:I3" si="2">F2*100/110</f>
        <v>21.534366060606061</v>
      </c>
      <c r="J2" s="120">
        <f t="shared" ref="J2:J3" si="3">+(E2*1.2/30)</f>
        <v>26.565760000000001</v>
      </c>
      <c r="K2" s="114"/>
      <c r="L2" s="127">
        <f t="shared" ref="L2:L3" si="4">+(E2*1.2/33)</f>
        <v>24.150690909090908</v>
      </c>
      <c r="M2" s="82"/>
    </row>
    <row r="3" spans="1:15" s="8" customFormat="1" ht="24.95" hidden="1" customHeight="1">
      <c r="A3" s="2" t="s">
        <v>3269</v>
      </c>
      <c r="B3" s="2" t="s">
        <v>3270</v>
      </c>
      <c r="C3" s="2"/>
      <c r="D3" s="3" t="s">
        <v>3271</v>
      </c>
      <c r="E3" s="15">
        <v>664.14400000000001</v>
      </c>
      <c r="F3" s="120">
        <f>+(E3*1.07/30)</f>
        <v>23.687802666666666</v>
      </c>
      <c r="G3" s="120">
        <f t="shared" si="0"/>
        <v>22.997866666666667</v>
      </c>
      <c r="H3" s="120">
        <f t="shared" si="1"/>
        <v>22.559812063492064</v>
      </c>
      <c r="I3" s="120">
        <f t="shared" si="2"/>
        <v>21.534366060606061</v>
      </c>
      <c r="J3" s="120">
        <f t="shared" si="3"/>
        <v>26.565760000000001</v>
      </c>
      <c r="K3" s="114"/>
      <c r="L3" s="127">
        <f t="shared" si="4"/>
        <v>24.150690909090908</v>
      </c>
      <c r="M3" s="82"/>
    </row>
    <row r="4" spans="1:15" s="8" customFormat="1" ht="24.95" customHeight="1">
      <c r="A4" s="2" t="s">
        <v>2294</v>
      </c>
      <c r="B4" s="2" t="s">
        <v>2295</v>
      </c>
      <c r="C4" s="2" t="s">
        <v>8638</v>
      </c>
      <c r="D4" s="3" t="s">
        <v>8137</v>
      </c>
      <c r="E4" s="15">
        <v>550</v>
      </c>
      <c r="F4" s="120">
        <f>+(E4*1.07/30)</f>
        <v>19.616666666666667</v>
      </c>
      <c r="G4" s="120">
        <f t="shared" ref="G4:G67" si="5">F4*100/103</f>
        <v>19.045307443365697</v>
      </c>
      <c r="H4" s="120">
        <f t="shared" ref="H4:H67" si="6">F4*100/105</f>
        <v>18.682539682539684</v>
      </c>
      <c r="I4" s="120">
        <f>F4*100/110</f>
        <v>17.833333333333336</v>
      </c>
      <c r="J4" s="120">
        <f t="shared" ref="J4:J67" si="7">+(E4*1.2/30)</f>
        <v>22</v>
      </c>
      <c r="K4" s="114"/>
      <c r="L4" s="127">
        <f t="shared" ref="L4:L67" si="8">+(E4*1.2/33)</f>
        <v>20</v>
      </c>
      <c r="M4" s="83">
        <v>45380</v>
      </c>
      <c r="N4" s="48" t="s">
        <v>8537</v>
      </c>
    </row>
    <row r="5" spans="1:15" s="8" customFormat="1" ht="24.95" customHeight="1">
      <c r="A5" s="2" t="s">
        <v>2296</v>
      </c>
      <c r="B5" s="2" t="s">
        <v>2297</v>
      </c>
      <c r="C5" s="2" t="s">
        <v>8643</v>
      </c>
      <c r="D5" s="3" t="s">
        <v>8086</v>
      </c>
      <c r="E5" s="15">
        <v>634.4</v>
      </c>
      <c r="F5" s="120">
        <v>23.24</v>
      </c>
      <c r="G5" s="120">
        <f t="shared" si="5"/>
        <v>22.563106796116504</v>
      </c>
      <c r="H5" s="120">
        <f t="shared" si="6"/>
        <v>22.133333333333333</v>
      </c>
      <c r="I5" s="120">
        <f>F5*100/110</f>
        <v>21.127272727272729</v>
      </c>
      <c r="J5" s="120">
        <f t="shared" si="7"/>
        <v>25.375999999999998</v>
      </c>
      <c r="K5" s="114"/>
      <c r="L5" s="127">
        <f t="shared" si="8"/>
        <v>23.069090909090907</v>
      </c>
      <c r="M5" s="83"/>
    </row>
    <row r="6" spans="1:15" s="8" customFormat="1" ht="24.95" customHeight="1">
      <c r="A6" s="2" t="s">
        <v>2298</v>
      </c>
      <c r="B6" s="2" t="s">
        <v>2299</v>
      </c>
      <c r="C6" s="2" t="s">
        <v>8651</v>
      </c>
      <c r="D6" s="3" t="s">
        <v>7</v>
      </c>
      <c r="E6" s="15">
        <v>685.5680000000001</v>
      </c>
      <c r="F6" s="120">
        <f t="shared" ref="F6:F69" si="9">+(E6*1.07/30)</f>
        <v>24.451925333333339</v>
      </c>
      <c r="G6" s="120">
        <f t="shared" si="5"/>
        <v>23.739733333333337</v>
      </c>
      <c r="H6" s="120">
        <f t="shared" si="6"/>
        <v>23.287547936507941</v>
      </c>
      <c r="I6" s="120">
        <f>F6*100/110</f>
        <v>22.229023030303036</v>
      </c>
      <c r="J6" s="120">
        <f t="shared" si="7"/>
        <v>27.422720000000005</v>
      </c>
      <c r="K6" s="114"/>
      <c r="L6" s="127">
        <f t="shared" si="8"/>
        <v>24.929745454545458</v>
      </c>
      <c r="M6" s="83"/>
    </row>
    <row r="7" spans="1:15" s="8" customFormat="1" ht="24.95" customHeight="1">
      <c r="A7" s="2" t="s">
        <v>2300</v>
      </c>
      <c r="B7" s="2" t="s">
        <v>2301</v>
      </c>
      <c r="C7" s="2"/>
      <c r="D7" s="3" t="s">
        <v>2302</v>
      </c>
      <c r="E7" s="15">
        <v>664.14400000000001</v>
      </c>
      <c r="F7" s="120">
        <f t="shared" si="9"/>
        <v>23.687802666666666</v>
      </c>
      <c r="G7" s="120">
        <f t="shared" si="5"/>
        <v>22.997866666666667</v>
      </c>
      <c r="H7" s="120">
        <f t="shared" si="6"/>
        <v>22.559812063492064</v>
      </c>
      <c r="I7" s="120">
        <f>F7*100/110</f>
        <v>21.534366060606061</v>
      </c>
      <c r="J7" s="120">
        <f t="shared" si="7"/>
        <v>26.565760000000001</v>
      </c>
      <c r="K7" s="114"/>
      <c r="L7" s="127">
        <f t="shared" si="8"/>
        <v>24.150690909090908</v>
      </c>
      <c r="M7" s="83"/>
    </row>
    <row r="8" spans="1:15" s="8" customFormat="1" ht="24.95" customHeight="1">
      <c r="A8" s="2" t="s">
        <v>2303</v>
      </c>
      <c r="B8" s="2" t="s">
        <v>2304</v>
      </c>
      <c r="C8" s="2"/>
      <c r="D8" s="3" t="s">
        <v>2305</v>
      </c>
      <c r="E8" s="15">
        <v>665.6</v>
      </c>
      <c r="F8" s="120">
        <f t="shared" si="9"/>
        <v>23.739733333333337</v>
      </c>
      <c r="G8" s="120">
        <f t="shared" si="5"/>
        <v>23.048284789644018</v>
      </c>
      <c r="H8" s="120">
        <f t="shared" si="6"/>
        <v>22.609269841269846</v>
      </c>
      <c r="I8" s="120">
        <v>21.4</v>
      </c>
      <c r="J8" s="120">
        <f t="shared" si="7"/>
        <v>26.624000000000002</v>
      </c>
      <c r="K8" s="114"/>
      <c r="L8" s="127">
        <f t="shared" si="8"/>
        <v>24.203636363636363</v>
      </c>
      <c r="M8" s="83"/>
    </row>
    <row r="9" spans="1:15" s="8" customFormat="1" ht="24.95" customHeight="1">
      <c r="A9" s="2" t="s">
        <v>2306</v>
      </c>
      <c r="B9" s="2" t="s">
        <v>2307</v>
      </c>
      <c r="C9" s="2" t="s">
        <v>8654</v>
      </c>
      <c r="D9" s="3" t="s">
        <v>2308</v>
      </c>
      <c r="E9" s="15">
        <v>550</v>
      </c>
      <c r="F9" s="120">
        <f t="shared" si="9"/>
        <v>19.616666666666667</v>
      </c>
      <c r="G9" s="120">
        <f t="shared" si="5"/>
        <v>19.045307443365697</v>
      </c>
      <c r="H9" s="120">
        <f t="shared" si="6"/>
        <v>18.682539682539684</v>
      </c>
      <c r="I9" s="120">
        <f t="shared" ref="I9:I72" si="10">F9*100/110</f>
        <v>17.833333333333336</v>
      </c>
      <c r="J9" s="120">
        <f t="shared" si="7"/>
        <v>22</v>
      </c>
      <c r="K9" s="114"/>
      <c r="L9" s="127">
        <f t="shared" si="8"/>
        <v>20</v>
      </c>
      <c r="M9" s="83">
        <v>45380</v>
      </c>
    </row>
    <row r="10" spans="1:15" s="8" customFormat="1" ht="24.95" customHeight="1">
      <c r="A10" s="2" t="s">
        <v>2309</v>
      </c>
      <c r="B10" s="2" t="s">
        <v>2310</v>
      </c>
      <c r="C10" s="2" t="s">
        <v>8653</v>
      </c>
      <c r="D10" s="3" t="s">
        <v>2311</v>
      </c>
      <c r="E10" s="15">
        <v>640</v>
      </c>
      <c r="F10" s="120">
        <f t="shared" si="9"/>
        <v>22.826666666666668</v>
      </c>
      <c r="G10" s="120">
        <f t="shared" si="5"/>
        <v>22.161812297734631</v>
      </c>
      <c r="H10" s="120">
        <f t="shared" si="6"/>
        <v>21.739682539682544</v>
      </c>
      <c r="I10" s="120">
        <f t="shared" si="10"/>
        <v>20.751515151515154</v>
      </c>
      <c r="J10" s="120">
        <f t="shared" si="7"/>
        <v>25.6</v>
      </c>
      <c r="K10" s="114"/>
      <c r="L10" s="127">
        <f t="shared" si="8"/>
        <v>23.272727272727273</v>
      </c>
      <c r="M10" s="83"/>
      <c r="N10" s="48" t="s">
        <v>8606</v>
      </c>
      <c r="O10" s="8" t="s">
        <v>8620</v>
      </c>
    </row>
    <row r="11" spans="1:15" s="8" customFormat="1" ht="24.95" customHeight="1">
      <c r="A11" s="2" t="s">
        <v>2312</v>
      </c>
      <c r="B11" s="2" t="s">
        <v>2313</v>
      </c>
      <c r="C11" s="2"/>
      <c r="D11" s="3" t="s">
        <v>2314</v>
      </c>
      <c r="E11" s="15">
        <v>621.29599999999994</v>
      </c>
      <c r="F11" s="120">
        <f t="shared" si="9"/>
        <v>22.159557333333332</v>
      </c>
      <c r="G11" s="120">
        <f t="shared" si="5"/>
        <v>21.514133333333334</v>
      </c>
      <c r="H11" s="120">
        <f t="shared" si="6"/>
        <v>21.104340317460316</v>
      </c>
      <c r="I11" s="120">
        <f t="shared" si="10"/>
        <v>20.145052121212121</v>
      </c>
      <c r="J11" s="120">
        <f t="shared" si="7"/>
        <v>24.851839999999996</v>
      </c>
      <c r="K11" s="114"/>
      <c r="L11" s="127">
        <f t="shared" si="8"/>
        <v>22.592581818181817</v>
      </c>
      <c r="M11" s="83"/>
    </row>
    <row r="12" spans="1:15" s="8" customFormat="1" ht="24.95" customHeight="1">
      <c r="A12" s="2" t="s">
        <v>2315</v>
      </c>
      <c r="B12" s="2" t="s">
        <v>2316</v>
      </c>
      <c r="C12" s="2" t="s">
        <v>8635</v>
      </c>
      <c r="D12" s="3" t="s">
        <v>2317</v>
      </c>
      <c r="E12" s="15">
        <v>645</v>
      </c>
      <c r="F12" s="120">
        <f t="shared" si="9"/>
        <v>23.005000000000003</v>
      </c>
      <c r="G12" s="120">
        <f t="shared" si="5"/>
        <v>22.334951456310684</v>
      </c>
      <c r="H12" s="120">
        <f t="shared" si="6"/>
        <v>21.909523809523815</v>
      </c>
      <c r="I12" s="120">
        <f t="shared" si="10"/>
        <v>20.913636363636368</v>
      </c>
      <c r="J12" s="120">
        <f t="shared" si="7"/>
        <v>25.8</v>
      </c>
      <c r="K12" s="114"/>
      <c r="L12" s="127">
        <f t="shared" si="8"/>
        <v>23.454545454545453</v>
      </c>
      <c r="M12" s="83"/>
    </row>
    <row r="13" spans="1:15" s="8" customFormat="1" ht="24.95" customHeight="1">
      <c r="A13" s="2" t="s">
        <v>2318</v>
      </c>
      <c r="B13" s="2" t="s">
        <v>2319</v>
      </c>
      <c r="C13" s="2" t="s">
        <v>8661</v>
      </c>
      <c r="D13" s="3" t="s">
        <v>2320</v>
      </c>
      <c r="E13" s="15">
        <v>589.16</v>
      </c>
      <c r="F13" s="120">
        <f t="shared" si="9"/>
        <v>21.013373333333334</v>
      </c>
      <c r="G13" s="120">
        <f t="shared" si="5"/>
        <v>20.401333333333334</v>
      </c>
      <c r="H13" s="120">
        <f t="shared" si="6"/>
        <v>20.012736507936509</v>
      </c>
      <c r="I13" s="120">
        <f t="shared" si="10"/>
        <v>19.103066666666667</v>
      </c>
      <c r="J13" s="120">
        <f t="shared" si="7"/>
        <v>23.566399999999998</v>
      </c>
      <c r="K13" s="114"/>
      <c r="L13" s="127">
        <f t="shared" si="8"/>
        <v>21.423999999999999</v>
      </c>
      <c r="M13" s="83"/>
    </row>
    <row r="14" spans="1:15" s="8" customFormat="1" ht="24.95" customHeight="1">
      <c r="A14" s="2" t="s">
        <v>2321</v>
      </c>
      <c r="B14" s="2" t="s">
        <v>2322</v>
      </c>
      <c r="C14" s="2" t="s">
        <v>8630</v>
      </c>
      <c r="D14" s="3" t="s">
        <v>2323</v>
      </c>
      <c r="E14" s="15">
        <v>632.00800000000004</v>
      </c>
      <c r="F14" s="120">
        <f t="shared" si="9"/>
        <v>22.541618666666672</v>
      </c>
      <c r="G14" s="120">
        <f t="shared" si="5"/>
        <v>21.885066666666674</v>
      </c>
      <c r="H14" s="120">
        <f t="shared" si="6"/>
        <v>21.46820825396826</v>
      </c>
      <c r="I14" s="120">
        <f t="shared" si="10"/>
        <v>20.49238060606061</v>
      </c>
      <c r="J14" s="120">
        <f t="shared" si="7"/>
        <v>25.280320000000003</v>
      </c>
      <c r="K14" s="114"/>
      <c r="L14" s="127">
        <f t="shared" si="8"/>
        <v>22.982109090909091</v>
      </c>
      <c r="M14" s="83"/>
    </row>
    <row r="15" spans="1:15" s="8" customFormat="1" ht="24.95" customHeight="1">
      <c r="A15" s="2" t="s">
        <v>2324</v>
      </c>
      <c r="B15" s="2" t="s">
        <v>2325</v>
      </c>
      <c r="C15" s="2"/>
      <c r="D15" s="3" t="s">
        <v>2326</v>
      </c>
      <c r="E15" s="15">
        <v>610.58400000000006</v>
      </c>
      <c r="F15" s="120">
        <f t="shared" si="9"/>
        <v>21.777496000000003</v>
      </c>
      <c r="G15" s="120">
        <f t="shared" si="5"/>
        <v>21.1432</v>
      </c>
      <c r="H15" s="120">
        <f t="shared" si="6"/>
        <v>20.740472380952383</v>
      </c>
      <c r="I15" s="120">
        <f t="shared" si="10"/>
        <v>19.797723636363639</v>
      </c>
      <c r="J15" s="120">
        <f t="shared" si="7"/>
        <v>24.423360000000002</v>
      </c>
      <c r="K15" s="114"/>
      <c r="L15" s="127">
        <f t="shared" si="8"/>
        <v>22.203054545454549</v>
      </c>
      <c r="M15" s="83"/>
    </row>
    <row r="16" spans="1:15" s="8" customFormat="1" ht="24.95" customHeight="1">
      <c r="A16" s="2" t="s">
        <v>2327</v>
      </c>
      <c r="B16" s="2" t="s">
        <v>2328</v>
      </c>
      <c r="C16" s="2" t="s">
        <v>8670</v>
      </c>
      <c r="D16" s="3" t="s">
        <v>2329</v>
      </c>
      <c r="E16" s="15">
        <v>632.00800000000004</v>
      </c>
      <c r="F16" s="120">
        <f t="shared" si="9"/>
        <v>22.541618666666672</v>
      </c>
      <c r="G16" s="120">
        <f t="shared" si="5"/>
        <v>21.885066666666674</v>
      </c>
      <c r="H16" s="120">
        <f t="shared" si="6"/>
        <v>21.46820825396826</v>
      </c>
      <c r="I16" s="120">
        <f t="shared" si="10"/>
        <v>20.49238060606061</v>
      </c>
      <c r="J16" s="120">
        <f t="shared" si="7"/>
        <v>25.280320000000003</v>
      </c>
      <c r="K16" s="114"/>
      <c r="L16" s="127">
        <f t="shared" si="8"/>
        <v>22.982109090909091</v>
      </c>
      <c r="M16" s="83"/>
    </row>
    <row r="17" spans="1:13" s="8" customFormat="1" ht="24.95" customHeight="1">
      <c r="A17" s="2" t="s">
        <v>2330</v>
      </c>
      <c r="B17" s="2" t="s">
        <v>2331</v>
      </c>
      <c r="C17" s="2"/>
      <c r="D17" s="3" t="s">
        <v>2332</v>
      </c>
      <c r="E17" s="15">
        <v>652.36079999999993</v>
      </c>
      <c r="F17" s="120">
        <f t="shared" si="9"/>
        <v>23.267535199999998</v>
      </c>
      <c r="G17" s="120">
        <f t="shared" si="5"/>
        <v>22.589839999999999</v>
      </c>
      <c r="H17" s="120">
        <f t="shared" si="6"/>
        <v>22.159557333333332</v>
      </c>
      <c r="I17" s="120">
        <f t="shared" si="10"/>
        <v>21.152304727272725</v>
      </c>
      <c r="J17" s="120">
        <f t="shared" si="7"/>
        <v>26.094431999999994</v>
      </c>
      <c r="K17" s="114"/>
      <c r="L17" s="127">
        <f t="shared" si="8"/>
        <v>23.722210909090904</v>
      </c>
      <c r="M17" s="83"/>
    </row>
    <row r="18" spans="1:13" s="8" customFormat="1" ht="24.95" customHeight="1">
      <c r="A18" s="2" t="s">
        <v>2333</v>
      </c>
      <c r="B18" s="2" t="s">
        <v>2334</v>
      </c>
      <c r="C18" s="2"/>
      <c r="D18" s="3" t="s">
        <v>2335</v>
      </c>
      <c r="E18" s="15">
        <v>653.43200000000002</v>
      </c>
      <c r="F18" s="120">
        <f t="shared" si="9"/>
        <v>23.305741333333337</v>
      </c>
      <c r="G18" s="120">
        <f t="shared" si="5"/>
        <v>22.626933333333334</v>
      </c>
      <c r="H18" s="120">
        <f t="shared" si="6"/>
        <v>22.195944126984127</v>
      </c>
      <c r="I18" s="120">
        <f t="shared" si="10"/>
        <v>21.187037575757579</v>
      </c>
      <c r="J18" s="120">
        <f t="shared" si="7"/>
        <v>26.137279999999997</v>
      </c>
      <c r="K18" s="114"/>
      <c r="L18" s="127">
        <f t="shared" si="8"/>
        <v>23.761163636363634</v>
      </c>
      <c r="M18" s="83"/>
    </row>
    <row r="19" spans="1:13" s="8" customFormat="1" ht="24.95" customHeight="1">
      <c r="A19" s="2" t="s">
        <v>2336</v>
      </c>
      <c r="B19" s="2" t="s">
        <v>2337</v>
      </c>
      <c r="C19" s="2">
        <v>8980741200</v>
      </c>
      <c r="D19" s="3" t="s">
        <v>2338</v>
      </c>
      <c r="E19" s="15">
        <v>650</v>
      </c>
      <c r="F19" s="120">
        <f t="shared" si="9"/>
        <v>23.183333333333334</v>
      </c>
      <c r="G19" s="120">
        <f t="shared" si="5"/>
        <v>22.508090614886733</v>
      </c>
      <c r="H19" s="120">
        <f t="shared" si="6"/>
        <v>22.079365079365079</v>
      </c>
      <c r="I19" s="120">
        <f t="shared" si="10"/>
        <v>21.075757575757578</v>
      </c>
      <c r="J19" s="120">
        <f t="shared" si="7"/>
        <v>26</v>
      </c>
      <c r="K19" s="114"/>
      <c r="L19" s="127">
        <f t="shared" si="8"/>
        <v>23.636363636363637</v>
      </c>
      <c r="M19" s="83">
        <v>45581</v>
      </c>
    </row>
    <row r="20" spans="1:13" s="8" customFormat="1" ht="24.95" customHeight="1">
      <c r="A20" s="2" t="s">
        <v>2339</v>
      </c>
      <c r="B20" s="2" t="s">
        <v>2340</v>
      </c>
      <c r="C20" s="2"/>
      <c r="D20" s="3" t="s">
        <v>2341</v>
      </c>
      <c r="E20" s="15">
        <v>652.36079999999993</v>
      </c>
      <c r="F20" s="120">
        <f t="shared" si="9"/>
        <v>23.267535199999998</v>
      </c>
      <c r="G20" s="120">
        <f t="shared" si="5"/>
        <v>22.589839999999999</v>
      </c>
      <c r="H20" s="120">
        <f t="shared" si="6"/>
        <v>22.159557333333332</v>
      </c>
      <c r="I20" s="120">
        <f t="shared" si="10"/>
        <v>21.152304727272725</v>
      </c>
      <c r="J20" s="120">
        <f t="shared" si="7"/>
        <v>26.094431999999994</v>
      </c>
      <c r="K20" s="114"/>
      <c r="L20" s="127">
        <f t="shared" si="8"/>
        <v>23.722210909090904</v>
      </c>
      <c r="M20" s="83"/>
    </row>
    <row r="21" spans="1:13" s="8" customFormat="1" ht="24.95" customHeight="1">
      <c r="A21" s="2" t="s">
        <v>2342</v>
      </c>
      <c r="B21" s="2" t="s">
        <v>2343</v>
      </c>
      <c r="C21" s="2"/>
      <c r="D21" s="3" t="s">
        <v>2344</v>
      </c>
      <c r="E21" s="15">
        <v>664.14400000000001</v>
      </c>
      <c r="F21" s="120">
        <f t="shared" si="9"/>
        <v>23.687802666666666</v>
      </c>
      <c r="G21" s="120">
        <f t="shared" si="5"/>
        <v>22.997866666666667</v>
      </c>
      <c r="H21" s="120">
        <f t="shared" si="6"/>
        <v>22.559812063492064</v>
      </c>
      <c r="I21" s="120">
        <f t="shared" si="10"/>
        <v>21.534366060606061</v>
      </c>
      <c r="J21" s="120">
        <f t="shared" si="7"/>
        <v>26.565760000000001</v>
      </c>
      <c r="K21" s="114"/>
      <c r="L21" s="127">
        <f t="shared" si="8"/>
        <v>24.150690909090908</v>
      </c>
      <c r="M21" s="83"/>
    </row>
    <row r="22" spans="1:13" s="8" customFormat="1" ht="24.95" customHeight="1">
      <c r="A22" s="2" t="s">
        <v>2345</v>
      </c>
      <c r="B22" s="2" t="s">
        <v>2346</v>
      </c>
      <c r="C22" s="2"/>
      <c r="D22" s="3" t="s">
        <v>2347</v>
      </c>
      <c r="E22" s="15">
        <v>674.85599999999999</v>
      </c>
      <c r="F22" s="120">
        <f t="shared" si="9"/>
        <v>24.069864000000003</v>
      </c>
      <c r="G22" s="120">
        <f t="shared" si="5"/>
        <v>23.368800000000004</v>
      </c>
      <c r="H22" s="120">
        <f t="shared" si="6"/>
        <v>22.923680000000001</v>
      </c>
      <c r="I22" s="120">
        <f t="shared" si="10"/>
        <v>21.881694545454547</v>
      </c>
      <c r="J22" s="120">
        <f t="shared" si="7"/>
        <v>26.994239999999998</v>
      </c>
      <c r="K22" s="114"/>
      <c r="L22" s="127">
        <f t="shared" si="8"/>
        <v>24.540218181818179</v>
      </c>
      <c r="M22" s="83"/>
    </row>
    <row r="23" spans="1:13" s="8" customFormat="1" ht="24.95" customHeight="1">
      <c r="A23" s="2" t="s">
        <v>2348</v>
      </c>
      <c r="B23" s="2" t="s">
        <v>2349</v>
      </c>
      <c r="C23" s="2"/>
      <c r="D23" s="3" t="s">
        <v>2350</v>
      </c>
      <c r="E23" s="15">
        <v>674.85599999999999</v>
      </c>
      <c r="F23" s="120">
        <f t="shared" si="9"/>
        <v>24.069864000000003</v>
      </c>
      <c r="G23" s="120">
        <f t="shared" si="5"/>
        <v>23.368800000000004</v>
      </c>
      <c r="H23" s="120">
        <f t="shared" si="6"/>
        <v>22.923680000000001</v>
      </c>
      <c r="I23" s="120">
        <f t="shared" si="10"/>
        <v>21.881694545454547</v>
      </c>
      <c r="J23" s="120">
        <f t="shared" si="7"/>
        <v>26.994239999999998</v>
      </c>
      <c r="K23" s="114"/>
      <c r="L23" s="127">
        <f t="shared" si="8"/>
        <v>24.540218181818179</v>
      </c>
      <c r="M23" s="83"/>
    </row>
    <row r="24" spans="1:13" s="8" customFormat="1" ht="24.95" customHeight="1">
      <c r="A24" s="2" t="s">
        <v>2351</v>
      </c>
      <c r="B24" s="2" t="s">
        <v>2352</v>
      </c>
      <c r="C24" s="2"/>
      <c r="D24" s="3" t="s">
        <v>2353</v>
      </c>
      <c r="E24" s="15">
        <v>696.28</v>
      </c>
      <c r="F24" s="120">
        <f t="shared" si="9"/>
        <v>24.833986666666664</v>
      </c>
      <c r="G24" s="120">
        <f t="shared" si="5"/>
        <v>24.110666666666663</v>
      </c>
      <c r="H24" s="120">
        <f t="shared" si="6"/>
        <v>23.651415873015871</v>
      </c>
      <c r="I24" s="120">
        <f t="shared" si="10"/>
        <v>22.576351515151515</v>
      </c>
      <c r="J24" s="120">
        <f t="shared" si="7"/>
        <v>27.851199999999999</v>
      </c>
      <c r="K24" s="114"/>
      <c r="L24" s="127">
        <f t="shared" si="8"/>
        <v>25.319272727272725</v>
      </c>
      <c r="M24" s="83"/>
    </row>
    <row r="25" spans="1:13" s="8" customFormat="1" ht="24.95" customHeight="1">
      <c r="A25" s="2" t="s">
        <v>2354</v>
      </c>
      <c r="B25" s="2" t="s">
        <v>2355</v>
      </c>
      <c r="C25" s="2"/>
      <c r="D25" s="3" t="s">
        <v>2356</v>
      </c>
      <c r="E25" s="15">
        <v>765.90800000000002</v>
      </c>
      <c r="F25" s="120">
        <f t="shared" si="9"/>
        <v>27.317385333333334</v>
      </c>
      <c r="G25" s="120">
        <f t="shared" si="5"/>
        <v>26.521733333333334</v>
      </c>
      <c r="H25" s="120">
        <f t="shared" si="6"/>
        <v>26.016557460317458</v>
      </c>
      <c r="I25" s="120">
        <f t="shared" si="10"/>
        <v>24.833986666666664</v>
      </c>
      <c r="J25" s="120">
        <f t="shared" si="7"/>
        <v>30.636320000000001</v>
      </c>
      <c r="K25" s="114"/>
      <c r="L25" s="127">
        <f t="shared" si="8"/>
        <v>27.851200000000002</v>
      </c>
      <c r="M25" s="83"/>
    </row>
    <row r="26" spans="1:13" s="8" customFormat="1" ht="24.95" customHeight="1">
      <c r="A26" s="2" t="s">
        <v>2357</v>
      </c>
      <c r="B26" s="2" t="s">
        <v>2358</v>
      </c>
      <c r="C26" s="2"/>
      <c r="D26" s="3" t="s">
        <v>2359</v>
      </c>
      <c r="E26" s="15">
        <v>674.85599999999999</v>
      </c>
      <c r="F26" s="120">
        <f t="shared" si="9"/>
        <v>24.069864000000003</v>
      </c>
      <c r="G26" s="120">
        <f t="shared" si="5"/>
        <v>23.368800000000004</v>
      </c>
      <c r="H26" s="120">
        <f t="shared" si="6"/>
        <v>22.923680000000001</v>
      </c>
      <c r="I26" s="120">
        <f t="shared" si="10"/>
        <v>21.881694545454547</v>
      </c>
      <c r="J26" s="120">
        <f t="shared" si="7"/>
        <v>26.994239999999998</v>
      </c>
      <c r="K26" s="114"/>
      <c r="L26" s="127">
        <f t="shared" si="8"/>
        <v>24.540218181818179</v>
      </c>
      <c r="M26" s="83"/>
    </row>
    <row r="27" spans="1:13" s="8" customFormat="1" ht="24.95" customHeight="1">
      <c r="A27" s="2" t="s">
        <v>2360</v>
      </c>
      <c r="B27" s="2" t="s">
        <v>2361</v>
      </c>
      <c r="C27" s="2"/>
      <c r="D27" s="3" t="s">
        <v>2362</v>
      </c>
      <c r="E27" s="15">
        <v>749.84</v>
      </c>
      <c r="F27" s="120">
        <f t="shared" si="9"/>
        <v>26.744293333333339</v>
      </c>
      <c r="G27" s="120">
        <f t="shared" si="5"/>
        <v>25.965333333333341</v>
      </c>
      <c r="H27" s="120">
        <f t="shared" si="6"/>
        <v>25.470755555555563</v>
      </c>
      <c r="I27" s="120">
        <f t="shared" si="10"/>
        <v>24.312993939393944</v>
      </c>
      <c r="J27" s="120">
        <f t="shared" si="7"/>
        <v>29.993600000000001</v>
      </c>
      <c r="K27" s="114"/>
      <c r="L27" s="127">
        <f t="shared" si="8"/>
        <v>27.266909090909092</v>
      </c>
      <c r="M27" s="83"/>
    </row>
    <row r="28" spans="1:13" s="8" customFormat="1" ht="24.95" customHeight="1">
      <c r="A28" s="2" t="s">
        <v>2363</v>
      </c>
      <c r="B28" s="2" t="s">
        <v>2364</v>
      </c>
      <c r="C28" s="2"/>
      <c r="D28" s="3" t="s">
        <v>2365</v>
      </c>
      <c r="E28" s="15">
        <v>742.34159999999997</v>
      </c>
      <c r="F28" s="120">
        <f t="shared" si="9"/>
        <v>26.4768504</v>
      </c>
      <c r="G28" s="120">
        <f t="shared" si="5"/>
        <v>25.705679999999997</v>
      </c>
      <c r="H28" s="120">
        <f t="shared" si="6"/>
        <v>25.216047999999997</v>
      </c>
      <c r="I28" s="120">
        <f t="shared" si="10"/>
        <v>24.069863999999999</v>
      </c>
      <c r="J28" s="120">
        <f t="shared" si="7"/>
        <v>29.693663999999998</v>
      </c>
      <c r="K28" s="114"/>
      <c r="L28" s="127">
        <f t="shared" si="8"/>
        <v>26.994239999999998</v>
      </c>
      <c r="M28" s="83"/>
    </row>
    <row r="29" spans="1:13" s="8" customFormat="1" ht="24.95" customHeight="1">
      <c r="A29" s="2" t="s">
        <v>2366</v>
      </c>
      <c r="B29" s="2" t="s">
        <v>2367</v>
      </c>
      <c r="C29" s="2" t="s">
        <v>8665</v>
      </c>
      <c r="D29" s="3" t="s">
        <v>2368</v>
      </c>
      <c r="E29" s="15">
        <v>697.35119999999995</v>
      </c>
      <c r="F29" s="120">
        <f t="shared" si="9"/>
        <v>24.872192800000001</v>
      </c>
      <c r="G29" s="120">
        <f t="shared" si="5"/>
        <v>24.147760000000002</v>
      </c>
      <c r="H29" s="120">
        <f t="shared" si="6"/>
        <v>23.68780266666667</v>
      </c>
      <c r="I29" s="120">
        <f t="shared" si="10"/>
        <v>22.611084363636365</v>
      </c>
      <c r="J29" s="120">
        <f t="shared" si="7"/>
        <v>27.894047999999998</v>
      </c>
      <c r="K29" s="114"/>
      <c r="L29" s="127">
        <f t="shared" si="8"/>
        <v>25.358225454545451</v>
      </c>
      <c r="M29" s="83"/>
    </row>
    <row r="30" spans="1:13" s="8" customFormat="1" ht="24.95" customHeight="1">
      <c r="A30" s="2" t="s">
        <v>2369</v>
      </c>
      <c r="B30" s="2" t="s">
        <v>2370</v>
      </c>
      <c r="C30" s="2"/>
      <c r="D30" s="3" t="s">
        <v>2371</v>
      </c>
      <c r="E30" s="15">
        <v>764.83680000000004</v>
      </c>
      <c r="F30" s="120">
        <f t="shared" si="9"/>
        <v>27.279179200000002</v>
      </c>
      <c r="G30" s="120">
        <f t="shared" si="5"/>
        <v>26.484640000000002</v>
      </c>
      <c r="H30" s="120">
        <f t="shared" si="6"/>
        <v>25.98017066666667</v>
      </c>
      <c r="I30" s="120">
        <f t="shared" si="10"/>
        <v>24.799253818181821</v>
      </c>
      <c r="J30" s="120">
        <f t="shared" si="7"/>
        <v>30.593472000000002</v>
      </c>
      <c r="K30" s="114"/>
      <c r="L30" s="127">
        <f t="shared" si="8"/>
        <v>27.812247272727273</v>
      </c>
      <c r="M30" s="83"/>
    </row>
    <row r="31" spans="1:13" s="8" customFormat="1" ht="24.95" customHeight="1">
      <c r="A31" s="2" t="s">
        <v>2372</v>
      </c>
      <c r="B31" s="2" t="s">
        <v>2373</v>
      </c>
      <c r="C31" s="2"/>
      <c r="D31" s="3" t="s">
        <v>2374</v>
      </c>
      <c r="E31" s="15">
        <v>728.41599999999994</v>
      </c>
      <c r="F31" s="120">
        <f t="shared" si="9"/>
        <v>25.980170666666666</v>
      </c>
      <c r="G31" s="120">
        <f t="shared" si="5"/>
        <v>25.223466666666667</v>
      </c>
      <c r="H31" s="120">
        <f t="shared" si="6"/>
        <v>24.743019682539682</v>
      </c>
      <c r="I31" s="120">
        <f t="shared" si="10"/>
        <v>23.618336969696969</v>
      </c>
      <c r="J31" s="120">
        <f t="shared" si="7"/>
        <v>29.136639999999996</v>
      </c>
      <c r="K31" s="114"/>
      <c r="L31" s="127">
        <f t="shared" si="8"/>
        <v>26.487854545454542</v>
      </c>
      <c r="M31" s="83"/>
    </row>
    <row r="32" spans="1:13" s="8" customFormat="1" ht="24.95" customHeight="1">
      <c r="A32" s="2" t="s">
        <v>2375</v>
      </c>
      <c r="B32" s="2" t="s">
        <v>2376</v>
      </c>
      <c r="C32" s="2"/>
      <c r="D32" s="3" t="s">
        <v>2377</v>
      </c>
      <c r="E32" s="15">
        <v>642.72</v>
      </c>
      <c r="F32" s="120">
        <f t="shared" si="9"/>
        <v>22.923680000000001</v>
      </c>
      <c r="G32" s="120">
        <f t="shared" si="5"/>
        <v>22.256</v>
      </c>
      <c r="H32" s="120">
        <f t="shared" si="6"/>
        <v>21.83207619047619</v>
      </c>
      <c r="I32" s="120">
        <f t="shared" si="10"/>
        <v>20.839709090909089</v>
      </c>
      <c r="J32" s="120">
        <f t="shared" si="7"/>
        <v>25.7088</v>
      </c>
      <c r="K32" s="114"/>
      <c r="L32" s="127">
        <f t="shared" si="8"/>
        <v>23.371636363636362</v>
      </c>
      <c r="M32" s="83"/>
    </row>
    <row r="33" spans="1:13" s="8" customFormat="1" ht="24.95" customHeight="1">
      <c r="A33" s="2" t="s">
        <v>2378</v>
      </c>
      <c r="B33" s="2" t="s">
        <v>2379</v>
      </c>
      <c r="C33" s="2"/>
      <c r="D33" s="3" t="s">
        <v>2380</v>
      </c>
      <c r="E33" s="15">
        <v>706.99200000000008</v>
      </c>
      <c r="F33" s="120">
        <f t="shared" si="9"/>
        <v>25.216048000000004</v>
      </c>
      <c r="G33" s="120">
        <f t="shared" si="5"/>
        <v>24.481600000000004</v>
      </c>
      <c r="H33" s="120">
        <f t="shared" si="6"/>
        <v>24.015283809523815</v>
      </c>
      <c r="I33" s="120">
        <f t="shared" si="10"/>
        <v>22.923680000000004</v>
      </c>
      <c r="J33" s="120">
        <f t="shared" si="7"/>
        <v>28.279680000000003</v>
      </c>
      <c r="K33" s="114"/>
      <c r="L33" s="127">
        <f t="shared" si="8"/>
        <v>25.708800000000004</v>
      </c>
      <c r="M33" s="83"/>
    </row>
    <row r="34" spans="1:13" s="8" customFormat="1" ht="24.95" customHeight="1">
      <c r="A34" s="2" t="s">
        <v>2381</v>
      </c>
      <c r="B34" s="2" t="s">
        <v>2382</v>
      </c>
      <c r="C34" s="2"/>
      <c r="D34" s="3" t="s">
        <v>2383</v>
      </c>
      <c r="E34" s="15">
        <v>742.34159999999997</v>
      </c>
      <c r="F34" s="120">
        <f t="shared" si="9"/>
        <v>26.4768504</v>
      </c>
      <c r="G34" s="120">
        <f t="shared" si="5"/>
        <v>25.705679999999997</v>
      </c>
      <c r="H34" s="120">
        <f t="shared" si="6"/>
        <v>25.216047999999997</v>
      </c>
      <c r="I34" s="120">
        <f t="shared" si="10"/>
        <v>24.069863999999999</v>
      </c>
      <c r="J34" s="120">
        <f t="shared" si="7"/>
        <v>29.693663999999998</v>
      </c>
      <c r="K34" s="114"/>
      <c r="L34" s="127">
        <f t="shared" si="8"/>
        <v>26.994239999999998</v>
      </c>
      <c r="M34" s="83"/>
    </row>
    <row r="35" spans="1:13" s="8" customFormat="1" ht="24.95" customHeight="1">
      <c r="A35" s="2" t="s">
        <v>2384</v>
      </c>
      <c r="B35" s="2" t="s">
        <v>2385</v>
      </c>
      <c r="C35" s="2"/>
      <c r="D35" s="3" t="s">
        <v>2386</v>
      </c>
      <c r="E35" s="15">
        <v>599.87200000000007</v>
      </c>
      <c r="F35" s="120">
        <f t="shared" si="9"/>
        <v>21.39543466666667</v>
      </c>
      <c r="G35" s="120">
        <f t="shared" si="5"/>
        <v>20.77226666666667</v>
      </c>
      <c r="H35" s="120">
        <f t="shared" si="6"/>
        <v>20.376604444444446</v>
      </c>
      <c r="I35" s="120">
        <f t="shared" si="10"/>
        <v>19.450395151515153</v>
      </c>
      <c r="J35" s="120">
        <f t="shared" si="7"/>
        <v>23.994880000000002</v>
      </c>
      <c r="K35" s="114"/>
      <c r="L35" s="127">
        <f t="shared" si="8"/>
        <v>21.813527272727274</v>
      </c>
      <c r="M35" s="83"/>
    </row>
    <row r="36" spans="1:13" s="8" customFormat="1" ht="24.95" customHeight="1">
      <c r="A36" s="2" t="s">
        <v>2387</v>
      </c>
      <c r="B36" s="2" t="s">
        <v>2388</v>
      </c>
      <c r="C36" s="2"/>
      <c r="D36" s="3" t="s">
        <v>2389</v>
      </c>
      <c r="E36" s="15">
        <v>642.72</v>
      </c>
      <c r="F36" s="120">
        <f t="shared" si="9"/>
        <v>22.923680000000001</v>
      </c>
      <c r="G36" s="120">
        <f t="shared" si="5"/>
        <v>22.256</v>
      </c>
      <c r="H36" s="120">
        <f t="shared" si="6"/>
        <v>21.83207619047619</v>
      </c>
      <c r="I36" s="120">
        <f t="shared" si="10"/>
        <v>20.839709090909089</v>
      </c>
      <c r="J36" s="120">
        <f t="shared" si="7"/>
        <v>25.7088</v>
      </c>
      <c r="K36" s="114"/>
      <c r="L36" s="127">
        <f t="shared" si="8"/>
        <v>23.371636363636362</v>
      </c>
      <c r="M36" s="83"/>
    </row>
    <row r="37" spans="1:13" s="8" customFormat="1" ht="24.95" customHeight="1">
      <c r="A37" s="2" t="s">
        <v>2390</v>
      </c>
      <c r="B37" s="2" t="s">
        <v>2391</v>
      </c>
      <c r="C37" s="2"/>
      <c r="D37" s="3" t="s">
        <v>2392</v>
      </c>
      <c r="E37" s="15">
        <v>632.00800000000004</v>
      </c>
      <c r="F37" s="120">
        <f t="shared" si="9"/>
        <v>22.541618666666672</v>
      </c>
      <c r="G37" s="120">
        <f t="shared" si="5"/>
        <v>21.885066666666674</v>
      </c>
      <c r="H37" s="120">
        <f t="shared" si="6"/>
        <v>21.46820825396826</v>
      </c>
      <c r="I37" s="120">
        <f t="shared" si="10"/>
        <v>20.49238060606061</v>
      </c>
      <c r="J37" s="120">
        <f t="shared" si="7"/>
        <v>25.280320000000003</v>
      </c>
      <c r="K37" s="114"/>
      <c r="L37" s="127">
        <f t="shared" si="8"/>
        <v>22.982109090909091</v>
      </c>
      <c r="M37" s="83"/>
    </row>
    <row r="38" spans="1:13" s="8" customFormat="1" ht="24.95" customHeight="1">
      <c r="A38" s="2" t="s">
        <v>2393</v>
      </c>
      <c r="B38" s="2" t="s">
        <v>2394</v>
      </c>
      <c r="C38" s="2"/>
      <c r="D38" s="3" t="s">
        <v>2395</v>
      </c>
      <c r="E38" s="15">
        <v>706.99200000000008</v>
      </c>
      <c r="F38" s="120">
        <f t="shared" si="9"/>
        <v>25.216048000000004</v>
      </c>
      <c r="G38" s="120">
        <f t="shared" si="5"/>
        <v>24.481600000000004</v>
      </c>
      <c r="H38" s="120">
        <f t="shared" si="6"/>
        <v>24.015283809523815</v>
      </c>
      <c r="I38" s="120">
        <f t="shared" si="10"/>
        <v>22.923680000000004</v>
      </c>
      <c r="J38" s="120">
        <f t="shared" si="7"/>
        <v>28.279680000000003</v>
      </c>
      <c r="K38" s="114"/>
      <c r="L38" s="127">
        <f t="shared" si="8"/>
        <v>25.708800000000004</v>
      </c>
      <c r="M38" s="83"/>
    </row>
    <row r="39" spans="1:13" s="8" customFormat="1" ht="24.95" customHeight="1">
      <c r="A39" s="2" t="s">
        <v>2396</v>
      </c>
      <c r="B39" s="2" t="s">
        <v>2397</v>
      </c>
      <c r="C39" s="2"/>
      <c r="D39" s="3" t="s">
        <v>2398</v>
      </c>
      <c r="E39" s="15">
        <v>731.62959999999998</v>
      </c>
      <c r="F39" s="120">
        <f t="shared" si="9"/>
        <v>26.094789066666667</v>
      </c>
      <c r="G39" s="120">
        <f t="shared" si="5"/>
        <v>25.334746666666668</v>
      </c>
      <c r="H39" s="120">
        <f t="shared" si="6"/>
        <v>24.852180063492064</v>
      </c>
      <c r="I39" s="120">
        <f t="shared" si="10"/>
        <v>23.722535515151517</v>
      </c>
      <c r="J39" s="120">
        <f t="shared" si="7"/>
        <v>29.265183999999998</v>
      </c>
      <c r="K39" s="114"/>
      <c r="L39" s="127">
        <f t="shared" si="8"/>
        <v>26.604712727272727</v>
      </c>
      <c r="M39" s="83"/>
    </row>
    <row r="40" spans="1:13" s="8" customFormat="1" ht="24.95" customHeight="1">
      <c r="A40" s="2" t="s">
        <v>2399</v>
      </c>
      <c r="B40" s="2" t="s">
        <v>2400</v>
      </c>
      <c r="C40" s="2"/>
      <c r="D40" s="3" t="s">
        <v>2401</v>
      </c>
      <c r="E40" s="15">
        <v>742.34159999999997</v>
      </c>
      <c r="F40" s="120">
        <f t="shared" si="9"/>
        <v>26.4768504</v>
      </c>
      <c r="G40" s="120">
        <f t="shared" si="5"/>
        <v>25.705679999999997</v>
      </c>
      <c r="H40" s="120">
        <f t="shared" si="6"/>
        <v>25.216047999999997</v>
      </c>
      <c r="I40" s="120">
        <f t="shared" si="10"/>
        <v>24.069863999999999</v>
      </c>
      <c r="J40" s="120">
        <f t="shared" si="7"/>
        <v>29.693663999999998</v>
      </c>
      <c r="K40" s="114"/>
      <c r="L40" s="127">
        <f t="shared" si="8"/>
        <v>26.994239999999998</v>
      </c>
      <c r="M40" s="83"/>
    </row>
    <row r="41" spans="1:13" s="8" customFormat="1" ht="24.95" customHeight="1">
      <c r="A41" s="2" t="s">
        <v>2402</v>
      </c>
      <c r="B41" s="2" t="s">
        <v>2403</v>
      </c>
      <c r="C41" s="2"/>
      <c r="D41" s="3" t="s">
        <v>2404</v>
      </c>
      <c r="E41" s="15">
        <v>749.84</v>
      </c>
      <c r="F41" s="120">
        <f t="shared" si="9"/>
        <v>26.744293333333339</v>
      </c>
      <c r="G41" s="120">
        <f t="shared" si="5"/>
        <v>25.965333333333341</v>
      </c>
      <c r="H41" s="120">
        <f t="shared" si="6"/>
        <v>25.470755555555563</v>
      </c>
      <c r="I41" s="120">
        <f t="shared" si="10"/>
        <v>24.312993939393944</v>
      </c>
      <c r="J41" s="120">
        <f t="shared" si="7"/>
        <v>29.993600000000001</v>
      </c>
      <c r="K41" s="114"/>
      <c r="L41" s="127">
        <f t="shared" si="8"/>
        <v>27.266909090909092</v>
      </c>
      <c r="M41" s="83"/>
    </row>
    <row r="42" spans="1:13" s="8" customFormat="1" ht="24.95" customHeight="1">
      <c r="A42" s="2" t="s">
        <v>2405</v>
      </c>
      <c r="B42" s="2" t="s">
        <v>2406</v>
      </c>
      <c r="C42" s="2"/>
      <c r="D42" s="3" t="s">
        <v>2407</v>
      </c>
      <c r="E42" s="15">
        <v>764.83680000000004</v>
      </c>
      <c r="F42" s="120">
        <f t="shared" si="9"/>
        <v>27.279179200000002</v>
      </c>
      <c r="G42" s="120">
        <f t="shared" si="5"/>
        <v>26.484640000000002</v>
      </c>
      <c r="H42" s="120">
        <f t="shared" si="6"/>
        <v>25.98017066666667</v>
      </c>
      <c r="I42" s="120">
        <f t="shared" si="10"/>
        <v>24.799253818181821</v>
      </c>
      <c r="J42" s="120">
        <f t="shared" si="7"/>
        <v>30.593472000000002</v>
      </c>
      <c r="K42" s="114"/>
      <c r="L42" s="127">
        <f t="shared" si="8"/>
        <v>27.812247272727273</v>
      </c>
      <c r="M42" s="83"/>
    </row>
    <row r="43" spans="1:13" s="8" customFormat="1" ht="24.95" customHeight="1">
      <c r="A43" s="2" t="s">
        <v>2408</v>
      </c>
      <c r="B43" s="2" t="s">
        <v>2409</v>
      </c>
      <c r="C43" s="2"/>
      <c r="D43" s="3" t="s">
        <v>2410</v>
      </c>
      <c r="E43" s="15">
        <v>641.64880000000005</v>
      </c>
      <c r="F43" s="120">
        <f t="shared" si="9"/>
        <v>22.885473866666668</v>
      </c>
      <c r="G43" s="120">
        <f t="shared" si="5"/>
        <v>22.218906666666665</v>
      </c>
      <c r="H43" s="120">
        <f t="shared" si="6"/>
        <v>21.795689396825395</v>
      </c>
      <c r="I43" s="120">
        <f t="shared" si="10"/>
        <v>20.804976242424242</v>
      </c>
      <c r="J43" s="120">
        <f t="shared" si="7"/>
        <v>25.665952000000001</v>
      </c>
      <c r="K43" s="114"/>
      <c r="L43" s="127">
        <f t="shared" si="8"/>
        <v>23.332683636363637</v>
      </c>
      <c r="M43" s="83"/>
    </row>
    <row r="44" spans="1:13" s="8" customFormat="1" ht="24.95" customHeight="1">
      <c r="A44" s="2" t="s">
        <v>2411</v>
      </c>
      <c r="B44" s="2" t="s">
        <v>2412</v>
      </c>
      <c r="C44" s="2"/>
      <c r="D44" s="3" t="s">
        <v>2413</v>
      </c>
      <c r="E44" s="15">
        <v>621.29599999999994</v>
      </c>
      <c r="F44" s="120">
        <f t="shared" si="9"/>
        <v>22.159557333333332</v>
      </c>
      <c r="G44" s="120">
        <f t="shared" si="5"/>
        <v>21.514133333333334</v>
      </c>
      <c r="H44" s="120">
        <f t="shared" si="6"/>
        <v>21.104340317460316</v>
      </c>
      <c r="I44" s="120">
        <f t="shared" si="10"/>
        <v>20.145052121212121</v>
      </c>
      <c r="J44" s="120">
        <f t="shared" si="7"/>
        <v>24.851839999999996</v>
      </c>
      <c r="K44" s="114"/>
      <c r="L44" s="127">
        <f t="shared" si="8"/>
        <v>22.592581818181817</v>
      </c>
      <c r="M44" s="83"/>
    </row>
    <row r="45" spans="1:13" s="8" customFormat="1" ht="24.95" customHeight="1">
      <c r="A45" s="2" t="s">
        <v>2414</v>
      </c>
      <c r="B45" s="2" t="s">
        <v>2415</v>
      </c>
      <c r="C45" s="2"/>
      <c r="D45" s="3" t="s">
        <v>2416</v>
      </c>
      <c r="E45" s="15">
        <v>717.70400000000006</v>
      </c>
      <c r="F45" s="120">
        <f t="shared" si="9"/>
        <v>25.598109333333337</v>
      </c>
      <c r="G45" s="120">
        <f t="shared" si="5"/>
        <v>24.852533333333337</v>
      </c>
      <c r="H45" s="120">
        <f t="shared" si="6"/>
        <v>24.379151746031749</v>
      </c>
      <c r="I45" s="120">
        <f t="shared" si="10"/>
        <v>23.271008484848487</v>
      </c>
      <c r="J45" s="120">
        <f t="shared" si="7"/>
        <v>28.708160000000003</v>
      </c>
      <c r="K45" s="114"/>
      <c r="L45" s="127">
        <f t="shared" si="8"/>
        <v>26.098327272727275</v>
      </c>
      <c r="M45" s="83"/>
    </row>
    <row r="46" spans="1:13" s="8" customFormat="1" ht="24.95" customHeight="1">
      <c r="A46" s="2" t="s">
        <v>2417</v>
      </c>
      <c r="B46" s="2" t="s">
        <v>2418</v>
      </c>
      <c r="C46" s="2"/>
      <c r="D46" s="3" t="s">
        <v>2419</v>
      </c>
      <c r="E46" s="15">
        <v>742.34159999999997</v>
      </c>
      <c r="F46" s="120">
        <f t="shared" si="9"/>
        <v>26.4768504</v>
      </c>
      <c r="G46" s="120">
        <f t="shared" si="5"/>
        <v>25.705679999999997</v>
      </c>
      <c r="H46" s="120">
        <f t="shared" si="6"/>
        <v>25.216047999999997</v>
      </c>
      <c r="I46" s="120">
        <f t="shared" si="10"/>
        <v>24.069863999999999</v>
      </c>
      <c r="J46" s="120">
        <f t="shared" si="7"/>
        <v>29.693663999999998</v>
      </c>
      <c r="K46" s="114"/>
      <c r="L46" s="127">
        <f t="shared" si="8"/>
        <v>26.994239999999998</v>
      </c>
      <c r="M46" s="83"/>
    </row>
    <row r="47" spans="1:13" s="8" customFormat="1" ht="24.95" customHeight="1">
      <c r="A47" s="2" t="s">
        <v>2420</v>
      </c>
      <c r="B47" s="2" t="s">
        <v>2421</v>
      </c>
      <c r="C47" s="2"/>
      <c r="D47" s="3" t="s">
        <v>2422</v>
      </c>
      <c r="E47" s="15">
        <v>652.36079999999993</v>
      </c>
      <c r="F47" s="120">
        <f t="shared" si="9"/>
        <v>23.267535199999998</v>
      </c>
      <c r="G47" s="120">
        <f t="shared" si="5"/>
        <v>22.589839999999999</v>
      </c>
      <c r="H47" s="120">
        <f t="shared" si="6"/>
        <v>22.159557333333332</v>
      </c>
      <c r="I47" s="120">
        <f t="shared" si="10"/>
        <v>21.152304727272725</v>
      </c>
      <c r="J47" s="120">
        <f t="shared" si="7"/>
        <v>26.094431999999994</v>
      </c>
      <c r="K47" s="114"/>
      <c r="L47" s="127">
        <f t="shared" si="8"/>
        <v>23.722210909090904</v>
      </c>
      <c r="M47" s="83"/>
    </row>
    <row r="48" spans="1:13" s="8" customFormat="1" ht="24.95" customHeight="1">
      <c r="A48" s="2" t="s">
        <v>2423</v>
      </c>
      <c r="B48" s="2" t="s">
        <v>2424</v>
      </c>
      <c r="C48" s="2"/>
      <c r="D48" s="3" t="s">
        <v>2425</v>
      </c>
      <c r="E48" s="15">
        <v>642.72</v>
      </c>
      <c r="F48" s="120">
        <f t="shared" si="9"/>
        <v>22.923680000000001</v>
      </c>
      <c r="G48" s="120">
        <f t="shared" si="5"/>
        <v>22.256</v>
      </c>
      <c r="H48" s="120">
        <f t="shared" si="6"/>
        <v>21.83207619047619</v>
      </c>
      <c r="I48" s="120">
        <f t="shared" si="10"/>
        <v>20.839709090909089</v>
      </c>
      <c r="J48" s="120">
        <f t="shared" si="7"/>
        <v>25.7088</v>
      </c>
      <c r="K48" s="114"/>
      <c r="L48" s="127">
        <f t="shared" si="8"/>
        <v>23.371636363636362</v>
      </c>
      <c r="M48" s="83"/>
    </row>
    <row r="49" spans="1:13" s="8" customFormat="1" ht="24.95" customHeight="1">
      <c r="A49" s="2" t="s">
        <v>2426</v>
      </c>
      <c r="B49" s="2" t="s">
        <v>2427</v>
      </c>
      <c r="C49" s="2"/>
      <c r="D49" s="3" t="s">
        <v>2428</v>
      </c>
      <c r="E49" s="15">
        <v>653.43200000000002</v>
      </c>
      <c r="F49" s="120">
        <f t="shared" si="9"/>
        <v>23.305741333333337</v>
      </c>
      <c r="G49" s="120">
        <f t="shared" si="5"/>
        <v>22.626933333333334</v>
      </c>
      <c r="H49" s="120">
        <f t="shared" si="6"/>
        <v>22.195944126984127</v>
      </c>
      <c r="I49" s="120">
        <f t="shared" si="10"/>
        <v>21.187037575757579</v>
      </c>
      <c r="J49" s="120">
        <f t="shared" si="7"/>
        <v>26.137279999999997</v>
      </c>
      <c r="K49" s="114"/>
      <c r="L49" s="127">
        <f t="shared" si="8"/>
        <v>23.761163636363634</v>
      </c>
      <c r="M49" s="83"/>
    </row>
    <row r="50" spans="1:13" s="8" customFormat="1" ht="24.95" customHeight="1">
      <c r="A50" s="2" t="s">
        <v>2429</v>
      </c>
      <c r="B50" s="2" t="s">
        <v>2430</v>
      </c>
      <c r="C50" s="2"/>
      <c r="D50" s="3" t="s">
        <v>2431</v>
      </c>
      <c r="E50" s="15">
        <v>739.12800000000004</v>
      </c>
      <c r="F50" s="120">
        <f t="shared" si="9"/>
        <v>26.362232000000002</v>
      </c>
      <c r="G50" s="120">
        <f t="shared" si="5"/>
        <v>25.594400000000004</v>
      </c>
      <c r="H50" s="120">
        <f t="shared" si="6"/>
        <v>25.106887619047622</v>
      </c>
      <c r="I50" s="120">
        <f t="shared" si="10"/>
        <v>23.965665454545459</v>
      </c>
      <c r="J50" s="120">
        <f t="shared" si="7"/>
        <v>29.56512</v>
      </c>
      <c r="K50" s="114"/>
      <c r="L50" s="127">
        <f t="shared" si="8"/>
        <v>26.877381818181821</v>
      </c>
      <c r="M50" s="83"/>
    </row>
    <row r="51" spans="1:13" s="8" customFormat="1" ht="24.95" customHeight="1">
      <c r="A51" s="2" t="s">
        <v>2432</v>
      </c>
      <c r="B51" s="2" t="s">
        <v>2433</v>
      </c>
      <c r="C51" s="2"/>
      <c r="D51" s="3" t="s">
        <v>2434</v>
      </c>
      <c r="E51" s="15">
        <v>863.38720000000012</v>
      </c>
      <c r="F51" s="120">
        <f t="shared" si="9"/>
        <v>30.794143466666675</v>
      </c>
      <c r="G51" s="120">
        <f t="shared" si="5"/>
        <v>29.897226666666672</v>
      </c>
      <c r="H51" s="120">
        <f t="shared" si="6"/>
        <v>29.327755682539689</v>
      </c>
      <c r="I51" s="120">
        <f t="shared" si="10"/>
        <v>27.994675878787884</v>
      </c>
      <c r="J51" s="120">
        <f t="shared" si="7"/>
        <v>34.535488000000001</v>
      </c>
      <c r="K51" s="114"/>
      <c r="L51" s="127">
        <f t="shared" si="8"/>
        <v>31.395898181818183</v>
      </c>
      <c r="M51" s="83"/>
    </row>
    <row r="52" spans="1:13" s="8" customFormat="1" ht="24.95" customHeight="1">
      <c r="A52" s="2" t="s">
        <v>2435</v>
      </c>
      <c r="B52" s="2" t="s">
        <v>2436</v>
      </c>
      <c r="C52" s="2"/>
      <c r="D52" s="3" t="s">
        <v>2437</v>
      </c>
      <c r="E52" s="15">
        <v>760.55200000000002</v>
      </c>
      <c r="F52" s="120">
        <f t="shared" si="9"/>
        <v>27.126354666666668</v>
      </c>
      <c r="G52" s="120">
        <f t="shared" si="5"/>
        <v>26.336266666666667</v>
      </c>
      <c r="H52" s="120">
        <f t="shared" si="6"/>
        <v>25.834623492063493</v>
      </c>
      <c r="I52" s="120">
        <f t="shared" si="10"/>
        <v>24.660322424242423</v>
      </c>
      <c r="J52" s="120">
        <f t="shared" si="7"/>
        <v>30.422080000000001</v>
      </c>
      <c r="K52" s="114"/>
      <c r="L52" s="127">
        <f t="shared" si="8"/>
        <v>27.656436363636367</v>
      </c>
      <c r="M52" s="83"/>
    </row>
    <row r="53" spans="1:13" s="8" customFormat="1" ht="24.95" customHeight="1">
      <c r="A53" s="2" t="s">
        <v>2438</v>
      </c>
      <c r="B53" s="2" t="s">
        <v>2439</v>
      </c>
      <c r="C53" s="2"/>
      <c r="D53" s="3" t="s">
        <v>2440</v>
      </c>
      <c r="E53" s="15">
        <v>749.84</v>
      </c>
      <c r="F53" s="120">
        <f t="shared" si="9"/>
        <v>26.744293333333339</v>
      </c>
      <c r="G53" s="120">
        <f t="shared" si="5"/>
        <v>25.965333333333341</v>
      </c>
      <c r="H53" s="120">
        <f t="shared" si="6"/>
        <v>25.470755555555563</v>
      </c>
      <c r="I53" s="120">
        <f t="shared" si="10"/>
        <v>24.312993939393944</v>
      </c>
      <c r="J53" s="120">
        <f t="shared" si="7"/>
        <v>29.993600000000001</v>
      </c>
      <c r="K53" s="114"/>
      <c r="L53" s="127">
        <f t="shared" si="8"/>
        <v>27.266909090909092</v>
      </c>
      <c r="M53" s="83"/>
    </row>
    <row r="54" spans="1:13" s="8" customFormat="1" ht="24.95" customHeight="1">
      <c r="A54" s="2" t="s">
        <v>2441</v>
      </c>
      <c r="B54" s="2" t="s">
        <v>2442</v>
      </c>
      <c r="C54" s="2"/>
      <c r="D54" s="3" t="s">
        <v>2443</v>
      </c>
      <c r="E54" s="15">
        <v>728.41599999999994</v>
      </c>
      <c r="F54" s="120">
        <f t="shared" si="9"/>
        <v>25.980170666666666</v>
      </c>
      <c r="G54" s="120">
        <f t="shared" si="5"/>
        <v>25.223466666666667</v>
      </c>
      <c r="H54" s="120">
        <f t="shared" si="6"/>
        <v>24.743019682539682</v>
      </c>
      <c r="I54" s="120">
        <f t="shared" si="10"/>
        <v>23.618336969696969</v>
      </c>
      <c r="J54" s="120">
        <f t="shared" si="7"/>
        <v>29.136639999999996</v>
      </c>
      <c r="K54" s="114"/>
      <c r="L54" s="127">
        <f t="shared" si="8"/>
        <v>26.487854545454542</v>
      </c>
      <c r="M54" s="83"/>
    </row>
    <row r="55" spans="1:13" s="8" customFormat="1" ht="24.95" customHeight="1">
      <c r="A55" s="2" t="s">
        <v>2444</v>
      </c>
      <c r="B55" s="2" t="s">
        <v>2445</v>
      </c>
      <c r="C55" s="2"/>
      <c r="D55" s="3" t="s">
        <v>2446</v>
      </c>
      <c r="E55" s="15">
        <v>728.41599999999994</v>
      </c>
      <c r="F55" s="120">
        <f t="shared" si="9"/>
        <v>25.980170666666666</v>
      </c>
      <c r="G55" s="120">
        <f t="shared" si="5"/>
        <v>25.223466666666667</v>
      </c>
      <c r="H55" s="120">
        <f t="shared" si="6"/>
        <v>24.743019682539682</v>
      </c>
      <c r="I55" s="120">
        <f t="shared" si="10"/>
        <v>23.618336969696969</v>
      </c>
      <c r="J55" s="120">
        <f t="shared" si="7"/>
        <v>29.136639999999996</v>
      </c>
      <c r="K55" s="114"/>
      <c r="L55" s="127">
        <f t="shared" si="8"/>
        <v>26.487854545454542</v>
      </c>
      <c r="M55" s="83"/>
    </row>
    <row r="56" spans="1:13" s="8" customFormat="1" ht="24.95" customHeight="1">
      <c r="A56" s="2" t="s">
        <v>2447</v>
      </c>
      <c r="B56" s="2" t="s">
        <v>2448</v>
      </c>
      <c r="C56" s="2"/>
      <c r="D56" s="3" t="s">
        <v>2449</v>
      </c>
      <c r="E56" s="15">
        <v>728.41599999999994</v>
      </c>
      <c r="F56" s="120">
        <f t="shared" si="9"/>
        <v>25.980170666666666</v>
      </c>
      <c r="G56" s="120">
        <f t="shared" si="5"/>
        <v>25.223466666666667</v>
      </c>
      <c r="H56" s="120">
        <f t="shared" si="6"/>
        <v>24.743019682539682</v>
      </c>
      <c r="I56" s="120">
        <f t="shared" si="10"/>
        <v>23.618336969696969</v>
      </c>
      <c r="J56" s="120">
        <f t="shared" si="7"/>
        <v>29.136639999999996</v>
      </c>
      <c r="K56" s="114"/>
      <c r="L56" s="127">
        <f t="shared" si="8"/>
        <v>26.487854545454542</v>
      </c>
      <c r="M56" s="83"/>
    </row>
    <row r="57" spans="1:13" s="8" customFormat="1" ht="24.95" customHeight="1">
      <c r="A57" s="2" t="s">
        <v>2450</v>
      </c>
      <c r="B57" s="2" t="s">
        <v>2451</v>
      </c>
      <c r="C57" s="2"/>
      <c r="D57" s="3" t="s">
        <v>2452</v>
      </c>
      <c r="E57" s="15">
        <v>739.12800000000004</v>
      </c>
      <c r="F57" s="120">
        <f t="shared" si="9"/>
        <v>26.362232000000002</v>
      </c>
      <c r="G57" s="120">
        <f t="shared" si="5"/>
        <v>25.594400000000004</v>
      </c>
      <c r="H57" s="120">
        <f t="shared" si="6"/>
        <v>25.106887619047622</v>
      </c>
      <c r="I57" s="120">
        <f t="shared" si="10"/>
        <v>23.965665454545459</v>
      </c>
      <c r="J57" s="120">
        <f t="shared" si="7"/>
        <v>29.56512</v>
      </c>
      <c r="K57" s="114"/>
      <c r="L57" s="127">
        <f t="shared" si="8"/>
        <v>26.877381818181821</v>
      </c>
      <c r="M57" s="83"/>
    </row>
    <row r="58" spans="1:13" s="8" customFormat="1" ht="24.95" customHeight="1">
      <c r="A58" s="2" t="s">
        <v>2453</v>
      </c>
      <c r="B58" s="2" t="s">
        <v>2454</v>
      </c>
      <c r="C58" s="2"/>
      <c r="D58" s="3" t="s">
        <v>2455</v>
      </c>
      <c r="E58" s="15">
        <v>674.85599999999999</v>
      </c>
      <c r="F58" s="120">
        <f t="shared" si="9"/>
        <v>24.069864000000003</v>
      </c>
      <c r="G58" s="120">
        <f t="shared" si="5"/>
        <v>23.368800000000004</v>
      </c>
      <c r="H58" s="120">
        <f t="shared" si="6"/>
        <v>22.923680000000001</v>
      </c>
      <c r="I58" s="120">
        <f t="shared" si="10"/>
        <v>21.881694545454547</v>
      </c>
      <c r="J58" s="120">
        <f t="shared" si="7"/>
        <v>26.994239999999998</v>
      </c>
      <c r="K58" s="114"/>
      <c r="L58" s="127">
        <f t="shared" si="8"/>
        <v>24.540218181818179</v>
      </c>
      <c r="M58" s="83"/>
    </row>
    <row r="59" spans="1:13" s="8" customFormat="1" ht="24.95" customHeight="1">
      <c r="A59" s="2" t="s">
        <v>2456</v>
      </c>
      <c r="B59" s="2" t="s">
        <v>2457</v>
      </c>
      <c r="C59" s="2"/>
      <c r="D59" s="3" t="s">
        <v>2458</v>
      </c>
      <c r="E59" s="15">
        <v>765.90800000000002</v>
      </c>
      <c r="F59" s="120">
        <f t="shared" si="9"/>
        <v>27.317385333333334</v>
      </c>
      <c r="G59" s="120">
        <f t="shared" si="5"/>
        <v>26.521733333333334</v>
      </c>
      <c r="H59" s="120">
        <f t="shared" si="6"/>
        <v>26.016557460317458</v>
      </c>
      <c r="I59" s="120">
        <f t="shared" si="10"/>
        <v>24.833986666666664</v>
      </c>
      <c r="J59" s="120">
        <f t="shared" si="7"/>
        <v>30.636320000000001</v>
      </c>
      <c r="K59" s="114"/>
      <c r="L59" s="127">
        <f t="shared" si="8"/>
        <v>27.851200000000002</v>
      </c>
      <c r="M59" s="83"/>
    </row>
    <row r="60" spans="1:13" s="8" customFormat="1" ht="24.95" customHeight="1">
      <c r="A60" s="2" t="s">
        <v>2459</v>
      </c>
      <c r="B60" s="2" t="s">
        <v>2460</v>
      </c>
      <c r="C60" s="2"/>
      <c r="D60" s="3" t="s">
        <v>2461</v>
      </c>
      <c r="E60" s="15">
        <v>706.99200000000008</v>
      </c>
      <c r="F60" s="120">
        <f t="shared" si="9"/>
        <v>25.216048000000004</v>
      </c>
      <c r="G60" s="120">
        <f t="shared" si="5"/>
        <v>24.481600000000004</v>
      </c>
      <c r="H60" s="120">
        <f t="shared" si="6"/>
        <v>24.015283809523815</v>
      </c>
      <c r="I60" s="120">
        <f t="shared" si="10"/>
        <v>22.923680000000004</v>
      </c>
      <c r="J60" s="120">
        <f t="shared" si="7"/>
        <v>28.279680000000003</v>
      </c>
      <c r="K60" s="114"/>
      <c r="L60" s="127">
        <f t="shared" si="8"/>
        <v>25.708800000000004</v>
      </c>
      <c r="M60" s="83"/>
    </row>
    <row r="61" spans="1:13" s="8" customFormat="1" ht="24.95" customHeight="1">
      <c r="A61" s="2" t="s">
        <v>2462</v>
      </c>
      <c r="B61" s="2" t="s">
        <v>2463</v>
      </c>
      <c r="C61" s="2" t="s">
        <v>8660</v>
      </c>
      <c r="D61" s="3" t="s">
        <v>2464</v>
      </c>
      <c r="E61" s="15">
        <v>760.55200000000002</v>
      </c>
      <c r="F61" s="120">
        <f t="shared" si="9"/>
        <v>27.126354666666668</v>
      </c>
      <c r="G61" s="120">
        <f t="shared" si="5"/>
        <v>26.336266666666667</v>
      </c>
      <c r="H61" s="120">
        <f t="shared" si="6"/>
        <v>25.834623492063493</v>
      </c>
      <c r="I61" s="120">
        <f t="shared" si="10"/>
        <v>24.660322424242423</v>
      </c>
      <c r="J61" s="120">
        <f t="shared" si="7"/>
        <v>30.422080000000001</v>
      </c>
      <c r="K61" s="114"/>
      <c r="L61" s="127">
        <f t="shared" si="8"/>
        <v>27.656436363636367</v>
      </c>
      <c r="M61" s="83"/>
    </row>
    <row r="62" spans="1:13" s="8" customFormat="1" ht="24.95" customHeight="1">
      <c r="A62" s="2" t="s">
        <v>2465</v>
      </c>
      <c r="B62" s="2" t="s">
        <v>2466</v>
      </c>
      <c r="C62" s="2"/>
      <c r="D62" s="3" t="s">
        <v>2467</v>
      </c>
      <c r="E62" s="15">
        <v>632.00800000000004</v>
      </c>
      <c r="F62" s="120">
        <f t="shared" si="9"/>
        <v>22.541618666666672</v>
      </c>
      <c r="G62" s="120">
        <f t="shared" si="5"/>
        <v>21.885066666666674</v>
      </c>
      <c r="H62" s="120">
        <f t="shared" si="6"/>
        <v>21.46820825396826</v>
      </c>
      <c r="I62" s="120">
        <f t="shared" si="10"/>
        <v>20.49238060606061</v>
      </c>
      <c r="J62" s="120">
        <f t="shared" si="7"/>
        <v>25.280320000000003</v>
      </c>
      <c r="K62" s="114"/>
      <c r="L62" s="127">
        <f t="shared" si="8"/>
        <v>22.982109090909091</v>
      </c>
      <c r="M62" s="83"/>
    </row>
    <row r="63" spans="1:13" s="8" customFormat="1" ht="24.95" customHeight="1">
      <c r="A63" s="2" t="s">
        <v>2468</v>
      </c>
      <c r="B63" s="2" t="s">
        <v>2469</v>
      </c>
      <c r="C63" s="2"/>
      <c r="D63" s="3" t="s">
        <v>2470</v>
      </c>
      <c r="E63" s="15">
        <v>674.85599999999999</v>
      </c>
      <c r="F63" s="120">
        <f t="shared" si="9"/>
        <v>24.069864000000003</v>
      </c>
      <c r="G63" s="120">
        <f t="shared" si="5"/>
        <v>23.368800000000004</v>
      </c>
      <c r="H63" s="120">
        <f t="shared" si="6"/>
        <v>22.923680000000001</v>
      </c>
      <c r="I63" s="120">
        <f t="shared" si="10"/>
        <v>21.881694545454547</v>
      </c>
      <c r="J63" s="120">
        <f t="shared" si="7"/>
        <v>26.994239999999998</v>
      </c>
      <c r="K63" s="114"/>
      <c r="L63" s="127">
        <f t="shared" si="8"/>
        <v>24.540218181818179</v>
      </c>
      <c r="M63" s="83"/>
    </row>
    <row r="64" spans="1:13" s="8" customFormat="1" ht="24.95" customHeight="1">
      <c r="A64" s="2" t="s">
        <v>2471</v>
      </c>
      <c r="B64" s="2" t="s">
        <v>2472</v>
      </c>
      <c r="C64" s="2"/>
      <c r="D64" s="3" t="s">
        <v>2473</v>
      </c>
      <c r="E64" s="15">
        <v>650</v>
      </c>
      <c r="F64" s="120">
        <f t="shared" si="9"/>
        <v>23.183333333333334</v>
      </c>
      <c r="G64" s="120">
        <f t="shared" si="5"/>
        <v>22.508090614886733</v>
      </c>
      <c r="H64" s="120">
        <f t="shared" si="6"/>
        <v>22.079365079365079</v>
      </c>
      <c r="I64" s="120">
        <f t="shared" si="10"/>
        <v>21.075757575757578</v>
      </c>
      <c r="J64" s="120">
        <f t="shared" si="7"/>
        <v>26</v>
      </c>
      <c r="K64" s="114"/>
      <c r="L64" s="127">
        <f t="shared" si="8"/>
        <v>23.636363636363637</v>
      </c>
      <c r="M64" s="83">
        <v>45380</v>
      </c>
    </row>
    <row r="65" spans="1:15" s="8" customFormat="1" ht="24.95" customHeight="1">
      <c r="A65" s="2" t="s">
        <v>2474</v>
      </c>
      <c r="B65" s="2" t="s">
        <v>2475</v>
      </c>
      <c r="C65" s="2"/>
      <c r="D65" s="3" t="s">
        <v>2476</v>
      </c>
      <c r="E65" s="15">
        <v>697.35119999999995</v>
      </c>
      <c r="F65" s="120">
        <f t="shared" si="9"/>
        <v>24.872192800000001</v>
      </c>
      <c r="G65" s="120">
        <f t="shared" si="5"/>
        <v>24.147760000000002</v>
      </c>
      <c r="H65" s="120">
        <f t="shared" si="6"/>
        <v>23.68780266666667</v>
      </c>
      <c r="I65" s="120">
        <f t="shared" si="10"/>
        <v>22.611084363636365</v>
      </c>
      <c r="J65" s="120">
        <f t="shared" si="7"/>
        <v>27.894047999999998</v>
      </c>
      <c r="K65" s="114"/>
      <c r="L65" s="127">
        <f t="shared" si="8"/>
        <v>25.358225454545451</v>
      </c>
      <c r="M65" s="83"/>
    </row>
    <row r="66" spans="1:15" s="8" customFormat="1" ht="24.95" customHeight="1">
      <c r="A66" s="2" t="s">
        <v>2477</v>
      </c>
      <c r="B66" s="2" t="s">
        <v>2478</v>
      </c>
      <c r="C66" s="2"/>
      <c r="D66" s="3" t="s">
        <v>2479</v>
      </c>
      <c r="E66" s="15">
        <v>728.41599999999994</v>
      </c>
      <c r="F66" s="120">
        <f t="shared" si="9"/>
        <v>25.980170666666666</v>
      </c>
      <c r="G66" s="120">
        <f t="shared" si="5"/>
        <v>25.223466666666667</v>
      </c>
      <c r="H66" s="120">
        <f t="shared" si="6"/>
        <v>24.743019682539682</v>
      </c>
      <c r="I66" s="120">
        <f t="shared" si="10"/>
        <v>23.618336969696969</v>
      </c>
      <c r="J66" s="120">
        <f t="shared" si="7"/>
        <v>29.136639999999996</v>
      </c>
      <c r="K66" s="114"/>
      <c r="L66" s="127">
        <f t="shared" si="8"/>
        <v>26.487854545454542</v>
      </c>
      <c r="M66" s="83"/>
    </row>
    <row r="67" spans="1:15" s="8" customFormat="1" ht="24.95" customHeight="1">
      <c r="A67" s="2" t="s">
        <v>2480</v>
      </c>
      <c r="B67" s="2" t="s">
        <v>2481</v>
      </c>
      <c r="C67" s="2"/>
      <c r="D67" s="3" t="s">
        <v>2482</v>
      </c>
      <c r="E67" s="15">
        <v>674.85599999999999</v>
      </c>
      <c r="F67" s="120">
        <f t="shared" si="9"/>
        <v>24.069864000000003</v>
      </c>
      <c r="G67" s="120">
        <f t="shared" si="5"/>
        <v>23.368800000000004</v>
      </c>
      <c r="H67" s="120">
        <f t="shared" si="6"/>
        <v>22.923680000000001</v>
      </c>
      <c r="I67" s="120">
        <f t="shared" si="10"/>
        <v>21.881694545454547</v>
      </c>
      <c r="J67" s="120">
        <f t="shared" si="7"/>
        <v>26.994239999999998</v>
      </c>
      <c r="K67" s="114"/>
      <c r="L67" s="127">
        <f t="shared" si="8"/>
        <v>24.540218181818179</v>
      </c>
      <c r="M67" s="83"/>
    </row>
    <row r="68" spans="1:15" s="8" customFormat="1" ht="24.95" customHeight="1">
      <c r="A68" s="2" t="s">
        <v>2483</v>
      </c>
      <c r="B68" s="2" t="s">
        <v>2484</v>
      </c>
      <c r="C68" s="2"/>
      <c r="D68" s="3" t="s">
        <v>2485</v>
      </c>
      <c r="E68" s="15">
        <v>696.28</v>
      </c>
      <c r="F68" s="120">
        <f t="shared" si="9"/>
        <v>24.833986666666664</v>
      </c>
      <c r="G68" s="120">
        <f t="shared" ref="G68:G131" si="11">F68*100/103</f>
        <v>24.110666666666663</v>
      </c>
      <c r="H68" s="120">
        <f t="shared" ref="H68:H131" si="12">F68*100/105</f>
        <v>23.651415873015871</v>
      </c>
      <c r="I68" s="120">
        <f t="shared" si="10"/>
        <v>22.576351515151515</v>
      </c>
      <c r="J68" s="120">
        <f t="shared" ref="J68:J131" si="13">+(E68*1.2/30)</f>
        <v>27.851199999999999</v>
      </c>
      <c r="K68" s="114"/>
      <c r="L68" s="127">
        <f t="shared" ref="L68:L131" si="14">+(E68*1.2/33)</f>
        <v>25.319272727272725</v>
      </c>
      <c r="M68" s="83"/>
    </row>
    <row r="69" spans="1:15" s="8" customFormat="1" ht="24.95" customHeight="1">
      <c r="A69" s="2" t="s">
        <v>2486</v>
      </c>
      <c r="B69" s="2" t="s">
        <v>2487</v>
      </c>
      <c r="C69" s="2"/>
      <c r="D69" s="3" t="s">
        <v>2488</v>
      </c>
      <c r="E69" s="15">
        <v>599.87200000000007</v>
      </c>
      <c r="F69" s="120">
        <f t="shared" si="9"/>
        <v>21.39543466666667</v>
      </c>
      <c r="G69" s="120">
        <f t="shared" si="11"/>
        <v>20.77226666666667</v>
      </c>
      <c r="H69" s="120">
        <f t="shared" si="12"/>
        <v>20.376604444444446</v>
      </c>
      <c r="I69" s="120">
        <f t="shared" si="10"/>
        <v>19.450395151515153</v>
      </c>
      <c r="J69" s="120">
        <f t="shared" si="13"/>
        <v>23.994880000000002</v>
      </c>
      <c r="K69" s="114"/>
      <c r="L69" s="127">
        <f t="shared" si="14"/>
        <v>21.813527272727274</v>
      </c>
      <c r="M69" s="83"/>
    </row>
    <row r="70" spans="1:15" s="8" customFormat="1" ht="24.95" customHeight="1">
      <c r="A70" s="2" t="s">
        <v>2489</v>
      </c>
      <c r="B70" s="2" t="s">
        <v>2490</v>
      </c>
      <c r="C70" s="2"/>
      <c r="D70" s="3" t="s">
        <v>2491</v>
      </c>
      <c r="E70" s="15">
        <v>674.85599999999999</v>
      </c>
      <c r="F70" s="120">
        <f t="shared" ref="F70:F133" si="15">+(E70*1.07/30)</f>
        <v>24.069864000000003</v>
      </c>
      <c r="G70" s="120">
        <f t="shared" si="11"/>
        <v>23.368800000000004</v>
      </c>
      <c r="H70" s="120">
        <f t="shared" si="12"/>
        <v>22.923680000000001</v>
      </c>
      <c r="I70" s="120">
        <f t="shared" si="10"/>
        <v>21.881694545454547</v>
      </c>
      <c r="J70" s="120">
        <f t="shared" si="13"/>
        <v>26.994239999999998</v>
      </c>
      <c r="K70" s="114"/>
      <c r="L70" s="127">
        <f t="shared" si="14"/>
        <v>24.540218181818179</v>
      </c>
      <c r="M70" s="83"/>
    </row>
    <row r="71" spans="1:15" s="8" customFormat="1" ht="24.95" customHeight="1">
      <c r="A71" s="2" t="s">
        <v>2492</v>
      </c>
      <c r="B71" s="2" t="s">
        <v>2493</v>
      </c>
      <c r="C71" s="2"/>
      <c r="D71" s="3" t="s">
        <v>2494</v>
      </c>
      <c r="E71" s="15">
        <v>599.87200000000007</v>
      </c>
      <c r="F71" s="120">
        <f t="shared" si="15"/>
        <v>21.39543466666667</v>
      </c>
      <c r="G71" s="120">
        <f t="shared" si="11"/>
        <v>20.77226666666667</v>
      </c>
      <c r="H71" s="120">
        <f t="shared" si="12"/>
        <v>20.376604444444446</v>
      </c>
      <c r="I71" s="120">
        <f t="shared" si="10"/>
        <v>19.450395151515153</v>
      </c>
      <c r="J71" s="120">
        <f t="shared" si="13"/>
        <v>23.994880000000002</v>
      </c>
      <c r="K71" s="114"/>
      <c r="L71" s="127">
        <f t="shared" si="14"/>
        <v>21.813527272727274</v>
      </c>
      <c r="M71" s="83"/>
    </row>
    <row r="72" spans="1:15" s="8" customFormat="1" ht="24.95" customHeight="1">
      <c r="A72" s="2" t="s">
        <v>2495</v>
      </c>
      <c r="B72" s="2" t="s">
        <v>2496</v>
      </c>
      <c r="C72" s="2"/>
      <c r="D72" s="3" t="s">
        <v>2497</v>
      </c>
      <c r="E72" s="15">
        <v>642.72</v>
      </c>
      <c r="F72" s="120">
        <f t="shared" si="15"/>
        <v>22.923680000000001</v>
      </c>
      <c r="G72" s="120">
        <f t="shared" si="11"/>
        <v>22.256</v>
      </c>
      <c r="H72" s="120">
        <f t="shared" si="12"/>
        <v>21.83207619047619</v>
      </c>
      <c r="I72" s="120">
        <f t="shared" si="10"/>
        <v>20.839709090909089</v>
      </c>
      <c r="J72" s="120">
        <f t="shared" si="13"/>
        <v>25.7088</v>
      </c>
      <c r="K72" s="114"/>
      <c r="L72" s="127">
        <f t="shared" si="14"/>
        <v>23.371636363636362</v>
      </c>
      <c r="M72" s="83"/>
    </row>
    <row r="73" spans="1:15" s="8" customFormat="1" ht="24.95" customHeight="1">
      <c r="A73" s="2" t="s">
        <v>2498</v>
      </c>
      <c r="B73" s="2" t="s">
        <v>2499</v>
      </c>
      <c r="C73" s="2"/>
      <c r="D73" s="3" t="s">
        <v>2500</v>
      </c>
      <c r="E73" s="15">
        <v>674.85599999999999</v>
      </c>
      <c r="F73" s="120">
        <f t="shared" si="15"/>
        <v>24.069864000000003</v>
      </c>
      <c r="G73" s="120">
        <f t="shared" si="11"/>
        <v>23.368800000000004</v>
      </c>
      <c r="H73" s="120">
        <f t="shared" si="12"/>
        <v>22.923680000000001</v>
      </c>
      <c r="I73" s="120">
        <f t="shared" ref="I73:I136" si="16">F73*100/110</f>
        <v>21.881694545454547</v>
      </c>
      <c r="J73" s="120">
        <f t="shared" si="13"/>
        <v>26.994239999999998</v>
      </c>
      <c r="K73" s="114"/>
      <c r="L73" s="127">
        <f t="shared" si="14"/>
        <v>24.540218181818179</v>
      </c>
      <c r="M73" s="83"/>
    </row>
    <row r="74" spans="1:15" s="8" customFormat="1" ht="24.95" customHeight="1">
      <c r="A74" s="2" t="s">
        <v>2501</v>
      </c>
      <c r="B74" s="2" t="s">
        <v>2502</v>
      </c>
      <c r="C74" s="2"/>
      <c r="D74" s="3" t="s">
        <v>2503</v>
      </c>
      <c r="E74" s="15">
        <v>632.00800000000004</v>
      </c>
      <c r="F74" s="120">
        <f t="shared" si="15"/>
        <v>22.541618666666672</v>
      </c>
      <c r="G74" s="120">
        <f t="shared" si="11"/>
        <v>21.885066666666674</v>
      </c>
      <c r="H74" s="120">
        <f t="shared" si="12"/>
        <v>21.46820825396826</v>
      </c>
      <c r="I74" s="120">
        <f t="shared" si="16"/>
        <v>20.49238060606061</v>
      </c>
      <c r="J74" s="120">
        <f t="shared" si="13"/>
        <v>25.280320000000003</v>
      </c>
      <c r="K74" s="114"/>
      <c r="L74" s="127">
        <f t="shared" si="14"/>
        <v>22.982109090909091</v>
      </c>
      <c r="M74" s="83"/>
    </row>
    <row r="75" spans="1:15" s="8" customFormat="1" ht="24.95" customHeight="1">
      <c r="A75" s="2" t="s">
        <v>2504</v>
      </c>
      <c r="B75" s="2" t="s">
        <v>2505</v>
      </c>
      <c r="C75" s="2"/>
      <c r="D75" s="3" t="s">
        <v>2506</v>
      </c>
      <c r="E75" s="15">
        <v>653.43200000000002</v>
      </c>
      <c r="F75" s="120">
        <f t="shared" si="15"/>
        <v>23.305741333333337</v>
      </c>
      <c r="G75" s="120">
        <f t="shared" si="11"/>
        <v>22.626933333333334</v>
      </c>
      <c r="H75" s="120">
        <f t="shared" si="12"/>
        <v>22.195944126984127</v>
      </c>
      <c r="I75" s="120">
        <f t="shared" si="16"/>
        <v>21.187037575757579</v>
      </c>
      <c r="J75" s="120">
        <f t="shared" si="13"/>
        <v>26.137279999999997</v>
      </c>
      <c r="K75" s="114"/>
      <c r="L75" s="127">
        <f t="shared" si="14"/>
        <v>23.761163636363634</v>
      </c>
      <c r="M75" s="83"/>
    </row>
    <row r="76" spans="1:15" s="8" customFormat="1" ht="24.95" customHeight="1">
      <c r="A76" s="2" t="s">
        <v>2507</v>
      </c>
      <c r="B76" s="2" t="s">
        <v>2508</v>
      </c>
      <c r="C76" s="2"/>
      <c r="D76" s="3" t="s">
        <v>2509</v>
      </c>
      <c r="E76" s="15">
        <v>653.43200000000002</v>
      </c>
      <c r="F76" s="120">
        <f t="shared" si="15"/>
        <v>23.305741333333337</v>
      </c>
      <c r="G76" s="120">
        <f t="shared" si="11"/>
        <v>22.626933333333334</v>
      </c>
      <c r="H76" s="120">
        <f t="shared" si="12"/>
        <v>22.195944126984127</v>
      </c>
      <c r="I76" s="120">
        <f t="shared" si="16"/>
        <v>21.187037575757579</v>
      </c>
      <c r="J76" s="120">
        <f t="shared" si="13"/>
        <v>26.137279999999997</v>
      </c>
      <c r="K76" s="114"/>
      <c r="L76" s="127">
        <f t="shared" si="14"/>
        <v>23.761163636363634</v>
      </c>
      <c r="M76" s="83"/>
    </row>
    <row r="77" spans="1:15" s="8" customFormat="1" ht="24.95" customHeight="1">
      <c r="A77" s="2" t="s">
        <v>2510</v>
      </c>
      <c r="B77" s="2" t="s">
        <v>2511</v>
      </c>
      <c r="C77" s="2"/>
      <c r="D77" s="3" t="s">
        <v>2512</v>
      </c>
      <c r="E77" s="15">
        <v>706.99200000000008</v>
      </c>
      <c r="F77" s="120">
        <f t="shared" si="15"/>
        <v>25.216048000000004</v>
      </c>
      <c r="G77" s="120">
        <f t="shared" si="11"/>
        <v>24.481600000000004</v>
      </c>
      <c r="H77" s="120">
        <f t="shared" si="12"/>
        <v>24.015283809523815</v>
      </c>
      <c r="I77" s="120">
        <f t="shared" si="16"/>
        <v>22.923680000000004</v>
      </c>
      <c r="J77" s="120">
        <f t="shared" si="13"/>
        <v>28.279680000000003</v>
      </c>
      <c r="K77" s="114"/>
      <c r="L77" s="127">
        <f t="shared" si="14"/>
        <v>25.708800000000004</v>
      </c>
      <c r="M77" s="83"/>
    </row>
    <row r="78" spans="1:15" s="8" customFormat="1" ht="24.95" customHeight="1">
      <c r="A78" s="2" t="s">
        <v>2513</v>
      </c>
      <c r="B78" s="2" t="s">
        <v>2514</v>
      </c>
      <c r="C78" s="2"/>
      <c r="D78" s="3" t="s">
        <v>2515</v>
      </c>
      <c r="E78" s="15">
        <v>652.36079999999993</v>
      </c>
      <c r="F78" s="120">
        <f t="shared" si="15"/>
        <v>23.267535199999998</v>
      </c>
      <c r="G78" s="120">
        <f t="shared" si="11"/>
        <v>22.589839999999999</v>
      </c>
      <c r="H78" s="120">
        <f t="shared" si="12"/>
        <v>22.159557333333332</v>
      </c>
      <c r="I78" s="120">
        <f t="shared" si="16"/>
        <v>21.152304727272725</v>
      </c>
      <c r="J78" s="120">
        <f t="shared" si="13"/>
        <v>26.094431999999994</v>
      </c>
      <c r="K78" s="114"/>
      <c r="L78" s="127">
        <f t="shared" si="14"/>
        <v>23.722210909090904</v>
      </c>
      <c r="M78" s="83"/>
    </row>
    <row r="79" spans="1:15" s="8" customFormat="1" ht="24.95" customHeight="1">
      <c r="A79" s="2" t="s">
        <v>2516</v>
      </c>
      <c r="B79" s="2" t="s">
        <v>2517</v>
      </c>
      <c r="C79" s="2"/>
      <c r="D79" s="3" t="s">
        <v>2518</v>
      </c>
      <c r="E79" s="15">
        <v>605</v>
      </c>
      <c r="F79" s="120">
        <f t="shared" si="15"/>
        <v>21.578333333333333</v>
      </c>
      <c r="G79" s="120">
        <f t="shared" si="11"/>
        <v>20.949838187702266</v>
      </c>
      <c r="H79" s="120">
        <f t="shared" si="12"/>
        <v>20.550793650793651</v>
      </c>
      <c r="I79" s="120">
        <f t="shared" si="16"/>
        <v>19.616666666666667</v>
      </c>
      <c r="J79" s="120">
        <f t="shared" si="13"/>
        <v>24.2</v>
      </c>
      <c r="K79" s="114"/>
      <c r="L79" s="127">
        <f t="shared" si="14"/>
        <v>22</v>
      </c>
      <c r="M79" s="83"/>
      <c r="N79" s="48" t="s">
        <v>8538</v>
      </c>
      <c r="O79" s="8" t="s">
        <v>8620</v>
      </c>
    </row>
    <row r="80" spans="1:15" s="8" customFormat="1" ht="24.95" customHeight="1">
      <c r="A80" s="2" t="s">
        <v>2519</v>
      </c>
      <c r="B80" s="2" t="s">
        <v>2520</v>
      </c>
      <c r="C80" s="2"/>
      <c r="D80" s="3" t="s">
        <v>2521</v>
      </c>
      <c r="E80" s="15">
        <v>653.43200000000002</v>
      </c>
      <c r="F80" s="120">
        <f t="shared" si="15"/>
        <v>23.305741333333337</v>
      </c>
      <c r="G80" s="120">
        <f t="shared" si="11"/>
        <v>22.626933333333334</v>
      </c>
      <c r="H80" s="120">
        <f t="shared" si="12"/>
        <v>22.195944126984127</v>
      </c>
      <c r="I80" s="120">
        <f t="shared" si="16"/>
        <v>21.187037575757579</v>
      </c>
      <c r="J80" s="120">
        <f t="shared" si="13"/>
        <v>26.137279999999997</v>
      </c>
      <c r="K80" s="114"/>
      <c r="L80" s="127">
        <f t="shared" si="14"/>
        <v>23.761163636363634</v>
      </c>
      <c r="M80" s="83"/>
    </row>
    <row r="81" spans="1:13" s="8" customFormat="1" ht="24.95" customHeight="1">
      <c r="A81" s="2" t="s">
        <v>2522</v>
      </c>
      <c r="B81" s="2" t="s">
        <v>2523</v>
      </c>
      <c r="C81" s="2"/>
      <c r="D81" s="3" t="s">
        <v>2524</v>
      </c>
      <c r="E81" s="15">
        <v>567.73599999999999</v>
      </c>
      <c r="F81" s="120">
        <f t="shared" si="15"/>
        <v>20.249250666666669</v>
      </c>
      <c r="G81" s="120">
        <f t="shared" si="11"/>
        <v>19.65946666666667</v>
      </c>
      <c r="H81" s="120">
        <f t="shared" si="12"/>
        <v>19.285000634920639</v>
      </c>
      <c r="I81" s="120">
        <f t="shared" si="16"/>
        <v>18.408409696969699</v>
      </c>
      <c r="J81" s="120">
        <f t="shared" si="13"/>
        <v>22.709439999999997</v>
      </c>
      <c r="K81" s="114"/>
      <c r="L81" s="127">
        <f t="shared" si="14"/>
        <v>20.644945454545454</v>
      </c>
      <c r="M81" s="83"/>
    </row>
    <row r="82" spans="1:13" s="8" customFormat="1" ht="24.95" customHeight="1">
      <c r="A82" s="2" t="s">
        <v>2525</v>
      </c>
      <c r="B82" s="2" t="s">
        <v>2526</v>
      </c>
      <c r="C82" s="2"/>
      <c r="D82" s="3" t="s">
        <v>2527</v>
      </c>
      <c r="E82" s="15">
        <v>739.12800000000004</v>
      </c>
      <c r="F82" s="120">
        <f t="shared" si="15"/>
        <v>26.362232000000002</v>
      </c>
      <c r="G82" s="120">
        <f t="shared" si="11"/>
        <v>25.594400000000004</v>
      </c>
      <c r="H82" s="120">
        <f t="shared" si="12"/>
        <v>25.106887619047622</v>
      </c>
      <c r="I82" s="120">
        <f t="shared" si="16"/>
        <v>23.965665454545459</v>
      </c>
      <c r="J82" s="120">
        <f t="shared" si="13"/>
        <v>29.56512</v>
      </c>
      <c r="K82" s="114"/>
      <c r="L82" s="127">
        <f t="shared" si="14"/>
        <v>26.877381818181821</v>
      </c>
      <c r="M82" s="83"/>
    </row>
    <row r="83" spans="1:13" s="8" customFormat="1" ht="24.95" customHeight="1">
      <c r="A83" s="2" t="s">
        <v>2528</v>
      </c>
      <c r="B83" s="2" t="s">
        <v>2529</v>
      </c>
      <c r="C83" s="2"/>
      <c r="D83" s="3" t="s">
        <v>2530</v>
      </c>
      <c r="E83" s="15">
        <v>754.12480000000005</v>
      </c>
      <c r="F83" s="120">
        <f t="shared" si="15"/>
        <v>26.897117866666672</v>
      </c>
      <c r="G83" s="120">
        <f t="shared" si="11"/>
        <v>26.113706666666673</v>
      </c>
      <c r="H83" s="120">
        <f t="shared" si="12"/>
        <v>25.616302730158736</v>
      </c>
      <c r="I83" s="120">
        <f t="shared" si="16"/>
        <v>24.451925333333339</v>
      </c>
      <c r="J83" s="120">
        <f t="shared" si="13"/>
        <v>30.164992000000002</v>
      </c>
      <c r="K83" s="114"/>
      <c r="L83" s="127">
        <f t="shared" si="14"/>
        <v>27.422720000000002</v>
      </c>
      <c r="M83" s="83"/>
    </row>
    <row r="84" spans="1:13" s="8" customFormat="1" ht="24.95" customHeight="1">
      <c r="A84" s="2" t="s">
        <v>2531</v>
      </c>
      <c r="B84" s="2" t="s">
        <v>2532</v>
      </c>
      <c r="C84" s="2"/>
      <c r="D84" s="3" t="s">
        <v>2434</v>
      </c>
      <c r="E84" s="15">
        <v>792.6880000000001</v>
      </c>
      <c r="F84" s="120">
        <f t="shared" si="15"/>
        <v>28.272538666666673</v>
      </c>
      <c r="G84" s="120">
        <f t="shared" si="11"/>
        <v>27.449066666666674</v>
      </c>
      <c r="H84" s="120">
        <f t="shared" si="12"/>
        <v>26.926227301587307</v>
      </c>
      <c r="I84" s="120">
        <f t="shared" si="16"/>
        <v>25.702307878787884</v>
      </c>
      <c r="J84" s="120">
        <f t="shared" si="13"/>
        <v>31.707520000000002</v>
      </c>
      <c r="K84" s="114"/>
      <c r="L84" s="127">
        <f t="shared" si="14"/>
        <v>28.825018181818184</v>
      </c>
      <c r="M84" s="83"/>
    </row>
    <row r="85" spans="1:13" s="8" customFormat="1" ht="24.95" customHeight="1">
      <c r="A85" s="2" t="s">
        <v>2533</v>
      </c>
      <c r="B85" s="2" t="s">
        <v>2534</v>
      </c>
      <c r="C85" s="2"/>
      <c r="D85" s="3" t="s">
        <v>2535</v>
      </c>
      <c r="E85" s="15">
        <v>664.14400000000001</v>
      </c>
      <c r="F85" s="120">
        <f t="shared" si="15"/>
        <v>23.687802666666666</v>
      </c>
      <c r="G85" s="120">
        <f t="shared" si="11"/>
        <v>22.997866666666667</v>
      </c>
      <c r="H85" s="120">
        <f t="shared" si="12"/>
        <v>22.559812063492064</v>
      </c>
      <c r="I85" s="120">
        <f t="shared" si="16"/>
        <v>21.534366060606061</v>
      </c>
      <c r="J85" s="120">
        <f t="shared" si="13"/>
        <v>26.565760000000001</v>
      </c>
      <c r="K85" s="114"/>
      <c r="L85" s="127">
        <f t="shared" si="14"/>
        <v>24.150690909090908</v>
      </c>
      <c r="M85" s="83"/>
    </row>
    <row r="86" spans="1:13" s="8" customFormat="1" ht="24.95" customHeight="1">
      <c r="A86" s="2" t="s">
        <v>2536</v>
      </c>
      <c r="B86" s="2" t="s">
        <v>2537</v>
      </c>
      <c r="C86" s="2"/>
      <c r="D86" s="3" t="s">
        <v>2538</v>
      </c>
      <c r="E86" s="15">
        <v>760.55200000000002</v>
      </c>
      <c r="F86" s="120">
        <f t="shared" si="15"/>
        <v>27.126354666666668</v>
      </c>
      <c r="G86" s="120">
        <f t="shared" si="11"/>
        <v>26.336266666666667</v>
      </c>
      <c r="H86" s="120">
        <f t="shared" si="12"/>
        <v>25.834623492063493</v>
      </c>
      <c r="I86" s="120">
        <f t="shared" si="16"/>
        <v>24.660322424242423</v>
      </c>
      <c r="J86" s="120">
        <f t="shared" si="13"/>
        <v>30.422080000000001</v>
      </c>
      <c r="K86" s="114"/>
      <c r="L86" s="127">
        <f t="shared" si="14"/>
        <v>27.656436363636367</v>
      </c>
      <c r="M86" s="83"/>
    </row>
    <row r="87" spans="1:13" s="8" customFormat="1" ht="24.95" customHeight="1">
      <c r="A87" s="2" t="s">
        <v>2539</v>
      </c>
      <c r="B87" s="2" t="s">
        <v>2540</v>
      </c>
      <c r="C87" s="2"/>
      <c r="D87" s="3" t="s">
        <v>2541</v>
      </c>
      <c r="E87" s="15">
        <v>535.6</v>
      </c>
      <c r="F87" s="120">
        <f t="shared" si="15"/>
        <v>19.10306666666667</v>
      </c>
      <c r="G87" s="120">
        <f t="shared" si="11"/>
        <v>18.54666666666667</v>
      </c>
      <c r="H87" s="120">
        <f t="shared" si="12"/>
        <v>18.193396825396828</v>
      </c>
      <c r="I87" s="120">
        <f t="shared" si="16"/>
        <v>17.366424242424245</v>
      </c>
      <c r="J87" s="120">
        <f t="shared" si="13"/>
        <v>21.423999999999999</v>
      </c>
      <c r="K87" s="114"/>
      <c r="L87" s="127">
        <f t="shared" si="14"/>
        <v>19.476363636363637</v>
      </c>
      <c r="M87" s="83"/>
    </row>
    <row r="88" spans="1:13" s="8" customFormat="1" ht="24.95" customHeight="1">
      <c r="A88" s="2" t="s">
        <v>2542</v>
      </c>
      <c r="B88" s="2" t="s">
        <v>2543</v>
      </c>
      <c r="C88" s="2"/>
      <c r="D88" s="3" t="s">
        <v>2544</v>
      </c>
      <c r="E88" s="15">
        <v>950.15440000000001</v>
      </c>
      <c r="F88" s="120">
        <f t="shared" si="15"/>
        <v>33.888840266666669</v>
      </c>
      <c r="G88" s="120">
        <f t="shared" si="11"/>
        <v>32.901786666666673</v>
      </c>
      <c r="H88" s="120">
        <f t="shared" si="12"/>
        <v>32.275085968253975</v>
      </c>
      <c r="I88" s="120">
        <f t="shared" si="16"/>
        <v>30.808036606060611</v>
      </c>
      <c r="J88" s="120">
        <f t="shared" si="13"/>
        <v>38.006175999999996</v>
      </c>
      <c r="K88" s="114"/>
      <c r="L88" s="127">
        <f t="shared" si="14"/>
        <v>34.551069090909088</v>
      </c>
      <c r="M88" s="83"/>
    </row>
    <row r="89" spans="1:13" s="8" customFormat="1" ht="24.95" customHeight="1">
      <c r="A89" s="2" t="s">
        <v>2545</v>
      </c>
      <c r="B89" s="2" t="s">
        <v>2546</v>
      </c>
      <c r="C89" s="2"/>
      <c r="D89" s="3" t="s">
        <v>2547</v>
      </c>
      <c r="E89" s="15">
        <v>686.63920000000007</v>
      </c>
      <c r="F89" s="120">
        <f t="shared" si="15"/>
        <v>24.490131466666671</v>
      </c>
      <c r="G89" s="120">
        <f t="shared" si="11"/>
        <v>23.776826666666672</v>
      </c>
      <c r="H89" s="120">
        <f t="shared" si="12"/>
        <v>23.323934730158733</v>
      </c>
      <c r="I89" s="120">
        <f t="shared" si="16"/>
        <v>22.263755878787883</v>
      </c>
      <c r="J89" s="120">
        <f t="shared" si="13"/>
        <v>27.465568000000005</v>
      </c>
      <c r="K89" s="114"/>
      <c r="L89" s="127">
        <f t="shared" si="14"/>
        <v>24.968698181818183</v>
      </c>
      <c r="M89" s="83"/>
    </row>
    <row r="90" spans="1:13" s="8" customFormat="1" ht="24.95" customHeight="1">
      <c r="A90" s="2" t="s">
        <v>2548</v>
      </c>
      <c r="B90" s="2" t="s">
        <v>2549</v>
      </c>
      <c r="C90" s="2"/>
      <c r="D90" s="3" t="s">
        <v>2550</v>
      </c>
      <c r="E90" s="15">
        <v>632.00800000000004</v>
      </c>
      <c r="F90" s="120">
        <f t="shared" si="15"/>
        <v>22.541618666666672</v>
      </c>
      <c r="G90" s="120">
        <f t="shared" si="11"/>
        <v>21.885066666666674</v>
      </c>
      <c r="H90" s="120">
        <f t="shared" si="12"/>
        <v>21.46820825396826</v>
      </c>
      <c r="I90" s="120">
        <f t="shared" si="16"/>
        <v>20.49238060606061</v>
      </c>
      <c r="J90" s="120">
        <f t="shared" si="13"/>
        <v>25.280320000000003</v>
      </c>
      <c r="K90" s="114"/>
      <c r="L90" s="127">
        <f t="shared" si="14"/>
        <v>22.982109090909091</v>
      </c>
      <c r="M90" s="83"/>
    </row>
    <row r="91" spans="1:13" s="8" customFormat="1" ht="24.95" customHeight="1">
      <c r="A91" s="2" t="s">
        <v>2551</v>
      </c>
      <c r="B91" s="2" t="s">
        <v>2552</v>
      </c>
      <c r="C91" s="2"/>
      <c r="D91" s="3" t="s">
        <v>4</v>
      </c>
      <c r="E91" s="15">
        <v>619.15359999999998</v>
      </c>
      <c r="F91" s="120">
        <f t="shared" si="15"/>
        <v>22.083145066666667</v>
      </c>
      <c r="G91" s="120">
        <f t="shared" si="11"/>
        <v>21.439946666666668</v>
      </c>
      <c r="H91" s="120">
        <f t="shared" si="12"/>
        <v>21.03156673015873</v>
      </c>
      <c r="I91" s="120">
        <f t="shared" si="16"/>
        <v>20.075586424242424</v>
      </c>
      <c r="J91" s="120">
        <f t="shared" si="13"/>
        <v>24.766143999999997</v>
      </c>
      <c r="K91" s="114"/>
      <c r="L91" s="127">
        <f t="shared" si="14"/>
        <v>22.514676363636362</v>
      </c>
      <c r="M91" s="83"/>
    </row>
    <row r="92" spans="1:13" s="8" customFormat="1" ht="24.95" customHeight="1">
      <c r="A92" s="2" t="s">
        <v>2553</v>
      </c>
      <c r="B92" s="2" t="s">
        <v>2554</v>
      </c>
      <c r="C92" s="2"/>
      <c r="D92" s="3" t="s">
        <v>2555</v>
      </c>
      <c r="E92" s="15">
        <v>764.83680000000004</v>
      </c>
      <c r="F92" s="120">
        <f t="shared" si="15"/>
        <v>27.279179200000002</v>
      </c>
      <c r="G92" s="120">
        <f t="shared" si="11"/>
        <v>26.484640000000002</v>
      </c>
      <c r="H92" s="120">
        <f t="shared" si="12"/>
        <v>25.98017066666667</v>
      </c>
      <c r="I92" s="120">
        <f t="shared" si="16"/>
        <v>24.799253818181821</v>
      </c>
      <c r="J92" s="120">
        <f t="shared" si="13"/>
        <v>30.593472000000002</v>
      </c>
      <c r="K92" s="114"/>
      <c r="L92" s="127">
        <f t="shared" si="14"/>
        <v>27.812247272727273</v>
      </c>
      <c r="M92" s="83"/>
    </row>
    <row r="93" spans="1:13" s="8" customFormat="1" ht="24.95" customHeight="1">
      <c r="A93" s="2" t="s">
        <v>2556</v>
      </c>
      <c r="B93" s="2" t="s">
        <v>2557</v>
      </c>
      <c r="C93" s="2"/>
      <c r="D93" s="3" t="s">
        <v>2558</v>
      </c>
      <c r="E93" s="15">
        <v>652.36079999999993</v>
      </c>
      <c r="F93" s="120">
        <f t="shared" si="15"/>
        <v>23.267535199999998</v>
      </c>
      <c r="G93" s="120">
        <f t="shared" si="11"/>
        <v>22.589839999999999</v>
      </c>
      <c r="H93" s="120">
        <f t="shared" si="12"/>
        <v>22.159557333333332</v>
      </c>
      <c r="I93" s="120">
        <f t="shared" si="16"/>
        <v>21.152304727272725</v>
      </c>
      <c r="J93" s="120">
        <f t="shared" si="13"/>
        <v>26.094431999999994</v>
      </c>
      <c r="K93" s="114"/>
      <c r="L93" s="127">
        <f t="shared" si="14"/>
        <v>23.722210909090904</v>
      </c>
      <c r="M93" s="83"/>
    </row>
    <row r="94" spans="1:13" s="8" customFormat="1" ht="24.95" customHeight="1">
      <c r="A94" s="2" t="s">
        <v>2559</v>
      </c>
      <c r="B94" s="2" t="s">
        <v>2560</v>
      </c>
      <c r="C94" s="2"/>
      <c r="D94" s="3" t="s">
        <v>2561</v>
      </c>
      <c r="E94" s="15">
        <v>719.84640000000002</v>
      </c>
      <c r="F94" s="120">
        <f t="shared" si="15"/>
        <v>25.674521600000002</v>
      </c>
      <c r="G94" s="120">
        <f t="shared" si="11"/>
        <v>24.926720000000003</v>
      </c>
      <c r="H94" s="120">
        <f t="shared" si="12"/>
        <v>24.451925333333335</v>
      </c>
      <c r="I94" s="120">
        <f t="shared" si="16"/>
        <v>23.340474181818184</v>
      </c>
      <c r="J94" s="120">
        <f t="shared" si="13"/>
        <v>28.793856000000002</v>
      </c>
      <c r="K94" s="114"/>
      <c r="L94" s="127">
        <f t="shared" si="14"/>
        <v>26.17623272727273</v>
      </c>
      <c r="M94" s="83"/>
    </row>
    <row r="95" spans="1:13" s="8" customFormat="1" ht="24.95" customHeight="1">
      <c r="A95" s="2" t="s">
        <v>2562</v>
      </c>
      <c r="B95" s="2" t="s">
        <v>2563</v>
      </c>
      <c r="C95" s="2"/>
      <c r="D95" s="3" t="s">
        <v>2564</v>
      </c>
      <c r="E95" s="15">
        <v>709.13440000000003</v>
      </c>
      <c r="F95" s="120">
        <f t="shared" si="15"/>
        <v>25.292460266666669</v>
      </c>
      <c r="G95" s="120">
        <f t="shared" si="11"/>
        <v>24.55578666666667</v>
      </c>
      <c r="H95" s="120">
        <f t="shared" si="12"/>
        <v>24.088057396825402</v>
      </c>
      <c r="I95" s="120">
        <f t="shared" si="16"/>
        <v>22.993145696969702</v>
      </c>
      <c r="J95" s="120">
        <f t="shared" si="13"/>
        <v>28.365376000000001</v>
      </c>
      <c r="K95" s="114"/>
      <c r="L95" s="127">
        <f t="shared" si="14"/>
        <v>25.786705454545455</v>
      </c>
      <c r="M95" s="83"/>
    </row>
    <row r="96" spans="1:13" s="8" customFormat="1" ht="24.95" customHeight="1">
      <c r="A96" s="2" t="s">
        <v>2565</v>
      </c>
      <c r="B96" s="2" t="s">
        <v>2566</v>
      </c>
      <c r="C96" s="2"/>
      <c r="D96" s="3" t="s">
        <v>2567</v>
      </c>
      <c r="E96" s="15">
        <v>619.15359999999998</v>
      </c>
      <c r="F96" s="120">
        <f t="shared" si="15"/>
        <v>22.083145066666667</v>
      </c>
      <c r="G96" s="120">
        <f t="shared" si="11"/>
        <v>21.439946666666668</v>
      </c>
      <c r="H96" s="120">
        <f t="shared" si="12"/>
        <v>21.03156673015873</v>
      </c>
      <c r="I96" s="120">
        <f t="shared" si="16"/>
        <v>20.075586424242424</v>
      </c>
      <c r="J96" s="120">
        <f t="shared" si="13"/>
        <v>24.766143999999997</v>
      </c>
      <c r="K96" s="114"/>
      <c r="L96" s="127">
        <f t="shared" si="14"/>
        <v>22.514676363636362</v>
      </c>
      <c r="M96" s="83"/>
    </row>
    <row r="97" spans="1:13" s="8" customFormat="1" ht="24.95" customHeight="1">
      <c r="A97" s="2" t="s">
        <v>2568</v>
      </c>
      <c r="B97" s="2" t="s">
        <v>2569</v>
      </c>
      <c r="C97" s="2"/>
      <c r="D97" s="3" t="s">
        <v>2570</v>
      </c>
      <c r="E97" s="15">
        <v>742.34159999999997</v>
      </c>
      <c r="F97" s="120">
        <f t="shared" si="15"/>
        <v>26.4768504</v>
      </c>
      <c r="G97" s="120">
        <f t="shared" si="11"/>
        <v>25.705679999999997</v>
      </c>
      <c r="H97" s="120">
        <f t="shared" si="12"/>
        <v>25.216047999999997</v>
      </c>
      <c r="I97" s="120">
        <f t="shared" si="16"/>
        <v>24.069863999999999</v>
      </c>
      <c r="J97" s="120">
        <f t="shared" si="13"/>
        <v>29.693663999999998</v>
      </c>
      <c r="K97" s="114"/>
      <c r="L97" s="127">
        <f t="shared" si="14"/>
        <v>26.994239999999998</v>
      </c>
      <c r="M97" s="83"/>
    </row>
    <row r="98" spans="1:13" s="8" customFormat="1" ht="24.95" customHeight="1">
      <c r="A98" s="2" t="s">
        <v>2571</v>
      </c>
      <c r="B98" s="2" t="s">
        <v>2572</v>
      </c>
      <c r="C98" s="2"/>
      <c r="D98" s="3" t="s">
        <v>2573</v>
      </c>
      <c r="E98" s="15">
        <v>697</v>
      </c>
      <c r="F98" s="120">
        <f t="shared" si="15"/>
        <v>24.859666666666669</v>
      </c>
      <c r="G98" s="120">
        <f t="shared" si="11"/>
        <v>24.135598705501621</v>
      </c>
      <c r="H98" s="120">
        <f t="shared" si="12"/>
        <v>23.67587301587302</v>
      </c>
      <c r="I98" s="120">
        <f t="shared" si="16"/>
        <v>22.599696969696975</v>
      </c>
      <c r="J98" s="120">
        <f t="shared" si="13"/>
        <v>27.88</v>
      </c>
      <c r="K98" s="114"/>
      <c r="L98" s="127">
        <f t="shared" si="14"/>
        <v>25.345454545454544</v>
      </c>
      <c r="M98" s="83"/>
    </row>
    <row r="99" spans="1:13" s="8" customFormat="1" ht="24.95" customHeight="1">
      <c r="A99" s="2" t="s">
        <v>2574</v>
      </c>
      <c r="B99" s="2" t="s">
        <v>2575</v>
      </c>
      <c r="C99" s="2"/>
      <c r="D99" s="3" t="s">
        <v>2576</v>
      </c>
      <c r="E99" s="15">
        <v>773</v>
      </c>
      <c r="F99" s="120">
        <f t="shared" si="15"/>
        <v>27.570333333333334</v>
      </c>
      <c r="G99" s="120">
        <f t="shared" si="11"/>
        <v>26.767313915857606</v>
      </c>
      <c r="H99" s="120">
        <f t="shared" si="12"/>
        <v>26.257460317460318</v>
      </c>
      <c r="I99" s="120">
        <f t="shared" si="16"/>
        <v>25.063939393939393</v>
      </c>
      <c r="J99" s="120">
        <f t="shared" si="13"/>
        <v>30.919999999999998</v>
      </c>
      <c r="K99" s="114"/>
      <c r="L99" s="127">
        <f t="shared" si="14"/>
        <v>28.109090909090906</v>
      </c>
      <c r="M99" s="83"/>
    </row>
    <row r="100" spans="1:13" s="8" customFormat="1" ht="24.95" customHeight="1">
      <c r="A100" s="2" t="s">
        <v>2577</v>
      </c>
      <c r="B100" s="2" t="s">
        <v>2578</v>
      </c>
      <c r="C100" s="2"/>
      <c r="D100" s="3" t="s">
        <v>2573</v>
      </c>
      <c r="E100" s="15">
        <v>709.13440000000003</v>
      </c>
      <c r="F100" s="120">
        <f t="shared" si="15"/>
        <v>25.292460266666669</v>
      </c>
      <c r="G100" s="120">
        <f t="shared" si="11"/>
        <v>24.55578666666667</v>
      </c>
      <c r="H100" s="120">
        <f t="shared" si="12"/>
        <v>24.088057396825402</v>
      </c>
      <c r="I100" s="120">
        <f t="shared" si="16"/>
        <v>22.993145696969702</v>
      </c>
      <c r="J100" s="120">
        <f t="shared" si="13"/>
        <v>28.365376000000001</v>
      </c>
      <c r="K100" s="114"/>
      <c r="L100" s="127">
        <f t="shared" si="14"/>
        <v>25.786705454545455</v>
      </c>
      <c r="M100" s="83"/>
    </row>
    <row r="101" spans="1:13" s="8" customFormat="1" ht="24.95" customHeight="1">
      <c r="A101" s="2" t="s">
        <v>2579</v>
      </c>
      <c r="B101" s="2" t="s">
        <v>2580</v>
      </c>
      <c r="C101" s="2"/>
      <c r="D101" s="3" t="s">
        <v>2581</v>
      </c>
      <c r="E101" s="15">
        <v>899.80799999999999</v>
      </c>
      <c r="F101" s="120">
        <f t="shared" si="15"/>
        <v>32.093152000000003</v>
      </c>
      <c r="G101" s="120">
        <f t="shared" si="11"/>
        <v>31.158400000000004</v>
      </c>
      <c r="H101" s="120">
        <f t="shared" si="12"/>
        <v>30.564906666666673</v>
      </c>
      <c r="I101" s="120">
        <f t="shared" si="16"/>
        <v>29.175592727272733</v>
      </c>
      <c r="J101" s="120">
        <f t="shared" si="13"/>
        <v>35.992319999999992</v>
      </c>
      <c r="K101" s="114"/>
      <c r="L101" s="127">
        <f t="shared" si="14"/>
        <v>32.720290909090906</v>
      </c>
      <c r="M101" s="83"/>
    </row>
    <row r="102" spans="1:13" s="8" customFormat="1" ht="24.95" customHeight="1">
      <c r="A102" s="2" t="s">
        <v>2582</v>
      </c>
      <c r="B102" s="2" t="s">
        <v>2583</v>
      </c>
      <c r="C102" s="2"/>
      <c r="D102" s="3" t="s">
        <v>2584</v>
      </c>
      <c r="E102" s="15">
        <v>652.36079999999993</v>
      </c>
      <c r="F102" s="120">
        <f t="shared" si="15"/>
        <v>23.267535199999998</v>
      </c>
      <c r="G102" s="120">
        <f t="shared" si="11"/>
        <v>22.589839999999999</v>
      </c>
      <c r="H102" s="120">
        <f t="shared" si="12"/>
        <v>22.159557333333332</v>
      </c>
      <c r="I102" s="120">
        <f t="shared" si="16"/>
        <v>21.152304727272725</v>
      </c>
      <c r="J102" s="120">
        <f t="shared" si="13"/>
        <v>26.094431999999994</v>
      </c>
      <c r="K102" s="114"/>
      <c r="L102" s="127">
        <f t="shared" si="14"/>
        <v>23.722210909090904</v>
      </c>
      <c r="M102" s="83"/>
    </row>
    <row r="103" spans="1:13" s="8" customFormat="1" ht="24.95" customHeight="1">
      <c r="A103" s="2" t="s">
        <v>2585</v>
      </c>
      <c r="B103" s="2" t="s">
        <v>2586</v>
      </c>
      <c r="C103" s="2"/>
      <c r="D103" s="3" t="s">
        <v>2587</v>
      </c>
      <c r="E103" s="15">
        <v>629.86559999999997</v>
      </c>
      <c r="F103" s="120">
        <f t="shared" si="15"/>
        <v>22.4652064</v>
      </c>
      <c r="G103" s="120">
        <f t="shared" si="11"/>
        <v>21.810879999999997</v>
      </c>
      <c r="H103" s="120">
        <f t="shared" si="12"/>
        <v>21.395434666666663</v>
      </c>
      <c r="I103" s="120">
        <f t="shared" si="16"/>
        <v>20.422914909090906</v>
      </c>
      <c r="J103" s="120">
        <f t="shared" si="13"/>
        <v>25.194623999999997</v>
      </c>
      <c r="K103" s="114"/>
      <c r="L103" s="127">
        <f t="shared" si="14"/>
        <v>22.904203636363636</v>
      </c>
      <c r="M103" s="83"/>
    </row>
    <row r="104" spans="1:13" s="8" customFormat="1" ht="24.95" customHeight="1">
      <c r="A104" s="2" t="s">
        <v>2588</v>
      </c>
      <c r="B104" s="2" t="s">
        <v>2589</v>
      </c>
      <c r="C104" s="2"/>
      <c r="D104" s="3" t="s">
        <v>2590</v>
      </c>
      <c r="E104" s="15">
        <v>642.72</v>
      </c>
      <c r="F104" s="120">
        <f t="shared" si="15"/>
        <v>22.923680000000001</v>
      </c>
      <c r="G104" s="120">
        <f t="shared" si="11"/>
        <v>22.256</v>
      </c>
      <c r="H104" s="120">
        <f t="shared" si="12"/>
        <v>21.83207619047619</v>
      </c>
      <c r="I104" s="120">
        <f t="shared" si="16"/>
        <v>20.839709090909089</v>
      </c>
      <c r="J104" s="120">
        <f t="shared" si="13"/>
        <v>25.7088</v>
      </c>
      <c r="K104" s="114"/>
      <c r="L104" s="127">
        <f t="shared" si="14"/>
        <v>23.371636363636362</v>
      </c>
      <c r="M104" s="83"/>
    </row>
    <row r="105" spans="1:13" s="8" customFormat="1" ht="24.95" customHeight="1">
      <c r="A105" s="2" t="s">
        <v>2591</v>
      </c>
      <c r="B105" s="2" t="s">
        <v>2592</v>
      </c>
      <c r="C105" s="2" t="s">
        <v>8644</v>
      </c>
      <c r="D105" s="3" t="s">
        <v>2593</v>
      </c>
      <c r="E105" s="15">
        <v>754.12480000000005</v>
      </c>
      <c r="F105" s="120">
        <f t="shared" si="15"/>
        <v>26.897117866666672</v>
      </c>
      <c r="G105" s="120">
        <f t="shared" si="11"/>
        <v>26.113706666666673</v>
      </c>
      <c r="H105" s="120">
        <f t="shared" si="12"/>
        <v>25.616302730158736</v>
      </c>
      <c r="I105" s="120">
        <f t="shared" si="16"/>
        <v>24.451925333333339</v>
      </c>
      <c r="J105" s="120">
        <f t="shared" si="13"/>
        <v>30.164992000000002</v>
      </c>
      <c r="K105" s="114"/>
      <c r="L105" s="127">
        <f t="shared" si="14"/>
        <v>27.422720000000002</v>
      </c>
      <c r="M105" s="83"/>
    </row>
    <row r="106" spans="1:13" s="8" customFormat="1" ht="24.95" customHeight="1">
      <c r="A106" s="2" t="s">
        <v>2594</v>
      </c>
      <c r="B106" s="2" t="s">
        <v>2595</v>
      </c>
      <c r="C106" s="2" t="s">
        <v>8658</v>
      </c>
      <c r="D106" s="3" t="s">
        <v>2593</v>
      </c>
      <c r="E106" s="15">
        <v>742.34159999999997</v>
      </c>
      <c r="F106" s="120">
        <f t="shared" si="15"/>
        <v>26.4768504</v>
      </c>
      <c r="G106" s="120">
        <f t="shared" si="11"/>
        <v>25.705679999999997</v>
      </c>
      <c r="H106" s="120">
        <f t="shared" si="12"/>
        <v>25.216047999999997</v>
      </c>
      <c r="I106" s="120">
        <f t="shared" si="16"/>
        <v>24.069863999999999</v>
      </c>
      <c r="J106" s="120">
        <f t="shared" si="13"/>
        <v>29.693663999999998</v>
      </c>
      <c r="K106" s="114"/>
      <c r="L106" s="127">
        <f t="shared" si="14"/>
        <v>26.994239999999998</v>
      </c>
      <c r="M106" s="83"/>
    </row>
    <row r="107" spans="1:13" s="8" customFormat="1" ht="24.95" customHeight="1">
      <c r="A107" s="2" t="s">
        <v>2596</v>
      </c>
      <c r="B107" s="2" t="s">
        <v>2597</v>
      </c>
      <c r="C107" s="2"/>
      <c r="D107" s="3" t="s">
        <v>2598</v>
      </c>
      <c r="E107" s="15">
        <v>867.67200000000003</v>
      </c>
      <c r="F107" s="120">
        <f t="shared" si="15"/>
        <v>30.946968000000005</v>
      </c>
      <c r="G107" s="120">
        <f t="shared" si="11"/>
        <v>30.045600000000007</v>
      </c>
      <c r="H107" s="120">
        <f t="shared" si="12"/>
        <v>29.473302857142862</v>
      </c>
      <c r="I107" s="120">
        <f t="shared" si="16"/>
        <v>28.133607272727279</v>
      </c>
      <c r="J107" s="120">
        <f t="shared" si="13"/>
        <v>34.706879999999998</v>
      </c>
      <c r="K107" s="114"/>
      <c r="L107" s="127">
        <f t="shared" si="14"/>
        <v>31.551709090909092</v>
      </c>
      <c r="M107" s="83"/>
    </row>
    <row r="108" spans="1:13" s="8" customFormat="1" ht="24.95" customHeight="1">
      <c r="A108" s="2" t="s">
        <v>2599</v>
      </c>
      <c r="B108" s="2" t="s">
        <v>2600</v>
      </c>
      <c r="C108" s="2"/>
      <c r="D108" s="3" t="s">
        <v>2601</v>
      </c>
      <c r="E108" s="15">
        <v>899.80799999999999</v>
      </c>
      <c r="F108" s="120">
        <f t="shared" si="15"/>
        <v>32.093152000000003</v>
      </c>
      <c r="G108" s="120">
        <f t="shared" si="11"/>
        <v>31.158400000000004</v>
      </c>
      <c r="H108" s="120">
        <f t="shared" si="12"/>
        <v>30.564906666666673</v>
      </c>
      <c r="I108" s="120">
        <f t="shared" si="16"/>
        <v>29.175592727272733</v>
      </c>
      <c r="J108" s="120">
        <f t="shared" si="13"/>
        <v>35.992319999999992</v>
      </c>
      <c r="K108" s="114"/>
      <c r="L108" s="127">
        <f t="shared" si="14"/>
        <v>32.720290909090906</v>
      </c>
      <c r="M108" s="83"/>
    </row>
    <row r="109" spans="1:13" s="8" customFormat="1" ht="24.95" customHeight="1">
      <c r="A109" s="2" t="s">
        <v>2602</v>
      </c>
      <c r="B109" s="2" t="s">
        <v>2603</v>
      </c>
      <c r="C109" s="2"/>
      <c r="D109" s="3" t="s">
        <v>2604</v>
      </c>
      <c r="E109" s="15">
        <v>739.12800000000004</v>
      </c>
      <c r="F109" s="120">
        <f t="shared" si="15"/>
        <v>26.362232000000002</v>
      </c>
      <c r="G109" s="120">
        <f t="shared" si="11"/>
        <v>25.594400000000004</v>
      </c>
      <c r="H109" s="120">
        <f t="shared" si="12"/>
        <v>25.106887619047622</v>
      </c>
      <c r="I109" s="120">
        <f t="shared" si="16"/>
        <v>23.965665454545459</v>
      </c>
      <c r="J109" s="120">
        <f t="shared" si="13"/>
        <v>29.56512</v>
      </c>
      <c r="K109" s="114"/>
      <c r="L109" s="127">
        <f t="shared" si="14"/>
        <v>26.877381818181821</v>
      </c>
      <c r="M109" s="83"/>
    </row>
    <row r="110" spans="1:13" s="8" customFormat="1" ht="24.95" customHeight="1">
      <c r="A110" s="2" t="s">
        <v>2605</v>
      </c>
      <c r="B110" s="2" t="s">
        <v>2606</v>
      </c>
      <c r="C110" s="2"/>
      <c r="D110" s="3" t="s">
        <v>2607</v>
      </c>
      <c r="E110" s="15">
        <v>674.85599999999999</v>
      </c>
      <c r="F110" s="120">
        <f t="shared" si="15"/>
        <v>24.069864000000003</v>
      </c>
      <c r="G110" s="120">
        <f t="shared" si="11"/>
        <v>23.368800000000004</v>
      </c>
      <c r="H110" s="120">
        <f t="shared" si="12"/>
        <v>22.923680000000001</v>
      </c>
      <c r="I110" s="120">
        <f t="shared" si="16"/>
        <v>21.881694545454547</v>
      </c>
      <c r="J110" s="120">
        <f t="shared" si="13"/>
        <v>26.994239999999998</v>
      </c>
      <c r="K110" s="114"/>
      <c r="L110" s="127">
        <f t="shared" si="14"/>
        <v>24.540218181818179</v>
      </c>
      <c r="M110" s="83"/>
    </row>
    <row r="111" spans="1:13" s="8" customFormat="1" ht="24.95" customHeight="1">
      <c r="A111" s="2" t="s">
        <v>2608</v>
      </c>
      <c r="B111" s="2" t="s">
        <v>2609</v>
      </c>
      <c r="C111" s="2"/>
      <c r="D111" s="3" t="s">
        <v>3</v>
      </c>
      <c r="E111" s="15">
        <v>619.15359999999998</v>
      </c>
      <c r="F111" s="120">
        <f t="shared" si="15"/>
        <v>22.083145066666667</v>
      </c>
      <c r="G111" s="120">
        <f t="shared" si="11"/>
        <v>21.439946666666668</v>
      </c>
      <c r="H111" s="120">
        <f t="shared" si="12"/>
        <v>21.03156673015873</v>
      </c>
      <c r="I111" s="120">
        <f t="shared" si="16"/>
        <v>20.075586424242424</v>
      </c>
      <c r="J111" s="120">
        <f t="shared" si="13"/>
        <v>24.766143999999997</v>
      </c>
      <c r="K111" s="114"/>
      <c r="L111" s="127">
        <f t="shared" si="14"/>
        <v>22.514676363636362</v>
      </c>
      <c r="M111" s="83"/>
    </row>
    <row r="112" spans="1:13" s="8" customFormat="1" ht="24.95" customHeight="1">
      <c r="A112" s="2" t="s">
        <v>2610</v>
      </c>
      <c r="B112" s="2" t="s">
        <v>2611</v>
      </c>
      <c r="C112" s="2"/>
      <c r="D112" s="3" t="s">
        <v>2612</v>
      </c>
      <c r="E112" s="15">
        <v>681.28320000000008</v>
      </c>
      <c r="F112" s="120">
        <f t="shared" si="15"/>
        <v>24.299100800000005</v>
      </c>
      <c r="G112" s="120">
        <f t="shared" si="11"/>
        <v>23.591360000000005</v>
      </c>
      <c r="H112" s="120">
        <f t="shared" si="12"/>
        <v>23.142000761904768</v>
      </c>
      <c r="I112" s="120">
        <f t="shared" si="16"/>
        <v>22.090091636363642</v>
      </c>
      <c r="J112" s="120">
        <f t="shared" si="13"/>
        <v>27.251328000000001</v>
      </c>
      <c r="K112" s="114"/>
      <c r="L112" s="127">
        <f t="shared" si="14"/>
        <v>24.773934545454548</v>
      </c>
      <c r="M112" s="83"/>
    </row>
    <row r="113" spans="1:13" s="8" customFormat="1" ht="24.95" customHeight="1">
      <c r="A113" s="2" t="s">
        <v>2613</v>
      </c>
      <c r="B113" s="2" t="s">
        <v>2614</v>
      </c>
      <c r="C113" s="2"/>
      <c r="D113" s="3" t="s">
        <v>2615</v>
      </c>
      <c r="E113" s="15">
        <v>910.52</v>
      </c>
      <c r="F113" s="120">
        <f t="shared" si="15"/>
        <v>32.475213333333336</v>
      </c>
      <c r="G113" s="120">
        <f t="shared" si="11"/>
        <v>31.529333333333337</v>
      </c>
      <c r="H113" s="120">
        <f t="shared" si="12"/>
        <v>30.928774603174606</v>
      </c>
      <c r="I113" s="120">
        <f t="shared" si="16"/>
        <v>29.522921212121215</v>
      </c>
      <c r="J113" s="120">
        <f t="shared" si="13"/>
        <v>36.4208</v>
      </c>
      <c r="K113" s="114"/>
      <c r="L113" s="127">
        <f t="shared" si="14"/>
        <v>33.109818181818184</v>
      </c>
      <c r="M113" s="83"/>
    </row>
    <row r="114" spans="1:13" s="8" customFormat="1" ht="24.95" customHeight="1">
      <c r="A114" s="2" t="s">
        <v>2616</v>
      </c>
      <c r="B114" s="2" t="s">
        <v>2617</v>
      </c>
      <c r="C114" s="2" t="s">
        <v>8656</v>
      </c>
      <c r="D114" s="3" t="s">
        <v>2618</v>
      </c>
      <c r="E114" s="15">
        <v>697</v>
      </c>
      <c r="F114" s="120">
        <f t="shared" si="15"/>
        <v>24.859666666666669</v>
      </c>
      <c r="G114" s="120">
        <f t="shared" si="11"/>
        <v>24.135598705501621</v>
      </c>
      <c r="H114" s="120">
        <f t="shared" si="12"/>
        <v>23.67587301587302</v>
      </c>
      <c r="I114" s="120">
        <f t="shared" si="16"/>
        <v>22.599696969696975</v>
      </c>
      <c r="J114" s="120">
        <f t="shared" si="13"/>
        <v>27.88</v>
      </c>
      <c r="K114" s="114"/>
      <c r="L114" s="127">
        <f t="shared" si="14"/>
        <v>25.345454545454544</v>
      </c>
      <c r="M114" s="83"/>
    </row>
    <row r="115" spans="1:13" s="8" customFormat="1" ht="24.95" customHeight="1">
      <c r="A115" s="2" t="s">
        <v>2619</v>
      </c>
      <c r="B115" s="2" t="s">
        <v>2620</v>
      </c>
      <c r="C115" s="2"/>
      <c r="D115" s="3" t="s">
        <v>2621</v>
      </c>
      <c r="E115" s="15">
        <v>674.85599999999999</v>
      </c>
      <c r="F115" s="120">
        <f t="shared" si="15"/>
        <v>24.069864000000003</v>
      </c>
      <c r="G115" s="120">
        <f t="shared" si="11"/>
        <v>23.368800000000004</v>
      </c>
      <c r="H115" s="120">
        <f t="shared" si="12"/>
        <v>22.923680000000001</v>
      </c>
      <c r="I115" s="120">
        <f t="shared" si="16"/>
        <v>21.881694545454547</v>
      </c>
      <c r="J115" s="120">
        <f t="shared" si="13"/>
        <v>26.994239999999998</v>
      </c>
      <c r="K115" s="114"/>
      <c r="L115" s="127">
        <f t="shared" si="14"/>
        <v>24.540218181818179</v>
      </c>
      <c r="M115" s="83"/>
    </row>
    <row r="116" spans="1:13" s="8" customFormat="1" ht="24.95" customHeight="1">
      <c r="A116" s="2" t="s">
        <v>2622</v>
      </c>
      <c r="B116" s="2" t="s">
        <v>2623</v>
      </c>
      <c r="C116" s="2"/>
      <c r="D116" s="3" t="s">
        <v>2624</v>
      </c>
      <c r="E116" s="15">
        <v>799.11519999999996</v>
      </c>
      <c r="F116" s="120">
        <f t="shared" si="15"/>
        <v>28.501775466666668</v>
      </c>
      <c r="G116" s="120">
        <f t="shared" si="11"/>
        <v>27.671626666666668</v>
      </c>
      <c r="H116" s="120">
        <f t="shared" si="12"/>
        <v>27.144548063492064</v>
      </c>
      <c r="I116" s="120">
        <f t="shared" si="16"/>
        <v>25.910704969696972</v>
      </c>
      <c r="J116" s="120">
        <f t="shared" si="13"/>
        <v>31.964607999999998</v>
      </c>
      <c r="K116" s="114"/>
      <c r="L116" s="127">
        <f t="shared" si="14"/>
        <v>29.058734545454545</v>
      </c>
      <c r="M116" s="83"/>
    </row>
    <row r="117" spans="1:13" s="8" customFormat="1" ht="24.95" customHeight="1">
      <c r="A117" s="2" t="s">
        <v>2625</v>
      </c>
      <c r="B117" s="2" t="s">
        <v>2626</v>
      </c>
      <c r="C117" s="2"/>
      <c r="D117" s="3" t="s">
        <v>2627</v>
      </c>
      <c r="E117" s="15">
        <v>922.30320000000006</v>
      </c>
      <c r="F117" s="120">
        <f t="shared" si="15"/>
        <v>32.895480800000001</v>
      </c>
      <c r="G117" s="120">
        <f t="shared" si="11"/>
        <v>31.937360000000002</v>
      </c>
      <c r="H117" s="120">
        <f t="shared" si="12"/>
        <v>31.329029333333335</v>
      </c>
      <c r="I117" s="120">
        <f t="shared" si="16"/>
        <v>29.904982545454544</v>
      </c>
      <c r="J117" s="120">
        <f t="shared" si="13"/>
        <v>36.892128</v>
      </c>
      <c r="K117" s="114"/>
      <c r="L117" s="127">
        <f t="shared" si="14"/>
        <v>33.538298181818185</v>
      </c>
      <c r="M117" s="83"/>
    </row>
    <row r="118" spans="1:13" s="8" customFormat="1" ht="24.95" customHeight="1">
      <c r="A118" s="2" t="s">
        <v>2628</v>
      </c>
      <c r="B118" s="2" t="s">
        <v>2629</v>
      </c>
      <c r="C118" s="2"/>
      <c r="D118" s="3" t="s">
        <v>2630</v>
      </c>
      <c r="E118" s="15">
        <v>1049.7760000000001</v>
      </c>
      <c r="F118" s="120">
        <f t="shared" si="15"/>
        <v>37.442010666666668</v>
      </c>
      <c r="G118" s="120">
        <f t="shared" si="11"/>
        <v>36.351466666666667</v>
      </c>
      <c r="H118" s="120">
        <f t="shared" si="12"/>
        <v>35.659057777777782</v>
      </c>
      <c r="I118" s="120">
        <f t="shared" si="16"/>
        <v>34.038191515151517</v>
      </c>
      <c r="J118" s="120">
        <f t="shared" si="13"/>
        <v>41.991039999999998</v>
      </c>
      <c r="K118" s="114"/>
      <c r="L118" s="127">
        <f t="shared" si="14"/>
        <v>38.173672727272724</v>
      </c>
      <c r="M118" s="83"/>
    </row>
    <row r="119" spans="1:13" s="8" customFormat="1" ht="24.95" customHeight="1">
      <c r="A119" s="2" t="s">
        <v>2631</v>
      </c>
      <c r="B119" s="2" t="s">
        <v>2632</v>
      </c>
      <c r="C119" s="2"/>
      <c r="D119" s="3" t="s">
        <v>2633</v>
      </c>
      <c r="E119" s="15">
        <v>754.12480000000005</v>
      </c>
      <c r="F119" s="120">
        <f t="shared" si="15"/>
        <v>26.897117866666672</v>
      </c>
      <c r="G119" s="120">
        <f t="shared" si="11"/>
        <v>26.113706666666673</v>
      </c>
      <c r="H119" s="120">
        <f t="shared" si="12"/>
        <v>25.616302730158736</v>
      </c>
      <c r="I119" s="120">
        <f t="shared" si="16"/>
        <v>24.451925333333339</v>
      </c>
      <c r="J119" s="120">
        <f t="shared" si="13"/>
        <v>30.164992000000002</v>
      </c>
      <c r="K119" s="114"/>
      <c r="L119" s="127">
        <f t="shared" si="14"/>
        <v>27.422720000000002</v>
      </c>
      <c r="M119" s="83"/>
    </row>
    <row r="120" spans="1:13" s="8" customFormat="1" ht="24.95" customHeight="1">
      <c r="A120" s="2" t="s">
        <v>2634</v>
      </c>
      <c r="B120" s="2" t="s">
        <v>2635</v>
      </c>
      <c r="C120" s="2"/>
      <c r="D120" s="3" t="s">
        <v>2636</v>
      </c>
      <c r="E120" s="15">
        <v>910.52</v>
      </c>
      <c r="F120" s="120">
        <f t="shared" si="15"/>
        <v>32.475213333333336</v>
      </c>
      <c r="G120" s="120">
        <f t="shared" si="11"/>
        <v>31.529333333333337</v>
      </c>
      <c r="H120" s="120">
        <f t="shared" si="12"/>
        <v>30.928774603174606</v>
      </c>
      <c r="I120" s="120">
        <f t="shared" si="16"/>
        <v>29.522921212121215</v>
      </c>
      <c r="J120" s="120">
        <f t="shared" si="13"/>
        <v>36.4208</v>
      </c>
      <c r="K120" s="114"/>
      <c r="L120" s="127">
        <f t="shared" si="14"/>
        <v>33.109818181818184</v>
      </c>
      <c r="M120" s="83"/>
    </row>
    <row r="121" spans="1:13" s="8" customFormat="1" ht="24.95" customHeight="1">
      <c r="A121" s="2" t="s">
        <v>2637</v>
      </c>
      <c r="B121" s="2" t="s">
        <v>2638</v>
      </c>
      <c r="C121" s="2"/>
      <c r="D121" s="3" t="s">
        <v>2639</v>
      </c>
      <c r="E121" s="15">
        <v>697.35119999999995</v>
      </c>
      <c r="F121" s="120">
        <f t="shared" si="15"/>
        <v>24.872192800000001</v>
      </c>
      <c r="G121" s="120">
        <f t="shared" si="11"/>
        <v>24.147760000000002</v>
      </c>
      <c r="H121" s="120">
        <f t="shared" si="12"/>
        <v>23.68780266666667</v>
      </c>
      <c r="I121" s="120">
        <f t="shared" si="16"/>
        <v>22.611084363636365</v>
      </c>
      <c r="J121" s="120">
        <f t="shared" si="13"/>
        <v>27.894047999999998</v>
      </c>
      <c r="K121" s="114"/>
      <c r="L121" s="127">
        <f t="shared" si="14"/>
        <v>25.358225454545451</v>
      </c>
      <c r="M121" s="83"/>
    </row>
    <row r="122" spans="1:13" s="8" customFormat="1" ht="24.95" customHeight="1">
      <c r="A122" s="2" t="s">
        <v>2640</v>
      </c>
      <c r="B122" s="2" t="s">
        <v>2641</v>
      </c>
      <c r="C122" s="2"/>
      <c r="D122" s="3" t="s">
        <v>2642</v>
      </c>
      <c r="E122" s="15">
        <v>809.82720000000006</v>
      </c>
      <c r="F122" s="120">
        <f t="shared" si="15"/>
        <v>28.883836800000001</v>
      </c>
      <c r="G122" s="120">
        <f t="shared" si="11"/>
        <v>28.042559999999998</v>
      </c>
      <c r="H122" s="120">
        <f t="shared" si="12"/>
        <v>27.508416</v>
      </c>
      <c r="I122" s="120">
        <f t="shared" si="16"/>
        <v>26.258033454545455</v>
      </c>
      <c r="J122" s="120">
        <f t="shared" si="13"/>
        <v>32.393087999999999</v>
      </c>
      <c r="K122" s="114"/>
      <c r="L122" s="127">
        <f t="shared" si="14"/>
        <v>29.44826181818182</v>
      </c>
      <c r="M122" s="83"/>
    </row>
    <row r="123" spans="1:13" s="8" customFormat="1" ht="24.95" customHeight="1">
      <c r="A123" s="2" t="s">
        <v>2643</v>
      </c>
      <c r="B123" s="2" t="s">
        <v>2644</v>
      </c>
      <c r="C123" s="2"/>
      <c r="D123" s="3" t="s">
        <v>2645</v>
      </c>
      <c r="E123" s="15">
        <v>694.13760000000002</v>
      </c>
      <c r="F123" s="120">
        <f t="shared" si="15"/>
        <v>24.757574400000003</v>
      </c>
      <c r="G123" s="120">
        <f t="shared" si="11"/>
        <v>24.036480000000005</v>
      </c>
      <c r="H123" s="120">
        <f t="shared" si="12"/>
        <v>23.578642285714288</v>
      </c>
      <c r="I123" s="120">
        <f t="shared" si="16"/>
        <v>22.506885818181821</v>
      </c>
      <c r="J123" s="120">
        <f t="shared" si="13"/>
        <v>27.765504</v>
      </c>
      <c r="K123" s="114"/>
      <c r="L123" s="127">
        <f t="shared" si="14"/>
        <v>25.24136727272727</v>
      </c>
      <c r="M123" s="83"/>
    </row>
    <row r="124" spans="1:13" s="8" customFormat="1" ht="24.95" customHeight="1">
      <c r="A124" s="2" t="s">
        <v>2646</v>
      </c>
      <c r="B124" s="2" t="s">
        <v>2647</v>
      </c>
      <c r="C124" s="2"/>
      <c r="D124" s="3" t="s">
        <v>2648</v>
      </c>
      <c r="E124" s="15">
        <v>674.85599999999999</v>
      </c>
      <c r="F124" s="120">
        <f t="shared" si="15"/>
        <v>24.069864000000003</v>
      </c>
      <c r="G124" s="120">
        <f t="shared" si="11"/>
        <v>23.368800000000004</v>
      </c>
      <c r="H124" s="120">
        <f t="shared" si="12"/>
        <v>22.923680000000001</v>
      </c>
      <c r="I124" s="120">
        <f t="shared" si="16"/>
        <v>21.881694545454547</v>
      </c>
      <c r="J124" s="120">
        <f t="shared" si="13"/>
        <v>26.994239999999998</v>
      </c>
      <c r="K124" s="114"/>
      <c r="L124" s="127">
        <f t="shared" si="14"/>
        <v>24.540218181818179</v>
      </c>
      <c r="M124" s="83"/>
    </row>
    <row r="125" spans="1:13" s="8" customFormat="1" ht="24.95" customHeight="1">
      <c r="A125" s="2" t="s">
        <v>2649</v>
      </c>
      <c r="B125" s="2" t="s">
        <v>2650</v>
      </c>
      <c r="C125" s="2"/>
      <c r="D125" s="3" t="s">
        <v>2651</v>
      </c>
      <c r="E125" s="15">
        <v>964.08</v>
      </c>
      <c r="F125" s="120">
        <f t="shared" si="15"/>
        <v>34.385520000000007</v>
      </c>
      <c r="G125" s="120">
        <f t="shared" si="11"/>
        <v>33.384000000000007</v>
      </c>
      <c r="H125" s="120">
        <f t="shared" si="12"/>
        <v>32.748114285714294</v>
      </c>
      <c r="I125" s="120">
        <f t="shared" si="16"/>
        <v>31.259563636363641</v>
      </c>
      <c r="J125" s="120">
        <f t="shared" si="13"/>
        <v>38.563200000000002</v>
      </c>
      <c r="K125" s="114"/>
      <c r="L125" s="127">
        <f t="shared" si="14"/>
        <v>35.057454545454547</v>
      </c>
      <c r="M125" s="83"/>
    </row>
    <row r="126" spans="1:13" s="8" customFormat="1" ht="24.95" customHeight="1">
      <c r="A126" s="2" t="s">
        <v>2652</v>
      </c>
      <c r="B126" s="2" t="s">
        <v>2653</v>
      </c>
      <c r="C126" s="2" t="s">
        <v>8765</v>
      </c>
      <c r="D126" s="3" t="s">
        <v>2654</v>
      </c>
      <c r="E126" s="15">
        <v>696.28</v>
      </c>
      <c r="F126" s="120">
        <f t="shared" si="15"/>
        <v>24.833986666666664</v>
      </c>
      <c r="G126" s="120">
        <f t="shared" si="11"/>
        <v>24.110666666666663</v>
      </c>
      <c r="H126" s="120">
        <f t="shared" si="12"/>
        <v>23.651415873015871</v>
      </c>
      <c r="I126" s="120">
        <f t="shared" si="16"/>
        <v>22.576351515151515</v>
      </c>
      <c r="J126" s="120">
        <f t="shared" si="13"/>
        <v>27.851199999999999</v>
      </c>
      <c r="K126" s="114"/>
      <c r="L126" s="127">
        <f t="shared" si="14"/>
        <v>25.319272727272725</v>
      </c>
      <c r="M126" s="83"/>
    </row>
    <row r="127" spans="1:13" s="8" customFormat="1" ht="24.95" customHeight="1">
      <c r="A127" s="2" t="s">
        <v>2655</v>
      </c>
      <c r="B127" s="2" t="s">
        <v>2656</v>
      </c>
      <c r="C127" s="2"/>
      <c r="D127" s="3" t="s">
        <v>2657</v>
      </c>
      <c r="E127" s="15">
        <v>821.61040000000003</v>
      </c>
      <c r="F127" s="120">
        <f t="shared" si="15"/>
        <v>29.30410426666667</v>
      </c>
      <c r="G127" s="120">
        <f t="shared" si="11"/>
        <v>28.45058666666667</v>
      </c>
      <c r="H127" s="120">
        <f t="shared" si="12"/>
        <v>27.908670730158732</v>
      </c>
      <c r="I127" s="120">
        <f t="shared" si="16"/>
        <v>26.640094787878787</v>
      </c>
      <c r="J127" s="120">
        <f t="shared" si="13"/>
        <v>32.864415999999999</v>
      </c>
      <c r="K127" s="114"/>
      <c r="L127" s="127">
        <f t="shared" si="14"/>
        <v>29.876741818181817</v>
      </c>
      <c r="M127" s="83"/>
    </row>
    <row r="128" spans="1:13" s="8" customFormat="1" ht="24.95" customHeight="1">
      <c r="A128" s="2" t="s">
        <v>2658</v>
      </c>
      <c r="B128" s="2" t="s">
        <v>2659</v>
      </c>
      <c r="C128" s="2"/>
      <c r="D128" s="3" t="s">
        <v>2660</v>
      </c>
      <c r="E128" s="15">
        <v>697.35119999999995</v>
      </c>
      <c r="F128" s="120">
        <f t="shared" si="15"/>
        <v>24.872192800000001</v>
      </c>
      <c r="G128" s="120">
        <f t="shared" si="11"/>
        <v>24.147760000000002</v>
      </c>
      <c r="H128" s="120">
        <f t="shared" si="12"/>
        <v>23.68780266666667</v>
      </c>
      <c r="I128" s="120">
        <f t="shared" si="16"/>
        <v>22.611084363636365</v>
      </c>
      <c r="J128" s="120">
        <f t="shared" si="13"/>
        <v>27.894047999999998</v>
      </c>
      <c r="K128" s="114"/>
      <c r="L128" s="127">
        <f t="shared" si="14"/>
        <v>25.358225454545451</v>
      </c>
      <c r="M128" s="83"/>
    </row>
    <row r="129" spans="1:13" s="8" customFormat="1" ht="24.95" customHeight="1">
      <c r="A129" s="2" t="s">
        <v>2661</v>
      </c>
      <c r="B129" s="2" t="s">
        <v>2662</v>
      </c>
      <c r="C129" s="2"/>
      <c r="D129" s="3" t="s">
        <v>2663</v>
      </c>
      <c r="E129" s="15">
        <v>821.98532</v>
      </c>
      <c r="F129" s="120">
        <f t="shared" si="15"/>
        <v>29.317476413333335</v>
      </c>
      <c r="G129" s="120">
        <f t="shared" si="11"/>
        <v>28.463569333333332</v>
      </c>
      <c r="H129" s="120">
        <f t="shared" si="12"/>
        <v>27.921406107936509</v>
      </c>
      <c r="I129" s="120">
        <f t="shared" si="16"/>
        <v>26.652251284848486</v>
      </c>
      <c r="J129" s="120">
        <f t="shared" si="13"/>
        <v>32.879412799999997</v>
      </c>
      <c r="K129" s="114"/>
      <c r="L129" s="127">
        <f t="shared" si="14"/>
        <v>29.890375272727272</v>
      </c>
      <c r="M129" s="83"/>
    </row>
    <row r="130" spans="1:13" s="8" customFormat="1" ht="24.95" customHeight="1">
      <c r="A130" s="2" t="s">
        <v>2664</v>
      </c>
      <c r="B130" s="2" t="s">
        <v>2665</v>
      </c>
      <c r="C130" s="2"/>
      <c r="D130" s="3" t="s">
        <v>2666</v>
      </c>
      <c r="E130" s="15">
        <v>796.64</v>
      </c>
      <c r="F130" s="120">
        <f t="shared" si="15"/>
        <v>28.413493333333335</v>
      </c>
      <c r="G130" s="120">
        <f t="shared" si="11"/>
        <v>27.58591585760518</v>
      </c>
      <c r="H130" s="120">
        <f t="shared" si="12"/>
        <v>27.060469841269843</v>
      </c>
      <c r="I130" s="120">
        <f t="shared" si="16"/>
        <v>25.830448484848485</v>
      </c>
      <c r="J130" s="120">
        <f t="shared" si="13"/>
        <v>31.865599999999997</v>
      </c>
      <c r="K130" s="114"/>
      <c r="L130" s="127">
        <f t="shared" si="14"/>
        <v>28.968727272727271</v>
      </c>
      <c r="M130" s="83"/>
    </row>
    <row r="131" spans="1:13" s="8" customFormat="1" ht="24.95" customHeight="1">
      <c r="A131" s="2" t="s">
        <v>2667</v>
      </c>
      <c r="B131" s="2" t="s">
        <v>2668</v>
      </c>
      <c r="C131" s="2"/>
      <c r="D131" s="3" t="s">
        <v>2669</v>
      </c>
      <c r="E131" s="15">
        <v>629.86559999999997</v>
      </c>
      <c r="F131" s="120">
        <f t="shared" si="15"/>
        <v>22.4652064</v>
      </c>
      <c r="G131" s="120">
        <f t="shared" si="11"/>
        <v>21.810879999999997</v>
      </c>
      <c r="H131" s="120">
        <f t="shared" si="12"/>
        <v>21.395434666666663</v>
      </c>
      <c r="I131" s="120">
        <f t="shared" si="16"/>
        <v>20.422914909090906</v>
      </c>
      <c r="J131" s="120">
        <f t="shared" si="13"/>
        <v>25.194623999999997</v>
      </c>
      <c r="K131" s="114"/>
      <c r="L131" s="127">
        <f t="shared" si="14"/>
        <v>22.904203636363636</v>
      </c>
      <c r="M131" s="83"/>
    </row>
    <row r="132" spans="1:13" s="8" customFormat="1" ht="24.95" customHeight="1">
      <c r="A132" s="2" t="s">
        <v>2670</v>
      </c>
      <c r="B132" s="2" t="s">
        <v>2671</v>
      </c>
      <c r="C132" s="2"/>
      <c r="D132" s="3" t="s">
        <v>140</v>
      </c>
      <c r="E132" s="15">
        <v>706.99200000000008</v>
      </c>
      <c r="F132" s="120">
        <f t="shared" si="15"/>
        <v>25.216048000000004</v>
      </c>
      <c r="G132" s="120">
        <f t="shared" ref="G132:G195" si="17">F132*100/103</f>
        <v>24.481600000000004</v>
      </c>
      <c r="H132" s="120">
        <f t="shared" ref="H132:H195" si="18">F132*100/105</f>
        <v>24.015283809523815</v>
      </c>
      <c r="I132" s="120">
        <f t="shared" si="16"/>
        <v>22.923680000000004</v>
      </c>
      <c r="J132" s="120">
        <f t="shared" ref="J132:J195" si="19">+(E132*1.2/30)</f>
        <v>28.279680000000003</v>
      </c>
      <c r="K132" s="114"/>
      <c r="L132" s="127">
        <f t="shared" ref="L132:L195" si="20">+(E132*1.2/33)</f>
        <v>25.708800000000004</v>
      </c>
      <c r="M132" s="83"/>
    </row>
    <row r="133" spans="1:13" s="8" customFormat="1" ht="24.95" customHeight="1">
      <c r="A133" s="2" t="s">
        <v>2672</v>
      </c>
      <c r="B133" s="2" t="s">
        <v>2673</v>
      </c>
      <c r="C133" s="2"/>
      <c r="D133" s="3" t="s">
        <v>2674</v>
      </c>
      <c r="E133" s="15">
        <v>765.90800000000002</v>
      </c>
      <c r="F133" s="120">
        <f t="shared" si="15"/>
        <v>27.317385333333334</v>
      </c>
      <c r="G133" s="120">
        <f t="shared" si="17"/>
        <v>26.521733333333334</v>
      </c>
      <c r="H133" s="120">
        <f t="shared" si="18"/>
        <v>26.016557460317458</v>
      </c>
      <c r="I133" s="120">
        <f t="shared" si="16"/>
        <v>24.833986666666664</v>
      </c>
      <c r="J133" s="120">
        <f t="shared" si="19"/>
        <v>30.636320000000001</v>
      </c>
      <c r="K133" s="114"/>
      <c r="L133" s="127">
        <f t="shared" si="20"/>
        <v>27.851200000000002</v>
      </c>
      <c r="M133" s="83"/>
    </row>
    <row r="134" spans="1:13" s="8" customFormat="1" ht="24.95" customHeight="1">
      <c r="A134" s="2" t="s">
        <v>2675</v>
      </c>
      <c r="B134" s="2" t="s">
        <v>2676</v>
      </c>
      <c r="C134" s="2"/>
      <c r="D134" s="3" t="s">
        <v>2677</v>
      </c>
      <c r="E134" s="15">
        <v>664.14400000000001</v>
      </c>
      <c r="F134" s="120">
        <f t="shared" ref="F134:F197" si="21">+(E134*1.07/30)</f>
        <v>23.687802666666666</v>
      </c>
      <c r="G134" s="120">
        <f t="shared" si="17"/>
        <v>22.997866666666667</v>
      </c>
      <c r="H134" s="120">
        <f t="shared" si="18"/>
        <v>22.559812063492064</v>
      </c>
      <c r="I134" s="120">
        <f t="shared" si="16"/>
        <v>21.534366060606061</v>
      </c>
      <c r="J134" s="120">
        <f t="shared" si="19"/>
        <v>26.565760000000001</v>
      </c>
      <c r="K134" s="114"/>
      <c r="L134" s="127">
        <f t="shared" si="20"/>
        <v>24.150690909090908</v>
      </c>
      <c r="M134" s="83"/>
    </row>
    <row r="135" spans="1:13" s="8" customFormat="1" ht="24.95" customHeight="1">
      <c r="A135" s="2" t="s">
        <v>2678</v>
      </c>
      <c r="B135" s="2" t="s">
        <v>2679</v>
      </c>
      <c r="C135" s="2"/>
      <c r="D135" s="3" t="s">
        <v>2680</v>
      </c>
      <c r="E135" s="15">
        <v>709.13440000000003</v>
      </c>
      <c r="F135" s="120">
        <f t="shared" si="21"/>
        <v>25.292460266666669</v>
      </c>
      <c r="G135" s="120">
        <f t="shared" si="17"/>
        <v>24.55578666666667</v>
      </c>
      <c r="H135" s="120">
        <f t="shared" si="18"/>
        <v>24.088057396825402</v>
      </c>
      <c r="I135" s="120">
        <f t="shared" si="16"/>
        <v>22.993145696969702</v>
      </c>
      <c r="J135" s="120">
        <f t="shared" si="19"/>
        <v>28.365376000000001</v>
      </c>
      <c r="K135" s="114"/>
      <c r="L135" s="127">
        <f t="shared" si="20"/>
        <v>25.786705454545455</v>
      </c>
      <c r="M135" s="83"/>
    </row>
    <row r="136" spans="1:13" s="8" customFormat="1" ht="24.95" customHeight="1">
      <c r="A136" s="2" t="s">
        <v>2681</v>
      </c>
      <c r="B136" s="2" t="s">
        <v>2682</v>
      </c>
      <c r="C136" s="2"/>
      <c r="D136" s="3" t="s">
        <v>2683</v>
      </c>
      <c r="E136" s="15">
        <v>641.64880000000005</v>
      </c>
      <c r="F136" s="120">
        <f t="shared" si="21"/>
        <v>22.885473866666668</v>
      </c>
      <c r="G136" s="120">
        <f t="shared" si="17"/>
        <v>22.218906666666665</v>
      </c>
      <c r="H136" s="120">
        <f t="shared" si="18"/>
        <v>21.795689396825395</v>
      </c>
      <c r="I136" s="120">
        <f t="shared" si="16"/>
        <v>20.804976242424242</v>
      </c>
      <c r="J136" s="120">
        <f t="shared" si="19"/>
        <v>25.665952000000001</v>
      </c>
      <c r="K136" s="114"/>
      <c r="L136" s="127">
        <f t="shared" si="20"/>
        <v>23.332683636363637</v>
      </c>
      <c r="M136" s="83"/>
    </row>
    <row r="137" spans="1:13" s="8" customFormat="1" ht="24.95" customHeight="1">
      <c r="A137" s="2" t="s">
        <v>2684</v>
      </c>
      <c r="B137" s="2" t="s">
        <v>2685</v>
      </c>
      <c r="C137" s="2"/>
      <c r="D137" s="3" t="s">
        <v>2686</v>
      </c>
      <c r="E137" s="15">
        <v>653.43200000000002</v>
      </c>
      <c r="F137" s="120">
        <f t="shared" si="21"/>
        <v>23.305741333333337</v>
      </c>
      <c r="G137" s="120">
        <f t="shared" si="17"/>
        <v>22.626933333333334</v>
      </c>
      <c r="H137" s="120">
        <f t="shared" si="18"/>
        <v>22.195944126984127</v>
      </c>
      <c r="I137" s="120">
        <f t="shared" ref="I137:I200" si="22">F137*100/110</f>
        <v>21.187037575757579</v>
      </c>
      <c r="J137" s="120">
        <f t="shared" si="19"/>
        <v>26.137279999999997</v>
      </c>
      <c r="K137" s="114"/>
      <c r="L137" s="127">
        <f t="shared" si="20"/>
        <v>23.761163636363634</v>
      </c>
      <c r="M137" s="83"/>
    </row>
    <row r="138" spans="1:13" s="8" customFormat="1" ht="24.95" customHeight="1">
      <c r="A138" s="2" t="s">
        <v>2687</v>
      </c>
      <c r="B138" s="2" t="s">
        <v>2688</v>
      </c>
      <c r="C138" s="2"/>
      <c r="D138" s="3" t="s">
        <v>2689</v>
      </c>
      <c r="E138" s="15">
        <v>685.5680000000001</v>
      </c>
      <c r="F138" s="120">
        <f t="shared" si="21"/>
        <v>24.451925333333339</v>
      </c>
      <c r="G138" s="120">
        <f t="shared" si="17"/>
        <v>23.739733333333337</v>
      </c>
      <c r="H138" s="120">
        <f t="shared" si="18"/>
        <v>23.287547936507941</v>
      </c>
      <c r="I138" s="120">
        <f t="shared" si="22"/>
        <v>22.229023030303036</v>
      </c>
      <c r="J138" s="120">
        <f t="shared" si="19"/>
        <v>27.422720000000005</v>
      </c>
      <c r="K138" s="114"/>
      <c r="L138" s="127">
        <f t="shared" si="20"/>
        <v>24.929745454545458</v>
      </c>
      <c r="M138" s="83"/>
    </row>
    <row r="139" spans="1:13" s="8" customFormat="1" ht="24.95" customHeight="1">
      <c r="A139" s="2" t="s">
        <v>2690</v>
      </c>
      <c r="B139" s="2" t="s">
        <v>2691</v>
      </c>
      <c r="C139" s="2" t="s">
        <v>8666</v>
      </c>
      <c r="D139" s="3" t="s">
        <v>2692</v>
      </c>
      <c r="E139" s="15">
        <v>717.70400000000006</v>
      </c>
      <c r="F139" s="120">
        <f t="shared" si="21"/>
        <v>25.598109333333337</v>
      </c>
      <c r="G139" s="120">
        <f t="shared" si="17"/>
        <v>24.852533333333337</v>
      </c>
      <c r="H139" s="120">
        <f t="shared" si="18"/>
        <v>24.379151746031749</v>
      </c>
      <c r="I139" s="120">
        <f t="shared" si="22"/>
        <v>23.271008484848487</v>
      </c>
      <c r="J139" s="120">
        <f t="shared" si="19"/>
        <v>28.708160000000003</v>
      </c>
      <c r="K139" s="114"/>
      <c r="L139" s="127">
        <f t="shared" si="20"/>
        <v>26.098327272727275</v>
      </c>
      <c r="M139" s="83"/>
    </row>
    <row r="140" spans="1:13" s="8" customFormat="1" ht="24.95" customHeight="1">
      <c r="A140" s="2" t="s">
        <v>2693</v>
      </c>
      <c r="B140" s="2" t="s">
        <v>2694</v>
      </c>
      <c r="C140" s="2"/>
      <c r="D140" s="3" t="s">
        <v>2695</v>
      </c>
      <c r="E140" s="15">
        <v>632.00800000000004</v>
      </c>
      <c r="F140" s="120">
        <f t="shared" si="21"/>
        <v>22.541618666666672</v>
      </c>
      <c r="G140" s="120">
        <f t="shared" si="17"/>
        <v>21.885066666666674</v>
      </c>
      <c r="H140" s="120">
        <f t="shared" si="18"/>
        <v>21.46820825396826</v>
      </c>
      <c r="I140" s="120">
        <f t="shared" si="22"/>
        <v>20.49238060606061</v>
      </c>
      <c r="J140" s="120">
        <f t="shared" si="19"/>
        <v>25.280320000000003</v>
      </c>
      <c r="K140" s="114"/>
      <c r="L140" s="127">
        <f t="shared" si="20"/>
        <v>22.982109090909091</v>
      </c>
      <c r="M140" s="83"/>
    </row>
    <row r="141" spans="1:13" s="8" customFormat="1" ht="24.95" customHeight="1">
      <c r="A141" s="2" t="s">
        <v>2696</v>
      </c>
      <c r="B141" s="2" t="s">
        <v>2697</v>
      </c>
      <c r="C141" s="2" t="s">
        <v>8637</v>
      </c>
      <c r="D141" s="3" t="s">
        <v>2698</v>
      </c>
      <c r="E141" s="15">
        <v>742.34159999999997</v>
      </c>
      <c r="F141" s="120">
        <f t="shared" si="21"/>
        <v>26.4768504</v>
      </c>
      <c r="G141" s="120">
        <f t="shared" si="17"/>
        <v>25.705679999999997</v>
      </c>
      <c r="H141" s="120">
        <f t="shared" si="18"/>
        <v>25.216047999999997</v>
      </c>
      <c r="I141" s="120">
        <f t="shared" si="22"/>
        <v>24.069863999999999</v>
      </c>
      <c r="J141" s="120">
        <f t="shared" si="19"/>
        <v>29.693663999999998</v>
      </c>
      <c r="K141" s="114"/>
      <c r="L141" s="127">
        <f t="shared" si="20"/>
        <v>26.994239999999998</v>
      </c>
      <c r="M141" s="83"/>
    </row>
    <row r="142" spans="1:13" s="8" customFormat="1" ht="24.95" customHeight="1">
      <c r="A142" s="2" t="s">
        <v>2699</v>
      </c>
      <c r="B142" s="2" t="s">
        <v>2700</v>
      </c>
      <c r="C142" s="2"/>
      <c r="D142" s="3" t="s">
        <v>2701</v>
      </c>
      <c r="E142" s="15">
        <v>942.65599999999995</v>
      </c>
      <c r="F142" s="120">
        <f t="shared" si="21"/>
        <v>33.621397333333334</v>
      </c>
      <c r="G142" s="120">
        <f t="shared" si="17"/>
        <v>32.642133333333334</v>
      </c>
      <c r="H142" s="120">
        <f t="shared" si="18"/>
        <v>32.020378412698413</v>
      </c>
      <c r="I142" s="120">
        <f t="shared" si="22"/>
        <v>30.564906666666669</v>
      </c>
      <c r="J142" s="120">
        <f t="shared" si="19"/>
        <v>37.706239999999994</v>
      </c>
      <c r="K142" s="114"/>
      <c r="L142" s="127">
        <f t="shared" si="20"/>
        <v>34.278399999999998</v>
      </c>
      <c r="M142" s="83"/>
    </row>
    <row r="143" spans="1:13" s="8" customFormat="1" ht="24.95" customHeight="1">
      <c r="A143" s="2" t="s">
        <v>2702</v>
      </c>
      <c r="B143" s="2" t="s">
        <v>2703</v>
      </c>
      <c r="C143" s="2"/>
      <c r="D143" s="3" t="s">
        <v>2704</v>
      </c>
      <c r="E143" s="15">
        <v>551.66800000000001</v>
      </c>
      <c r="F143" s="120">
        <f t="shared" si="21"/>
        <v>19.676158666666666</v>
      </c>
      <c r="G143" s="120">
        <f t="shared" si="17"/>
        <v>19.103066666666667</v>
      </c>
      <c r="H143" s="120">
        <f t="shared" si="18"/>
        <v>18.73919873015873</v>
      </c>
      <c r="I143" s="120">
        <f t="shared" si="22"/>
        <v>17.887416969696968</v>
      </c>
      <c r="J143" s="120">
        <f t="shared" si="19"/>
        <v>22.066719999999997</v>
      </c>
      <c r="K143" s="114"/>
      <c r="L143" s="127">
        <f t="shared" si="20"/>
        <v>20.060654545454543</v>
      </c>
      <c r="M143" s="83"/>
    </row>
    <row r="144" spans="1:13" s="8" customFormat="1" ht="24.95" customHeight="1">
      <c r="A144" s="2" t="s">
        <v>2705</v>
      </c>
      <c r="B144" s="2" t="s">
        <v>2706</v>
      </c>
      <c r="C144" s="2" t="s">
        <v>8650</v>
      </c>
      <c r="D144" s="3" t="s">
        <v>2707</v>
      </c>
      <c r="E144" s="15">
        <v>709.13440000000003</v>
      </c>
      <c r="F144" s="120">
        <f t="shared" si="21"/>
        <v>25.292460266666669</v>
      </c>
      <c r="G144" s="120">
        <f t="shared" si="17"/>
        <v>24.55578666666667</v>
      </c>
      <c r="H144" s="120">
        <f t="shared" si="18"/>
        <v>24.088057396825402</v>
      </c>
      <c r="I144" s="120">
        <f t="shared" si="22"/>
        <v>22.993145696969702</v>
      </c>
      <c r="J144" s="120">
        <f t="shared" si="19"/>
        <v>28.365376000000001</v>
      </c>
      <c r="K144" s="114"/>
      <c r="L144" s="127">
        <f t="shared" si="20"/>
        <v>25.786705454545455</v>
      </c>
      <c r="M144" s="83"/>
    </row>
    <row r="145" spans="1:13" s="8" customFormat="1" ht="24.95" customHeight="1">
      <c r="A145" s="2" t="s">
        <v>2708</v>
      </c>
      <c r="B145" s="2" t="s">
        <v>2709</v>
      </c>
      <c r="C145" s="2"/>
      <c r="D145" s="3" t="s">
        <v>2710</v>
      </c>
      <c r="E145" s="15">
        <v>709.13440000000003</v>
      </c>
      <c r="F145" s="120">
        <f t="shared" si="21"/>
        <v>25.292460266666669</v>
      </c>
      <c r="G145" s="120">
        <f t="shared" si="17"/>
        <v>24.55578666666667</v>
      </c>
      <c r="H145" s="120">
        <f t="shared" si="18"/>
        <v>24.088057396825402</v>
      </c>
      <c r="I145" s="120">
        <f t="shared" si="22"/>
        <v>22.993145696969702</v>
      </c>
      <c r="J145" s="120">
        <f t="shared" si="19"/>
        <v>28.365376000000001</v>
      </c>
      <c r="K145" s="114"/>
      <c r="L145" s="127">
        <f t="shared" si="20"/>
        <v>25.786705454545455</v>
      </c>
      <c r="M145" s="83"/>
    </row>
    <row r="146" spans="1:13" s="8" customFormat="1" ht="24.95" customHeight="1">
      <c r="A146" s="2" t="s">
        <v>2711</v>
      </c>
      <c r="B146" s="2" t="s">
        <v>2712</v>
      </c>
      <c r="C146" s="2"/>
      <c r="D146" s="3" t="s">
        <v>2713</v>
      </c>
      <c r="E146" s="15">
        <v>821.61040000000003</v>
      </c>
      <c r="F146" s="120">
        <f t="shared" si="21"/>
        <v>29.30410426666667</v>
      </c>
      <c r="G146" s="120">
        <f t="shared" si="17"/>
        <v>28.45058666666667</v>
      </c>
      <c r="H146" s="120">
        <f t="shared" si="18"/>
        <v>27.908670730158732</v>
      </c>
      <c r="I146" s="120">
        <f t="shared" si="22"/>
        <v>26.640094787878787</v>
      </c>
      <c r="J146" s="120">
        <f t="shared" si="19"/>
        <v>32.864415999999999</v>
      </c>
      <c r="K146" s="114"/>
      <c r="L146" s="127">
        <f t="shared" si="20"/>
        <v>29.876741818181817</v>
      </c>
      <c r="M146" s="83"/>
    </row>
    <row r="147" spans="1:13" s="8" customFormat="1" ht="24.95" customHeight="1">
      <c r="A147" s="2" t="s">
        <v>2714</v>
      </c>
      <c r="B147" s="2" t="s">
        <v>2715</v>
      </c>
      <c r="C147" s="2"/>
      <c r="D147" s="3" t="s">
        <v>2716</v>
      </c>
      <c r="E147" s="15">
        <v>709.13440000000003</v>
      </c>
      <c r="F147" s="120">
        <f t="shared" si="21"/>
        <v>25.292460266666669</v>
      </c>
      <c r="G147" s="120">
        <f t="shared" si="17"/>
        <v>24.55578666666667</v>
      </c>
      <c r="H147" s="120">
        <f t="shared" si="18"/>
        <v>24.088057396825402</v>
      </c>
      <c r="I147" s="120">
        <f t="shared" si="22"/>
        <v>22.993145696969702</v>
      </c>
      <c r="J147" s="120">
        <f t="shared" si="19"/>
        <v>28.365376000000001</v>
      </c>
      <c r="K147" s="114"/>
      <c r="L147" s="127">
        <f t="shared" si="20"/>
        <v>25.786705454545455</v>
      </c>
      <c r="M147" s="83"/>
    </row>
    <row r="148" spans="1:13" s="8" customFormat="1" ht="24.95" customHeight="1">
      <c r="A148" s="2" t="s">
        <v>2717</v>
      </c>
      <c r="B148" s="2" t="s">
        <v>2718</v>
      </c>
      <c r="C148" s="2"/>
      <c r="D148" s="3" t="s">
        <v>2719</v>
      </c>
      <c r="E148" s="15">
        <v>749.84</v>
      </c>
      <c r="F148" s="120">
        <f t="shared" si="21"/>
        <v>26.744293333333339</v>
      </c>
      <c r="G148" s="120">
        <f t="shared" si="17"/>
        <v>25.965333333333341</v>
      </c>
      <c r="H148" s="120">
        <f t="shared" si="18"/>
        <v>25.470755555555563</v>
      </c>
      <c r="I148" s="120">
        <f t="shared" si="22"/>
        <v>24.312993939393944</v>
      </c>
      <c r="J148" s="120">
        <f t="shared" si="19"/>
        <v>29.993600000000001</v>
      </c>
      <c r="K148" s="114"/>
      <c r="L148" s="127">
        <f t="shared" si="20"/>
        <v>27.266909090909092</v>
      </c>
      <c r="M148" s="83"/>
    </row>
    <row r="149" spans="1:13" s="8" customFormat="1" ht="24.95" customHeight="1">
      <c r="A149" s="2" t="s">
        <v>2720</v>
      </c>
      <c r="B149" s="2" t="s">
        <v>2721</v>
      </c>
      <c r="C149" s="2"/>
      <c r="D149" s="3" t="s">
        <v>2722</v>
      </c>
      <c r="E149" s="15">
        <v>719.84640000000002</v>
      </c>
      <c r="F149" s="120">
        <f t="shared" si="21"/>
        <v>25.674521600000002</v>
      </c>
      <c r="G149" s="120">
        <f t="shared" si="17"/>
        <v>24.926720000000003</v>
      </c>
      <c r="H149" s="120">
        <f t="shared" si="18"/>
        <v>24.451925333333335</v>
      </c>
      <c r="I149" s="120">
        <f t="shared" si="22"/>
        <v>23.340474181818184</v>
      </c>
      <c r="J149" s="120">
        <f t="shared" si="19"/>
        <v>28.793856000000002</v>
      </c>
      <c r="K149" s="114"/>
      <c r="L149" s="127">
        <f t="shared" si="20"/>
        <v>26.17623272727273</v>
      </c>
      <c r="M149" s="83"/>
    </row>
    <row r="150" spans="1:13" s="8" customFormat="1" ht="24.95" customHeight="1">
      <c r="A150" s="2" t="s">
        <v>2723</v>
      </c>
      <c r="B150" s="2" t="s">
        <v>2724</v>
      </c>
      <c r="C150" s="2"/>
      <c r="D150" s="3" t="s">
        <v>2725</v>
      </c>
      <c r="E150" s="15">
        <v>844.10559999999998</v>
      </c>
      <c r="F150" s="120">
        <f t="shared" si="21"/>
        <v>30.106433066666668</v>
      </c>
      <c r="G150" s="120">
        <f t="shared" si="17"/>
        <v>29.229546666666668</v>
      </c>
      <c r="H150" s="120">
        <f t="shared" si="18"/>
        <v>28.672793396825398</v>
      </c>
      <c r="I150" s="120">
        <f t="shared" si="22"/>
        <v>27.369484606060606</v>
      </c>
      <c r="J150" s="120">
        <f t="shared" si="19"/>
        <v>33.764223999999999</v>
      </c>
      <c r="K150" s="114"/>
      <c r="L150" s="127">
        <f t="shared" si="20"/>
        <v>30.694749090909088</v>
      </c>
      <c r="M150" s="83"/>
    </row>
    <row r="151" spans="1:13" s="8" customFormat="1" ht="24.95" customHeight="1">
      <c r="A151" s="2" t="s">
        <v>2726</v>
      </c>
      <c r="B151" s="2" t="s">
        <v>2727</v>
      </c>
      <c r="C151" s="2" t="s">
        <v>8646</v>
      </c>
      <c r="D151" s="3" t="s">
        <v>2728</v>
      </c>
      <c r="E151" s="15">
        <v>754.12480000000005</v>
      </c>
      <c r="F151" s="120">
        <f t="shared" si="21"/>
        <v>26.897117866666672</v>
      </c>
      <c r="G151" s="120">
        <f t="shared" si="17"/>
        <v>26.113706666666673</v>
      </c>
      <c r="H151" s="120">
        <f t="shared" si="18"/>
        <v>25.616302730158736</v>
      </c>
      <c r="I151" s="120">
        <f t="shared" si="22"/>
        <v>24.451925333333339</v>
      </c>
      <c r="J151" s="120">
        <f t="shared" si="19"/>
        <v>30.164992000000002</v>
      </c>
      <c r="K151" s="114"/>
      <c r="L151" s="127">
        <f t="shared" si="20"/>
        <v>27.422720000000002</v>
      </c>
      <c r="M151" s="83"/>
    </row>
    <row r="152" spans="1:13" s="8" customFormat="1" ht="24.95" customHeight="1">
      <c r="A152" s="2" t="s">
        <v>2729</v>
      </c>
      <c r="B152" s="2" t="s">
        <v>2730</v>
      </c>
      <c r="C152" s="2"/>
      <c r="D152" s="3" t="s">
        <v>2731</v>
      </c>
      <c r="E152" s="15">
        <v>771.26400000000001</v>
      </c>
      <c r="F152" s="120">
        <f t="shared" si="21"/>
        <v>27.508416000000004</v>
      </c>
      <c r="G152" s="120">
        <f t="shared" si="17"/>
        <v>26.7072</v>
      </c>
      <c r="H152" s="120">
        <f t="shared" si="18"/>
        <v>26.19849142857143</v>
      </c>
      <c r="I152" s="120">
        <f t="shared" si="22"/>
        <v>25.007650909090909</v>
      </c>
      <c r="J152" s="120">
        <f t="shared" si="19"/>
        <v>30.850559999999998</v>
      </c>
      <c r="K152" s="114"/>
      <c r="L152" s="127">
        <f t="shared" si="20"/>
        <v>28.045963636363638</v>
      </c>
      <c r="M152" s="83"/>
    </row>
    <row r="153" spans="1:13" s="8" customFormat="1" ht="24.95" customHeight="1">
      <c r="A153" s="2" t="s">
        <v>2732</v>
      </c>
      <c r="B153" s="2" t="s">
        <v>2733</v>
      </c>
      <c r="C153" s="2" t="s">
        <v>8631</v>
      </c>
      <c r="D153" s="3" t="s">
        <v>8141</v>
      </c>
      <c r="E153" s="15">
        <v>832.32240000000002</v>
      </c>
      <c r="F153" s="120">
        <f t="shared" si="21"/>
        <v>29.686165600000002</v>
      </c>
      <c r="G153" s="120">
        <f t="shared" si="17"/>
        <v>28.821520000000003</v>
      </c>
      <c r="H153" s="120">
        <f t="shared" si="18"/>
        <v>28.272538666666669</v>
      </c>
      <c r="I153" s="120">
        <f t="shared" si="22"/>
        <v>26.987423272727277</v>
      </c>
      <c r="J153" s="120">
        <f t="shared" si="19"/>
        <v>33.292895999999999</v>
      </c>
      <c r="K153" s="114"/>
      <c r="L153" s="127">
        <f t="shared" si="20"/>
        <v>30.266269090909091</v>
      </c>
      <c r="M153" s="83"/>
    </row>
    <row r="154" spans="1:13" s="8" customFormat="1" ht="24.95" customHeight="1">
      <c r="A154" s="2" t="s">
        <v>2734</v>
      </c>
      <c r="B154" s="2" t="s">
        <v>2735</v>
      </c>
      <c r="C154" s="2"/>
      <c r="D154" s="3" t="s">
        <v>2736</v>
      </c>
      <c r="E154" s="15">
        <v>574.16320000000007</v>
      </c>
      <c r="F154" s="120">
        <f t="shared" si="21"/>
        <v>20.478487466666671</v>
      </c>
      <c r="G154" s="120">
        <f t="shared" si="17"/>
        <v>19.882026666666668</v>
      </c>
      <c r="H154" s="120">
        <f t="shared" si="18"/>
        <v>19.503321396825399</v>
      </c>
      <c r="I154" s="120">
        <f t="shared" si="22"/>
        <v>18.61680678787879</v>
      </c>
      <c r="J154" s="120">
        <f t="shared" si="19"/>
        <v>22.966528</v>
      </c>
      <c r="K154" s="114"/>
      <c r="L154" s="127">
        <f t="shared" si="20"/>
        <v>20.878661818181818</v>
      </c>
      <c r="M154" s="83"/>
    </row>
    <row r="155" spans="1:13" s="8" customFormat="1" ht="24.95" customHeight="1">
      <c r="A155" s="2" t="s">
        <v>2737</v>
      </c>
      <c r="B155" s="2" t="s">
        <v>2738</v>
      </c>
      <c r="C155" s="2"/>
      <c r="D155" s="3" t="s">
        <v>2739</v>
      </c>
      <c r="E155" s="15">
        <v>754.12480000000005</v>
      </c>
      <c r="F155" s="120">
        <f t="shared" si="21"/>
        <v>26.897117866666672</v>
      </c>
      <c r="G155" s="120">
        <f t="shared" si="17"/>
        <v>26.113706666666673</v>
      </c>
      <c r="H155" s="120">
        <f t="shared" si="18"/>
        <v>25.616302730158736</v>
      </c>
      <c r="I155" s="120">
        <f t="shared" si="22"/>
        <v>24.451925333333339</v>
      </c>
      <c r="J155" s="120">
        <f t="shared" si="19"/>
        <v>30.164992000000002</v>
      </c>
      <c r="K155" s="114"/>
      <c r="L155" s="127">
        <f t="shared" si="20"/>
        <v>27.422720000000002</v>
      </c>
      <c r="M155" s="83"/>
    </row>
    <row r="156" spans="1:13" s="8" customFormat="1" ht="24.95" customHeight="1">
      <c r="A156" s="2" t="s">
        <v>2740</v>
      </c>
      <c r="B156" s="2" t="s">
        <v>2741</v>
      </c>
      <c r="C156" s="2"/>
      <c r="D156" s="3" t="s">
        <v>2742</v>
      </c>
      <c r="E156" s="15">
        <v>584.87519999999995</v>
      </c>
      <c r="F156" s="120">
        <f t="shared" si="21"/>
        <v>20.8605488</v>
      </c>
      <c r="G156" s="120">
        <f t="shared" si="17"/>
        <v>20.252960000000002</v>
      </c>
      <c r="H156" s="120">
        <f t="shared" si="18"/>
        <v>19.867189333333336</v>
      </c>
      <c r="I156" s="120">
        <f t="shared" si="22"/>
        <v>18.964135272727273</v>
      </c>
      <c r="J156" s="120">
        <f t="shared" si="19"/>
        <v>23.395007999999997</v>
      </c>
      <c r="K156" s="114"/>
      <c r="L156" s="127">
        <f t="shared" si="20"/>
        <v>21.268189090909086</v>
      </c>
      <c r="M156" s="83"/>
    </row>
    <row r="157" spans="1:13" s="8" customFormat="1" ht="24.95" customHeight="1">
      <c r="A157" s="2" t="s">
        <v>2743</v>
      </c>
      <c r="B157" s="2" t="s">
        <v>2744</v>
      </c>
      <c r="C157" s="2"/>
      <c r="D157" s="3" t="s">
        <v>2745</v>
      </c>
      <c r="E157" s="15">
        <v>764.83680000000004</v>
      </c>
      <c r="F157" s="120">
        <f t="shared" si="21"/>
        <v>27.279179200000002</v>
      </c>
      <c r="G157" s="120">
        <f t="shared" si="17"/>
        <v>26.484640000000002</v>
      </c>
      <c r="H157" s="120">
        <f t="shared" si="18"/>
        <v>25.98017066666667</v>
      </c>
      <c r="I157" s="120">
        <f t="shared" si="22"/>
        <v>24.799253818181821</v>
      </c>
      <c r="J157" s="120">
        <f t="shared" si="19"/>
        <v>30.593472000000002</v>
      </c>
      <c r="K157" s="114"/>
      <c r="L157" s="127">
        <f t="shared" si="20"/>
        <v>27.812247272727273</v>
      </c>
      <c r="M157" s="83"/>
    </row>
    <row r="158" spans="1:13" s="8" customFormat="1" ht="24.95" customHeight="1">
      <c r="A158" s="2" t="s">
        <v>2746</v>
      </c>
      <c r="B158" s="2" t="s">
        <v>2747</v>
      </c>
      <c r="C158" s="2" t="s">
        <v>8652</v>
      </c>
      <c r="D158" s="3" t="s">
        <v>2748</v>
      </c>
      <c r="E158" s="15">
        <v>810</v>
      </c>
      <c r="F158" s="120">
        <f t="shared" si="21"/>
        <v>28.89</v>
      </c>
      <c r="G158" s="120">
        <f t="shared" si="17"/>
        <v>28.04854368932039</v>
      </c>
      <c r="H158" s="120">
        <f t="shared" si="18"/>
        <v>27.514285714285716</v>
      </c>
      <c r="I158" s="120">
        <f t="shared" si="22"/>
        <v>26.263636363636362</v>
      </c>
      <c r="J158" s="120">
        <f t="shared" si="19"/>
        <v>32.4</v>
      </c>
      <c r="K158" s="114"/>
      <c r="L158" s="127">
        <f t="shared" si="20"/>
        <v>29.454545454545453</v>
      </c>
      <c r="M158" s="83"/>
    </row>
    <row r="159" spans="1:13" s="8" customFormat="1" ht="24.95" customHeight="1">
      <c r="A159" s="2" t="s">
        <v>2749</v>
      </c>
      <c r="B159" s="2" t="s">
        <v>2750</v>
      </c>
      <c r="C159" s="2" t="s">
        <v>8770</v>
      </c>
      <c r="D159" s="3" t="s">
        <v>2751</v>
      </c>
      <c r="E159" s="15">
        <v>719.84640000000002</v>
      </c>
      <c r="F159" s="120">
        <f t="shared" si="21"/>
        <v>25.674521600000002</v>
      </c>
      <c r="G159" s="120">
        <f t="shared" si="17"/>
        <v>24.926720000000003</v>
      </c>
      <c r="H159" s="120">
        <f t="shared" si="18"/>
        <v>24.451925333333335</v>
      </c>
      <c r="I159" s="120">
        <f t="shared" si="22"/>
        <v>23.340474181818184</v>
      </c>
      <c r="J159" s="120">
        <f t="shared" si="19"/>
        <v>28.793856000000002</v>
      </c>
      <c r="K159" s="114"/>
      <c r="L159" s="127">
        <f t="shared" si="20"/>
        <v>26.17623272727273</v>
      </c>
      <c r="M159" s="83"/>
    </row>
    <row r="160" spans="1:13" s="8" customFormat="1" ht="24.95" customHeight="1">
      <c r="A160" s="2" t="s">
        <v>2752</v>
      </c>
      <c r="B160" s="2" t="s">
        <v>2753</v>
      </c>
      <c r="C160" s="2"/>
      <c r="D160" s="3" t="s">
        <v>2754</v>
      </c>
      <c r="E160" s="15">
        <v>629.86559999999997</v>
      </c>
      <c r="F160" s="120">
        <f t="shared" si="21"/>
        <v>22.4652064</v>
      </c>
      <c r="G160" s="120">
        <f t="shared" si="17"/>
        <v>21.810879999999997</v>
      </c>
      <c r="H160" s="120">
        <f t="shared" si="18"/>
        <v>21.395434666666663</v>
      </c>
      <c r="I160" s="120">
        <f t="shared" si="22"/>
        <v>20.422914909090906</v>
      </c>
      <c r="J160" s="120">
        <f t="shared" si="19"/>
        <v>25.194623999999997</v>
      </c>
      <c r="K160" s="114"/>
      <c r="L160" s="127">
        <f t="shared" si="20"/>
        <v>22.904203636363636</v>
      </c>
      <c r="M160" s="83"/>
    </row>
    <row r="161" spans="1:13" s="8" customFormat="1" ht="24.95" customHeight="1">
      <c r="A161" s="2" t="s">
        <v>2755</v>
      </c>
      <c r="B161" s="2" t="s">
        <v>2756</v>
      </c>
      <c r="C161" s="2"/>
      <c r="D161" s="3" t="s">
        <v>2757</v>
      </c>
      <c r="E161" s="15">
        <v>719.84640000000002</v>
      </c>
      <c r="F161" s="120">
        <f t="shared" si="21"/>
        <v>25.674521600000002</v>
      </c>
      <c r="G161" s="120">
        <f t="shared" si="17"/>
        <v>24.926720000000003</v>
      </c>
      <c r="H161" s="120">
        <f t="shared" si="18"/>
        <v>24.451925333333335</v>
      </c>
      <c r="I161" s="120">
        <f t="shared" si="22"/>
        <v>23.340474181818184</v>
      </c>
      <c r="J161" s="120">
        <f t="shared" si="19"/>
        <v>28.793856000000002</v>
      </c>
      <c r="K161" s="114"/>
      <c r="L161" s="127">
        <f t="shared" si="20"/>
        <v>26.17623272727273</v>
      </c>
      <c r="M161" s="83"/>
    </row>
    <row r="162" spans="1:13" s="8" customFormat="1" ht="24.95" customHeight="1">
      <c r="A162" s="2" t="s">
        <v>2758</v>
      </c>
      <c r="B162" s="2" t="s">
        <v>2759</v>
      </c>
      <c r="C162" s="2"/>
      <c r="D162" s="3" t="s">
        <v>2760</v>
      </c>
      <c r="E162" s="15">
        <v>719.84640000000002</v>
      </c>
      <c r="F162" s="120">
        <f t="shared" si="21"/>
        <v>25.674521600000002</v>
      </c>
      <c r="G162" s="120">
        <f t="shared" si="17"/>
        <v>24.926720000000003</v>
      </c>
      <c r="H162" s="120">
        <f t="shared" si="18"/>
        <v>24.451925333333335</v>
      </c>
      <c r="I162" s="120">
        <f t="shared" si="22"/>
        <v>23.340474181818184</v>
      </c>
      <c r="J162" s="120">
        <f t="shared" si="19"/>
        <v>28.793856000000002</v>
      </c>
      <c r="K162" s="114"/>
      <c r="L162" s="127">
        <f t="shared" si="20"/>
        <v>26.17623272727273</v>
      </c>
      <c r="M162" s="83"/>
    </row>
    <row r="163" spans="1:13" s="8" customFormat="1" ht="24.95" customHeight="1">
      <c r="A163" s="2" t="s">
        <v>2761</v>
      </c>
      <c r="B163" s="2" t="s">
        <v>2762</v>
      </c>
      <c r="C163" s="2"/>
      <c r="D163" s="3" t="s">
        <v>2763</v>
      </c>
      <c r="E163" s="15">
        <v>619.15359999999998</v>
      </c>
      <c r="F163" s="120">
        <f t="shared" si="21"/>
        <v>22.083145066666667</v>
      </c>
      <c r="G163" s="120">
        <f t="shared" si="17"/>
        <v>21.439946666666668</v>
      </c>
      <c r="H163" s="120">
        <f t="shared" si="18"/>
        <v>21.03156673015873</v>
      </c>
      <c r="I163" s="120">
        <f t="shared" si="22"/>
        <v>20.075586424242424</v>
      </c>
      <c r="J163" s="120">
        <f t="shared" si="19"/>
        <v>24.766143999999997</v>
      </c>
      <c r="K163" s="114"/>
      <c r="L163" s="127">
        <f t="shared" si="20"/>
        <v>22.514676363636362</v>
      </c>
      <c r="M163" s="83"/>
    </row>
    <row r="164" spans="1:13" s="8" customFormat="1" ht="24.95" customHeight="1">
      <c r="A164" s="2" t="s">
        <v>2764</v>
      </c>
      <c r="B164" s="2" t="s">
        <v>2765</v>
      </c>
      <c r="C164" s="2"/>
      <c r="D164" s="3" t="s">
        <v>2766</v>
      </c>
      <c r="E164" s="15">
        <v>664.14400000000001</v>
      </c>
      <c r="F164" s="120">
        <f t="shared" si="21"/>
        <v>23.687802666666666</v>
      </c>
      <c r="G164" s="120">
        <f t="shared" si="17"/>
        <v>22.997866666666667</v>
      </c>
      <c r="H164" s="120">
        <f t="shared" si="18"/>
        <v>22.559812063492064</v>
      </c>
      <c r="I164" s="120">
        <f t="shared" si="22"/>
        <v>21.534366060606061</v>
      </c>
      <c r="J164" s="120">
        <f t="shared" si="19"/>
        <v>26.565760000000001</v>
      </c>
      <c r="K164" s="114"/>
      <c r="L164" s="127">
        <f t="shared" si="20"/>
        <v>24.150690909090908</v>
      </c>
      <c r="M164" s="83"/>
    </row>
    <row r="165" spans="1:13" s="8" customFormat="1" ht="24.95" customHeight="1">
      <c r="A165" s="2" t="s">
        <v>2767</v>
      </c>
      <c r="B165" s="2" t="s">
        <v>2768</v>
      </c>
      <c r="C165" s="2"/>
      <c r="D165" s="3" t="s">
        <v>2769</v>
      </c>
      <c r="E165" s="15">
        <v>596.65840000000003</v>
      </c>
      <c r="F165" s="120">
        <f t="shared" si="21"/>
        <v>21.280816266666669</v>
      </c>
      <c r="G165" s="120">
        <f t="shared" si="17"/>
        <v>20.66098666666667</v>
      </c>
      <c r="H165" s="120">
        <f t="shared" si="18"/>
        <v>20.267444063492068</v>
      </c>
      <c r="I165" s="120">
        <f t="shared" si="22"/>
        <v>19.346196606060609</v>
      </c>
      <c r="J165" s="120">
        <f t="shared" si="19"/>
        <v>23.866336</v>
      </c>
      <c r="K165" s="114"/>
      <c r="L165" s="127">
        <f t="shared" si="20"/>
        <v>21.696669090909094</v>
      </c>
      <c r="M165" s="83"/>
    </row>
    <row r="166" spans="1:13" s="8" customFormat="1" ht="24.95" customHeight="1">
      <c r="A166" s="2" t="s">
        <v>2770</v>
      </c>
      <c r="B166" s="2" t="s">
        <v>2771</v>
      </c>
      <c r="C166" s="2"/>
      <c r="D166" s="3" t="s">
        <v>2772</v>
      </c>
      <c r="E166" s="15">
        <v>742.34159999999997</v>
      </c>
      <c r="F166" s="120">
        <f t="shared" si="21"/>
        <v>26.4768504</v>
      </c>
      <c r="G166" s="120">
        <f t="shared" si="17"/>
        <v>25.705679999999997</v>
      </c>
      <c r="H166" s="120">
        <f t="shared" si="18"/>
        <v>25.216047999999997</v>
      </c>
      <c r="I166" s="120">
        <f t="shared" si="22"/>
        <v>24.069863999999999</v>
      </c>
      <c r="J166" s="120">
        <f t="shared" si="19"/>
        <v>29.693663999999998</v>
      </c>
      <c r="K166" s="114"/>
      <c r="L166" s="127">
        <f t="shared" si="20"/>
        <v>26.994239999999998</v>
      </c>
      <c r="M166" s="83"/>
    </row>
    <row r="167" spans="1:13" s="8" customFormat="1" ht="24.95" customHeight="1">
      <c r="A167" s="2" t="s">
        <v>2773</v>
      </c>
      <c r="B167" s="2" t="s">
        <v>2774</v>
      </c>
      <c r="C167" s="2"/>
      <c r="D167" s="3" t="s">
        <v>2775</v>
      </c>
      <c r="E167" s="15">
        <v>754.12480000000005</v>
      </c>
      <c r="F167" s="120">
        <f t="shared" si="21"/>
        <v>26.897117866666672</v>
      </c>
      <c r="G167" s="120">
        <f t="shared" si="17"/>
        <v>26.113706666666673</v>
      </c>
      <c r="H167" s="120">
        <f t="shared" si="18"/>
        <v>25.616302730158736</v>
      </c>
      <c r="I167" s="120">
        <f t="shared" si="22"/>
        <v>24.451925333333339</v>
      </c>
      <c r="J167" s="120">
        <f t="shared" si="19"/>
        <v>30.164992000000002</v>
      </c>
      <c r="K167" s="114"/>
      <c r="L167" s="127">
        <f t="shared" si="20"/>
        <v>27.422720000000002</v>
      </c>
      <c r="M167" s="83"/>
    </row>
    <row r="168" spans="1:13" s="8" customFormat="1" ht="24.95" customHeight="1">
      <c r="A168" s="2" t="s">
        <v>2776</v>
      </c>
      <c r="B168" s="2" t="s">
        <v>2777</v>
      </c>
      <c r="C168" s="2"/>
      <c r="D168" s="3" t="s">
        <v>2778</v>
      </c>
      <c r="E168" s="15">
        <v>749.84</v>
      </c>
      <c r="F168" s="120">
        <f t="shared" si="21"/>
        <v>26.744293333333339</v>
      </c>
      <c r="G168" s="120">
        <f t="shared" si="17"/>
        <v>25.965333333333341</v>
      </c>
      <c r="H168" s="120">
        <f t="shared" si="18"/>
        <v>25.470755555555563</v>
      </c>
      <c r="I168" s="120">
        <f t="shared" si="22"/>
        <v>24.312993939393944</v>
      </c>
      <c r="J168" s="120">
        <f t="shared" si="19"/>
        <v>29.993600000000001</v>
      </c>
      <c r="K168" s="114"/>
      <c r="L168" s="127">
        <f t="shared" si="20"/>
        <v>27.266909090909092</v>
      </c>
      <c r="M168" s="83"/>
    </row>
    <row r="169" spans="1:13" s="8" customFormat="1" ht="24.95" customHeight="1">
      <c r="A169" s="2" t="s">
        <v>2779</v>
      </c>
      <c r="B169" s="2" t="s">
        <v>2780</v>
      </c>
      <c r="C169" s="2"/>
      <c r="D169" s="3" t="s">
        <v>2781</v>
      </c>
      <c r="E169" s="15">
        <v>674.85599999999999</v>
      </c>
      <c r="F169" s="120">
        <f t="shared" si="21"/>
        <v>24.069864000000003</v>
      </c>
      <c r="G169" s="120">
        <f t="shared" si="17"/>
        <v>23.368800000000004</v>
      </c>
      <c r="H169" s="120">
        <f t="shared" si="18"/>
        <v>22.923680000000001</v>
      </c>
      <c r="I169" s="120">
        <f t="shared" si="22"/>
        <v>21.881694545454547</v>
      </c>
      <c r="J169" s="120">
        <f t="shared" si="19"/>
        <v>26.994239999999998</v>
      </c>
      <c r="K169" s="114"/>
      <c r="L169" s="127">
        <f t="shared" si="20"/>
        <v>24.540218181818179</v>
      </c>
      <c r="M169" s="83"/>
    </row>
    <row r="170" spans="1:13" s="8" customFormat="1" ht="24.95" customHeight="1">
      <c r="A170" s="2" t="s">
        <v>2782</v>
      </c>
      <c r="B170" s="2" t="s">
        <v>2783</v>
      </c>
      <c r="C170" s="2"/>
      <c r="D170" s="3" t="s">
        <v>2784</v>
      </c>
      <c r="E170" s="15">
        <v>719.84640000000002</v>
      </c>
      <c r="F170" s="120">
        <f t="shared" si="21"/>
        <v>25.674521600000002</v>
      </c>
      <c r="G170" s="120">
        <f t="shared" si="17"/>
        <v>24.926720000000003</v>
      </c>
      <c r="H170" s="120">
        <f t="shared" si="18"/>
        <v>24.451925333333335</v>
      </c>
      <c r="I170" s="120">
        <f t="shared" si="22"/>
        <v>23.340474181818184</v>
      </c>
      <c r="J170" s="120">
        <f t="shared" si="19"/>
        <v>28.793856000000002</v>
      </c>
      <c r="K170" s="114"/>
      <c r="L170" s="127">
        <f t="shared" si="20"/>
        <v>26.17623272727273</v>
      </c>
      <c r="M170" s="83"/>
    </row>
    <row r="171" spans="1:13" s="8" customFormat="1" ht="24.95" customHeight="1">
      <c r="A171" s="2" t="s">
        <v>2785</v>
      </c>
      <c r="B171" s="2" t="s">
        <v>2786</v>
      </c>
      <c r="C171" s="2"/>
      <c r="D171" s="3" t="s">
        <v>2787</v>
      </c>
      <c r="E171" s="15">
        <v>696.28</v>
      </c>
      <c r="F171" s="120">
        <f t="shared" si="21"/>
        <v>24.833986666666664</v>
      </c>
      <c r="G171" s="120">
        <f t="shared" si="17"/>
        <v>24.110666666666663</v>
      </c>
      <c r="H171" s="120">
        <f t="shared" si="18"/>
        <v>23.651415873015871</v>
      </c>
      <c r="I171" s="120">
        <f t="shared" si="22"/>
        <v>22.576351515151515</v>
      </c>
      <c r="J171" s="120">
        <f t="shared" si="19"/>
        <v>27.851199999999999</v>
      </c>
      <c r="K171" s="114"/>
      <c r="L171" s="127">
        <f t="shared" si="20"/>
        <v>25.319272727272725</v>
      </c>
      <c r="M171" s="83"/>
    </row>
    <row r="172" spans="1:13" s="8" customFormat="1" ht="24.95" customHeight="1">
      <c r="A172" s="2" t="s">
        <v>2788</v>
      </c>
      <c r="B172" s="2" t="s">
        <v>2789</v>
      </c>
      <c r="C172" s="2"/>
      <c r="D172" s="3" t="s">
        <v>2790</v>
      </c>
      <c r="E172" s="15">
        <v>642.72</v>
      </c>
      <c r="F172" s="120">
        <f t="shared" si="21"/>
        <v>22.923680000000001</v>
      </c>
      <c r="G172" s="120">
        <f t="shared" si="17"/>
        <v>22.256</v>
      </c>
      <c r="H172" s="120">
        <f t="shared" si="18"/>
        <v>21.83207619047619</v>
      </c>
      <c r="I172" s="120">
        <f t="shared" si="22"/>
        <v>20.839709090909089</v>
      </c>
      <c r="J172" s="120">
        <f t="shared" si="19"/>
        <v>25.7088</v>
      </c>
      <c r="K172" s="114"/>
      <c r="L172" s="127">
        <f t="shared" si="20"/>
        <v>23.371636363636362</v>
      </c>
      <c r="M172" s="83"/>
    </row>
    <row r="173" spans="1:13" s="8" customFormat="1" ht="24.95" customHeight="1">
      <c r="A173" s="2" t="s">
        <v>2791</v>
      </c>
      <c r="B173" s="2" t="s">
        <v>2792</v>
      </c>
      <c r="C173" s="2"/>
      <c r="D173" s="3" t="s">
        <v>2793</v>
      </c>
      <c r="E173" s="15">
        <v>709.13440000000003</v>
      </c>
      <c r="F173" s="120">
        <f t="shared" si="21"/>
        <v>25.292460266666669</v>
      </c>
      <c r="G173" s="120">
        <f t="shared" si="17"/>
        <v>24.55578666666667</v>
      </c>
      <c r="H173" s="120">
        <f t="shared" si="18"/>
        <v>24.088057396825402</v>
      </c>
      <c r="I173" s="120">
        <f t="shared" si="22"/>
        <v>22.993145696969702</v>
      </c>
      <c r="J173" s="120">
        <f t="shared" si="19"/>
        <v>28.365376000000001</v>
      </c>
      <c r="K173" s="114"/>
      <c r="L173" s="127">
        <f t="shared" si="20"/>
        <v>25.786705454545455</v>
      </c>
      <c r="M173" s="83"/>
    </row>
    <row r="174" spans="1:13" s="8" customFormat="1" ht="24.95" customHeight="1">
      <c r="A174" s="2" t="s">
        <v>2794</v>
      </c>
      <c r="B174" s="2" t="s">
        <v>2795</v>
      </c>
      <c r="C174" s="2"/>
      <c r="D174" s="3" t="s">
        <v>2796</v>
      </c>
      <c r="E174" s="15">
        <v>731.62959999999998</v>
      </c>
      <c r="F174" s="120">
        <f t="shared" si="21"/>
        <v>26.094789066666667</v>
      </c>
      <c r="G174" s="120">
        <f t="shared" si="17"/>
        <v>25.334746666666668</v>
      </c>
      <c r="H174" s="120">
        <f t="shared" si="18"/>
        <v>24.852180063492064</v>
      </c>
      <c r="I174" s="120">
        <f t="shared" si="22"/>
        <v>23.722535515151517</v>
      </c>
      <c r="J174" s="120">
        <f t="shared" si="19"/>
        <v>29.265183999999998</v>
      </c>
      <c r="K174" s="114"/>
      <c r="L174" s="127">
        <f t="shared" si="20"/>
        <v>26.604712727272727</v>
      </c>
      <c r="M174" s="83"/>
    </row>
    <row r="175" spans="1:13" s="8" customFormat="1" ht="24.95" customHeight="1">
      <c r="A175" s="2" t="s">
        <v>2797</v>
      </c>
      <c r="B175" s="2" t="s">
        <v>2798</v>
      </c>
      <c r="C175" s="2"/>
      <c r="D175" s="3" t="s">
        <v>8091</v>
      </c>
      <c r="E175" s="15">
        <v>717.70400000000006</v>
      </c>
      <c r="F175" s="120">
        <f t="shared" si="21"/>
        <v>25.598109333333337</v>
      </c>
      <c r="G175" s="120">
        <f t="shared" si="17"/>
        <v>24.852533333333337</v>
      </c>
      <c r="H175" s="120">
        <f t="shared" si="18"/>
        <v>24.379151746031749</v>
      </c>
      <c r="I175" s="120">
        <f t="shared" si="22"/>
        <v>23.271008484848487</v>
      </c>
      <c r="J175" s="120">
        <f t="shared" si="19"/>
        <v>28.708160000000003</v>
      </c>
      <c r="K175" s="114"/>
      <c r="L175" s="127">
        <f t="shared" si="20"/>
        <v>26.098327272727275</v>
      </c>
      <c r="M175" s="83"/>
    </row>
    <row r="176" spans="1:13" s="8" customFormat="1" ht="24.95" customHeight="1">
      <c r="A176" s="2" t="s">
        <v>2799</v>
      </c>
      <c r="B176" s="2" t="s">
        <v>2800</v>
      </c>
      <c r="C176" s="2" t="s">
        <v>8657</v>
      </c>
      <c r="D176" s="3" t="s">
        <v>2801</v>
      </c>
      <c r="E176" s="15">
        <v>653.43200000000002</v>
      </c>
      <c r="F176" s="120">
        <f t="shared" si="21"/>
        <v>23.305741333333337</v>
      </c>
      <c r="G176" s="120">
        <f t="shared" si="17"/>
        <v>22.626933333333334</v>
      </c>
      <c r="H176" s="120">
        <f t="shared" si="18"/>
        <v>22.195944126984127</v>
      </c>
      <c r="I176" s="120">
        <f t="shared" si="22"/>
        <v>21.187037575757579</v>
      </c>
      <c r="J176" s="120">
        <f t="shared" si="19"/>
        <v>26.137279999999997</v>
      </c>
      <c r="K176" s="114"/>
      <c r="L176" s="127">
        <f t="shared" si="20"/>
        <v>23.761163636363634</v>
      </c>
      <c r="M176" s="83"/>
    </row>
    <row r="177" spans="1:13" s="8" customFormat="1" ht="24.95" customHeight="1">
      <c r="A177" s="2" t="s">
        <v>2802</v>
      </c>
      <c r="B177" s="2" t="s">
        <v>2803</v>
      </c>
      <c r="C177" s="2"/>
      <c r="D177" s="3" t="s">
        <v>2804</v>
      </c>
      <c r="E177" s="15">
        <v>719.84640000000002</v>
      </c>
      <c r="F177" s="120">
        <f t="shared" si="21"/>
        <v>25.674521600000002</v>
      </c>
      <c r="G177" s="120">
        <f t="shared" si="17"/>
        <v>24.926720000000003</v>
      </c>
      <c r="H177" s="120">
        <f t="shared" si="18"/>
        <v>24.451925333333335</v>
      </c>
      <c r="I177" s="120">
        <f t="shared" si="22"/>
        <v>23.340474181818184</v>
      </c>
      <c r="J177" s="120">
        <f t="shared" si="19"/>
        <v>28.793856000000002</v>
      </c>
      <c r="K177" s="114"/>
      <c r="L177" s="127">
        <f t="shared" si="20"/>
        <v>26.17623272727273</v>
      </c>
      <c r="M177" s="83"/>
    </row>
    <row r="178" spans="1:13" s="8" customFormat="1" ht="24.95" customHeight="1">
      <c r="A178" s="2" t="s">
        <v>2805</v>
      </c>
      <c r="B178" s="2" t="s">
        <v>2806</v>
      </c>
      <c r="C178" s="2"/>
      <c r="D178" s="3" t="s">
        <v>2807</v>
      </c>
      <c r="E178" s="15">
        <v>709.13440000000003</v>
      </c>
      <c r="F178" s="120">
        <f t="shared" si="21"/>
        <v>25.292460266666669</v>
      </c>
      <c r="G178" s="120">
        <f t="shared" si="17"/>
        <v>24.55578666666667</v>
      </c>
      <c r="H178" s="120">
        <f t="shared" si="18"/>
        <v>24.088057396825402</v>
      </c>
      <c r="I178" s="120">
        <f t="shared" si="22"/>
        <v>22.993145696969702</v>
      </c>
      <c r="J178" s="120">
        <f t="shared" si="19"/>
        <v>28.365376000000001</v>
      </c>
      <c r="K178" s="114"/>
      <c r="L178" s="127">
        <f t="shared" si="20"/>
        <v>25.786705454545455</v>
      </c>
      <c r="M178" s="83"/>
    </row>
    <row r="179" spans="1:13" s="8" customFormat="1" ht="24.95" customHeight="1">
      <c r="A179" s="2" t="s">
        <v>2808</v>
      </c>
      <c r="B179" s="2" t="s">
        <v>2809</v>
      </c>
      <c r="C179" s="2"/>
      <c r="D179" s="3" t="s">
        <v>2810</v>
      </c>
      <c r="E179" s="15">
        <v>823.75280000000009</v>
      </c>
      <c r="F179" s="120">
        <f t="shared" si="21"/>
        <v>29.380516533333338</v>
      </c>
      <c r="G179" s="120">
        <f t="shared" si="17"/>
        <v>28.524773333333339</v>
      </c>
      <c r="H179" s="120">
        <f t="shared" si="18"/>
        <v>27.981444317460323</v>
      </c>
      <c r="I179" s="120">
        <f t="shared" si="22"/>
        <v>26.709560484848488</v>
      </c>
      <c r="J179" s="120">
        <f t="shared" si="19"/>
        <v>32.950112000000004</v>
      </c>
      <c r="K179" s="114"/>
      <c r="L179" s="127">
        <f t="shared" si="20"/>
        <v>29.954647272727275</v>
      </c>
      <c r="M179" s="83"/>
    </row>
    <row r="180" spans="1:13" s="8" customFormat="1" ht="24.95" customHeight="1">
      <c r="A180" s="2" t="s">
        <v>2811</v>
      </c>
      <c r="B180" s="2" t="s">
        <v>2812</v>
      </c>
      <c r="C180" s="2"/>
      <c r="D180" s="3" t="s">
        <v>2813</v>
      </c>
      <c r="E180" s="15">
        <v>731.62959999999998</v>
      </c>
      <c r="F180" s="120">
        <f t="shared" si="21"/>
        <v>26.094789066666667</v>
      </c>
      <c r="G180" s="120">
        <f t="shared" si="17"/>
        <v>25.334746666666668</v>
      </c>
      <c r="H180" s="120">
        <f t="shared" si="18"/>
        <v>24.852180063492064</v>
      </c>
      <c r="I180" s="120">
        <f t="shared" si="22"/>
        <v>23.722535515151517</v>
      </c>
      <c r="J180" s="120">
        <f t="shared" si="19"/>
        <v>29.265183999999998</v>
      </c>
      <c r="K180" s="114"/>
      <c r="L180" s="127">
        <f t="shared" si="20"/>
        <v>26.604712727272727</v>
      </c>
      <c r="M180" s="83"/>
    </row>
    <row r="181" spans="1:13" s="8" customFormat="1" ht="24.95" customHeight="1">
      <c r="A181" s="2" t="s">
        <v>2814</v>
      </c>
      <c r="B181" s="2" t="s">
        <v>2815</v>
      </c>
      <c r="C181" s="2"/>
      <c r="D181" s="3" t="s">
        <v>2816</v>
      </c>
      <c r="E181" s="15">
        <v>1059.4168</v>
      </c>
      <c r="F181" s="120">
        <f t="shared" si="21"/>
        <v>37.785865866666668</v>
      </c>
      <c r="G181" s="120">
        <f t="shared" si="17"/>
        <v>36.685306666666669</v>
      </c>
      <c r="H181" s="120">
        <f t="shared" si="18"/>
        <v>35.986538920634921</v>
      </c>
      <c r="I181" s="120">
        <f t="shared" si="22"/>
        <v>34.350787151515149</v>
      </c>
      <c r="J181" s="120">
        <f t="shared" si="19"/>
        <v>42.376671999999999</v>
      </c>
      <c r="K181" s="114"/>
      <c r="L181" s="127">
        <f t="shared" si="20"/>
        <v>38.524247272727273</v>
      </c>
      <c r="M181" s="83"/>
    </row>
    <row r="182" spans="1:13" s="8" customFormat="1" ht="24.95" customHeight="1">
      <c r="A182" s="2" t="s">
        <v>2817</v>
      </c>
      <c r="B182" s="2" t="s">
        <v>2818</v>
      </c>
      <c r="C182" s="2"/>
      <c r="D182" s="3" t="s">
        <v>2819</v>
      </c>
      <c r="E182" s="15">
        <v>629.86559999999997</v>
      </c>
      <c r="F182" s="120">
        <f t="shared" si="21"/>
        <v>22.4652064</v>
      </c>
      <c r="G182" s="120">
        <f t="shared" si="17"/>
        <v>21.810879999999997</v>
      </c>
      <c r="H182" s="120">
        <f t="shared" si="18"/>
        <v>21.395434666666663</v>
      </c>
      <c r="I182" s="120">
        <f t="shared" si="22"/>
        <v>20.422914909090906</v>
      </c>
      <c r="J182" s="120">
        <f t="shared" si="19"/>
        <v>25.194623999999997</v>
      </c>
      <c r="K182" s="114"/>
      <c r="L182" s="127">
        <f t="shared" si="20"/>
        <v>22.904203636363636</v>
      </c>
      <c r="M182" s="83"/>
    </row>
    <row r="183" spans="1:13" s="8" customFormat="1" ht="24.95" customHeight="1">
      <c r="A183" s="2" t="s">
        <v>2820</v>
      </c>
      <c r="B183" s="2" t="s">
        <v>2821</v>
      </c>
      <c r="C183" s="2"/>
      <c r="D183" s="3" t="s">
        <v>2822</v>
      </c>
      <c r="E183" s="15">
        <v>742.34159999999997</v>
      </c>
      <c r="F183" s="120">
        <f t="shared" si="21"/>
        <v>26.4768504</v>
      </c>
      <c r="G183" s="120">
        <f t="shared" si="17"/>
        <v>25.705679999999997</v>
      </c>
      <c r="H183" s="120">
        <f t="shared" si="18"/>
        <v>25.216047999999997</v>
      </c>
      <c r="I183" s="120">
        <f t="shared" si="22"/>
        <v>24.069863999999999</v>
      </c>
      <c r="J183" s="120">
        <f t="shared" si="19"/>
        <v>29.693663999999998</v>
      </c>
      <c r="K183" s="114"/>
      <c r="L183" s="127">
        <f t="shared" si="20"/>
        <v>26.994239999999998</v>
      </c>
      <c r="M183" s="83"/>
    </row>
    <row r="184" spans="1:13" s="8" customFormat="1" ht="24.95" customHeight="1">
      <c r="A184" s="2" t="s">
        <v>2823</v>
      </c>
      <c r="B184" s="2" t="s">
        <v>2824</v>
      </c>
      <c r="C184" s="2"/>
      <c r="D184" s="3" t="s">
        <v>2825</v>
      </c>
      <c r="E184" s="15">
        <v>686.63920000000007</v>
      </c>
      <c r="F184" s="120">
        <f t="shared" si="21"/>
        <v>24.490131466666671</v>
      </c>
      <c r="G184" s="120">
        <f t="shared" si="17"/>
        <v>23.776826666666672</v>
      </c>
      <c r="H184" s="120">
        <f t="shared" si="18"/>
        <v>23.323934730158733</v>
      </c>
      <c r="I184" s="120">
        <f t="shared" si="22"/>
        <v>22.263755878787883</v>
      </c>
      <c r="J184" s="120">
        <f t="shared" si="19"/>
        <v>27.465568000000005</v>
      </c>
      <c r="K184" s="114"/>
      <c r="L184" s="127">
        <f t="shared" si="20"/>
        <v>24.968698181818183</v>
      </c>
      <c r="M184" s="83"/>
    </row>
    <row r="185" spans="1:13" s="8" customFormat="1" ht="24.95" customHeight="1">
      <c r="A185" s="2" t="s">
        <v>2826</v>
      </c>
      <c r="B185" s="2" t="s">
        <v>2827</v>
      </c>
      <c r="C185" s="2"/>
      <c r="D185" s="3" t="s">
        <v>2828</v>
      </c>
      <c r="E185" s="15">
        <v>674.85599999999999</v>
      </c>
      <c r="F185" s="120">
        <f t="shared" si="21"/>
        <v>24.069864000000003</v>
      </c>
      <c r="G185" s="120">
        <f t="shared" si="17"/>
        <v>23.368800000000004</v>
      </c>
      <c r="H185" s="120">
        <f t="shared" si="18"/>
        <v>22.923680000000001</v>
      </c>
      <c r="I185" s="120">
        <f t="shared" si="22"/>
        <v>21.881694545454547</v>
      </c>
      <c r="J185" s="120">
        <f t="shared" si="19"/>
        <v>26.994239999999998</v>
      </c>
      <c r="K185" s="114"/>
      <c r="L185" s="127">
        <f t="shared" si="20"/>
        <v>24.540218181818179</v>
      </c>
      <c r="M185" s="83"/>
    </row>
    <row r="186" spans="1:13" s="8" customFormat="1" ht="24.95" customHeight="1">
      <c r="A186" s="2" t="s">
        <v>2829</v>
      </c>
      <c r="B186" s="2" t="s">
        <v>2830</v>
      </c>
      <c r="C186" s="2"/>
      <c r="D186" s="3" t="s">
        <v>2831</v>
      </c>
      <c r="E186" s="15">
        <v>696.28</v>
      </c>
      <c r="F186" s="120">
        <f t="shared" si="21"/>
        <v>24.833986666666664</v>
      </c>
      <c r="G186" s="120">
        <f t="shared" si="17"/>
        <v>24.110666666666663</v>
      </c>
      <c r="H186" s="120">
        <f t="shared" si="18"/>
        <v>23.651415873015871</v>
      </c>
      <c r="I186" s="120">
        <f t="shared" si="22"/>
        <v>22.576351515151515</v>
      </c>
      <c r="J186" s="120">
        <f t="shared" si="19"/>
        <v>27.851199999999999</v>
      </c>
      <c r="K186" s="114"/>
      <c r="L186" s="127">
        <f t="shared" si="20"/>
        <v>25.319272727272725</v>
      </c>
      <c r="M186" s="83"/>
    </row>
    <row r="187" spans="1:13" s="8" customFormat="1" ht="24.95" customHeight="1">
      <c r="A187" s="2" t="s">
        <v>2832</v>
      </c>
      <c r="B187" s="2" t="s">
        <v>2833</v>
      </c>
      <c r="C187" s="2"/>
      <c r="D187" s="3" t="s">
        <v>2834</v>
      </c>
      <c r="E187" s="15">
        <v>696.28</v>
      </c>
      <c r="F187" s="120">
        <f t="shared" si="21"/>
        <v>24.833986666666664</v>
      </c>
      <c r="G187" s="120">
        <f t="shared" si="17"/>
        <v>24.110666666666663</v>
      </c>
      <c r="H187" s="120">
        <f t="shared" si="18"/>
        <v>23.651415873015871</v>
      </c>
      <c r="I187" s="120">
        <f t="shared" si="22"/>
        <v>22.576351515151515</v>
      </c>
      <c r="J187" s="120">
        <f t="shared" si="19"/>
        <v>27.851199999999999</v>
      </c>
      <c r="K187" s="114"/>
      <c r="L187" s="127">
        <f t="shared" si="20"/>
        <v>25.319272727272725</v>
      </c>
      <c r="M187" s="83"/>
    </row>
    <row r="188" spans="1:13" s="8" customFormat="1" ht="24.95" customHeight="1">
      <c r="A188" s="2" t="s">
        <v>2835</v>
      </c>
      <c r="B188" s="2" t="s">
        <v>2836</v>
      </c>
      <c r="C188" s="2"/>
      <c r="D188" s="3" t="s">
        <v>2837</v>
      </c>
      <c r="E188" s="15">
        <v>776.62</v>
      </c>
      <c r="F188" s="120">
        <f t="shared" si="21"/>
        <v>27.69944666666667</v>
      </c>
      <c r="G188" s="120">
        <f t="shared" si="17"/>
        <v>26.89266666666667</v>
      </c>
      <c r="H188" s="120">
        <f t="shared" si="18"/>
        <v>26.380425396825402</v>
      </c>
      <c r="I188" s="120">
        <f t="shared" si="22"/>
        <v>25.181315151515157</v>
      </c>
      <c r="J188" s="120">
        <f t="shared" si="19"/>
        <v>31.064799999999998</v>
      </c>
      <c r="K188" s="114"/>
      <c r="L188" s="127">
        <f t="shared" si="20"/>
        <v>28.24072727272727</v>
      </c>
      <c r="M188" s="83"/>
    </row>
    <row r="189" spans="1:13" s="8" customFormat="1" ht="24.95" customHeight="1">
      <c r="A189" s="2" t="s">
        <v>2838</v>
      </c>
      <c r="B189" s="2" t="s">
        <v>2839</v>
      </c>
      <c r="C189" s="2"/>
      <c r="D189" s="3" t="s">
        <v>2840</v>
      </c>
      <c r="E189" s="15">
        <v>837.67840000000001</v>
      </c>
      <c r="F189" s="120">
        <f t="shared" si="21"/>
        <v>29.877196266666669</v>
      </c>
      <c r="G189" s="120">
        <f t="shared" si="17"/>
        <v>29.00698666666667</v>
      </c>
      <c r="H189" s="120">
        <f t="shared" si="18"/>
        <v>28.454472634920638</v>
      </c>
      <c r="I189" s="120">
        <f t="shared" si="22"/>
        <v>27.161087515151518</v>
      </c>
      <c r="J189" s="120">
        <f t="shared" si="19"/>
        <v>33.507135999999996</v>
      </c>
      <c r="K189" s="114"/>
      <c r="L189" s="127">
        <f t="shared" si="20"/>
        <v>30.461032727272727</v>
      </c>
      <c r="M189" s="83"/>
    </row>
    <row r="190" spans="1:13" s="8" customFormat="1" ht="24.95" customHeight="1">
      <c r="A190" s="2" t="s">
        <v>2841</v>
      </c>
      <c r="B190" s="2" t="s">
        <v>2842</v>
      </c>
      <c r="C190" s="2"/>
      <c r="D190" s="3" t="s">
        <v>2843</v>
      </c>
      <c r="E190" s="15">
        <v>717.70400000000006</v>
      </c>
      <c r="F190" s="120">
        <f t="shared" si="21"/>
        <v>25.598109333333337</v>
      </c>
      <c r="G190" s="120">
        <f t="shared" si="17"/>
        <v>24.852533333333337</v>
      </c>
      <c r="H190" s="120">
        <f t="shared" si="18"/>
        <v>24.379151746031749</v>
      </c>
      <c r="I190" s="120">
        <f t="shared" si="22"/>
        <v>23.271008484848487</v>
      </c>
      <c r="J190" s="120">
        <f t="shared" si="19"/>
        <v>28.708160000000003</v>
      </c>
      <c r="K190" s="114"/>
      <c r="L190" s="127">
        <f t="shared" si="20"/>
        <v>26.098327272727275</v>
      </c>
      <c r="M190" s="83"/>
    </row>
    <row r="191" spans="1:13" s="8" customFormat="1" ht="24.95" customHeight="1">
      <c r="A191" s="2" t="s">
        <v>2844</v>
      </c>
      <c r="B191" s="2" t="s">
        <v>2845</v>
      </c>
      <c r="C191" s="2"/>
      <c r="D191" s="3" t="s">
        <v>2846</v>
      </c>
      <c r="E191" s="15">
        <v>610.58400000000006</v>
      </c>
      <c r="F191" s="120">
        <f t="shared" si="21"/>
        <v>21.777496000000003</v>
      </c>
      <c r="G191" s="120">
        <f t="shared" si="17"/>
        <v>21.1432</v>
      </c>
      <c r="H191" s="120">
        <f t="shared" si="18"/>
        <v>20.740472380952383</v>
      </c>
      <c r="I191" s="120">
        <f t="shared" si="22"/>
        <v>19.797723636363639</v>
      </c>
      <c r="J191" s="120">
        <f t="shared" si="19"/>
        <v>24.423360000000002</v>
      </c>
      <c r="K191" s="114"/>
      <c r="L191" s="127">
        <f t="shared" si="20"/>
        <v>22.203054545454549</v>
      </c>
      <c r="M191" s="83"/>
    </row>
    <row r="192" spans="1:13" s="8" customFormat="1" ht="24.95" customHeight="1">
      <c r="A192" s="2" t="s">
        <v>2847</v>
      </c>
      <c r="B192" s="2" t="s">
        <v>2848</v>
      </c>
      <c r="C192" s="2"/>
      <c r="D192" s="3" t="s">
        <v>2849</v>
      </c>
      <c r="E192" s="15">
        <v>749.84</v>
      </c>
      <c r="F192" s="120">
        <f t="shared" si="21"/>
        <v>26.744293333333339</v>
      </c>
      <c r="G192" s="120">
        <f t="shared" si="17"/>
        <v>25.965333333333341</v>
      </c>
      <c r="H192" s="120">
        <f t="shared" si="18"/>
        <v>25.470755555555563</v>
      </c>
      <c r="I192" s="120">
        <f t="shared" si="22"/>
        <v>24.312993939393944</v>
      </c>
      <c r="J192" s="120">
        <f t="shared" si="19"/>
        <v>29.993600000000001</v>
      </c>
      <c r="K192" s="114"/>
      <c r="L192" s="127">
        <f t="shared" si="20"/>
        <v>27.266909090909092</v>
      </c>
      <c r="M192" s="83"/>
    </row>
    <row r="193" spans="1:13" s="8" customFormat="1" ht="24.95" customHeight="1">
      <c r="A193" s="2" t="s">
        <v>2850</v>
      </c>
      <c r="B193" s="2" t="s">
        <v>2851</v>
      </c>
      <c r="C193" s="2"/>
      <c r="D193" s="3" t="s">
        <v>2852</v>
      </c>
      <c r="E193" s="15">
        <v>890</v>
      </c>
      <c r="F193" s="120">
        <f t="shared" si="21"/>
        <v>31.743333333333336</v>
      </c>
      <c r="G193" s="120">
        <f t="shared" si="17"/>
        <v>30.818770226537218</v>
      </c>
      <c r="H193" s="120">
        <f t="shared" si="18"/>
        <v>30.231746031746034</v>
      </c>
      <c r="I193" s="120">
        <f t="shared" si="22"/>
        <v>28.857575757575759</v>
      </c>
      <c r="J193" s="120">
        <f t="shared" si="19"/>
        <v>35.6</v>
      </c>
      <c r="K193" s="114"/>
      <c r="L193" s="127">
        <f t="shared" si="20"/>
        <v>32.363636363636367</v>
      </c>
      <c r="M193" s="83"/>
    </row>
    <row r="194" spans="1:13" s="8" customFormat="1" ht="24.95" customHeight="1">
      <c r="A194" s="2" t="s">
        <v>2853</v>
      </c>
      <c r="B194" s="2" t="s">
        <v>2854</v>
      </c>
      <c r="C194" s="2"/>
      <c r="D194" s="3" t="s">
        <v>2855</v>
      </c>
      <c r="E194" s="15">
        <v>719.84640000000002</v>
      </c>
      <c r="F194" s="120">
        <f t="shared" si="21"/>
        <v>25.674521600000002</v>
      </c>
      <c r="G194" s="120">
        <f t="shared" si="17"/>
        <v>24.926720000000003</v>
      </c>
      <c r="H194" s="120">
        <f t="shared" si="18"/>
        <v>24.451925333333335</v>
      </c>
      <c r="I194" s="120">
        <f t="shared" si="22"/>
        <v>23.340474181818184</v>
      </c>
      <c r="J194" s="120">
        <f t="shared" si="19"/>
        <v>28.793856000000002</v>
      </c>
      <c r="K194" s="114"/>
      <c r="L194" s="127">
        <f t="shared" si="20"/>
        <v>26.17623272727273</v>
      </c>
      <c r="M194" s="83"/>
    </row>
    <row r="195" spans="1:13" s="8" customFormat="1" ht="24.95" customHeight="1">
      <c r="A195" s="2" t="s">
        <v>2856</v>
      </c>
      <c r="B195" s="2" t="s">
        <v>2857</v>
      </c>
      <c r="C195" s="2"/>
      <c r="D195" s="3" t="s">
        <v>2858</v>
      </c>
      <c r="E195" s="15">
        <v>685.5680000000001</v>
      </c>
      <c r="F195" s="120">
        <f t="shared" si="21"/>
        <v>24.451925333333339</v>
      </c>
      <c r="G195" s="120">
        <f t="shared" si="17"/>
        <v>23.739733333333337</v>
      </c>
      <c r="H195" s="120">
        <f t="shared" si="18"/>
        <v>23.287547936507941</v>
      </c>
      <c r="I195" s="120">
        <f t="shared" si="22"/>
        <v>22.229023030303036</v>
      </c>
      <c r="J195" s="120">
        <f t="shared" si="19"/>
        <v>27.422720000000005</v>
      </c>
      <c r="K195" s="114"/>
      <c r="L195" s="127">
        <f t="shared" si="20"/>
        <v>24.929745454545458</v>
      </c>
      <c r="M195" s="83"/>
    </row>
    <row r="196" spans="1:13" s="8" customFormat="1" ht="24.95" customHeight="1">
      <c r="A196" s="2" t="s">
        <v>2859</v>
      </c>
      <c r="B196" s="2" t="s">
        <v>2860</v>
      </c>
      <c r="C196" s="2" t="s">
        <v>8662</v>
      </c>
      <c r="D196" s="3" t="s">
        <v>2861</v>
      </c>
      <c r="E196" s="15">
        <v>685.5680000000001</v>
      </c>
      <c r="F196" s="120">
        <f t="shared" si="21"/>
        <v>24.451925333333339</v>
      </c>
      <c r="G196" s="120">
        <f t="shared" ref="G196:G259" si="23">F196*100/103</f>
        <v>23.739733333333337</v>
      </c>
      <c r="H196" s="120">
        <f t="shared" ref="H196:H259" si="24">F196*100/105</f>
        <v>23.287547936507941</v>
      </c>
      <c r="I196" s="120">
        <f t="shared" si="22"/>
        <v>22.229023030303036</v>
      </c>
      <c r="J196" s="120">
        <f t="shared" ref="J196:J259" si="25">+(E196*1.2/30)</f>
        <v>27.422720000000005</v>
      </c>
      <c r="K196" s="114"/>
      <c r="L196" s="127">
        <f t="shared" ref="L196:L232" si="26">+(E196*1.2/33)</f>
        <v>24.929745454545458</v>
      </c>
      <c r="M196" s="83"/>
    </row>
    <row r="197" spans="1:13" s="8" customFormat="1" ht="24.95" customHeight="1">
      <c r="A197" s="2" t="s">
        <v>2862</v>
      </c>
      <c r="B197" s="2" t="s">
        <v>2863</v>
      </c>
      <c r="C197" s="2"/>
      <c r="D197" s="3" t="s">
        <v>2864</v>
      </c>
      <c r="E197" s="15">
        <v>758.40959999999995</v>
      </c>
      <c r="F197" s="120">
        <f t="shared" si="21"/>
        <v>27.049942400000003</v>
      </c>
      <c r="G197" s="120">
        <f t="shared" si="23"/>
        <v>26.262080000000005</v>
      </c>
      <c r="H197" s="120">
        <f t="shared" si="24"/>
        <v>25.76184990476191</v>
      </c>
      <c r="I197" s="120">
        <f t="shared" si="22"/>
        <v>24.59085672727273</v>
      </c>
      <c r="J197" s="120">
        <f t="shared" si="25"/>
        <v>30.336383999999999</v>
      </c>
      <c r="K197" s="114"/>
      <c r="L197" s="127">
        <f t="shared" si="26"/>
        <v>27.578530909090908</v>
      </c>
      <c r="M197" s="83"/>
    </row>
    <row r="198" spans="1:13" s="8" customFormat="1" ht="24.95" customHeight="1">
      <c r="A198" s="2" t="s">
        <v>2865</v>
      </c>
      <c r="B198" s="2" t="s">
        <v>2866</v>
      </c>
      <c r="C198" s="2"/>
      <c r="D198" s="3" t="s">
        <v>2867</v>
      </c>
      <c r="E198" s="15">
        <v>621.29599999999994</v>
      </c>
      <c r="F198" s="120">
        <f t="shared" ref="F198:F261" si="27">+(E198*1.07/30)</f>
        <v>22.159557333333332</v>
      </c>
      <c r="G198" s="120">
        <f t="shared" si="23"/>
        <v>21.514133333333334</v>
      </c>
      <c r="H198" s="120">
        <f t="shared" si="24"/>
        <v>21.104340317460316</v>
      </c>
      <c r="I198" s="120">
        <f t="shared" si="22"/>
        <v>20.145052121212121</v>
      </c>
      <c r="J198" s="120">
        <f t="shared" si="25"/>
        <v>24.851839999999996</v>
      </c>
      <c r="K198" s="114"/>
      <c r="L198" s="127">
        <f t="shared" si="26"/>
        <v>22.592581818181817</v>
      </c>
      <c r="M198" s="83"/>
    </row>
    <row r="199" spans="1:13" s="8" customFormat="1" ht="24.95" customHeight="1">
      <c r="A199" s="2" t="s">
        <v>2868</v>
      </c>
      <c r="B199" s="2" t="s">
        <v>2869</v>
      </c>
      <c r="C199" s="2"/>
      <c r="D199" s="3" t="s">
        <v>2870</v>
      </c>
      <c r="E199" s="15">
        <v>697.35119999999995</v>
      </c>
      <c r="F199" s="120">
        <f t="shared" si="27"/>
        <v>24.872192800000001</v>
      </c>
      <c r="G199" s="120">
        <f t="shared" si="23"/>
        <v>24.147760000000002</v>
      </c>
      <c r="H199" s="120">
        <f t="shared" si="24"/>
        <v>23.68780266666667</v>
      </c>
      <c r="I199" s="120">
        <f t="shared" si="22"/>
        <v>22.611084363636365</v>
      </c>
      <c r="J199" s="120">
        <f t="shared" si="25"/>
        <v>27.894047999999998</v>
      </c>
      <c r="K199" s="114"/>
      <c r="L199" s="127">
        <f t="shared" si="26"/>
        <v>25.358225454545451</v>
      </c>
      <c r="M199" s="83"/>
    </row>
    <row r="200" spans="1:13" s="8" customFormat="1" ht="24.95" customHeight="1">
      <c r="A200" s="2" t="s">
        <v>2871</v>
      </c>
      <c r="B200" s="2" t="s">
        <v>2872</v>
      </c>
      <c r="C200" s="2"/>
      <c r="D200" s="3" t="s">
        <v>2873</v>
      </c>
      <c r="E200" s="15">
        <v>664.14400000000001</v>
      </c>
      <c r="F200" s="120">
        <f t="shared" si="27"/>
        <v>23.687802666666666</v>
      </c>
      <c r="G200" s="120">
        <f t="shared" si="23"/>
        <v>22.997866666666667</v>
      </c>
      <c r="H200" s="120">
        <f t="shared" si="24"/>
        <v>22.559812063492064</v>
      </c>
      <c r="I200" s="120">
        <f t="shared" si="22"/>
        <v>21.534366060606061</v>
      </c>
      <c r="J200" s="120">
        <f t="shared" si="25"/>
        <v>26.565760000000001</v>
      </c>
      <c r="K200" s="114"/>
      <c r="L200" s="127">
        <f t="shared" si="26"/>
        <v>24.150690909090908</v>
      </c>
      <c r="M200" s="83"/>
    </row>
    <row r="201" spans="1:13" s="8" customFormat="1" ht="24.95" customHeight="1">
      <c r="A201" s="2" t="s">
        <v>2874</v>
      </c>
      <c r="B201" s="2" t="s">
        <v>2875</v>
      </c>
      <c r="C201" s="2"/>
      <c r="D201" s="3" t="s">
        <v>2876</v>
      </c>
      <c r="E201" s="15">
        <v>629.86559999999997</v>
      </c>
      <c r="F201" s="120">
        <f t="shared" si="27"/>
        <v>22.4652064</v>
      </c>
      <c r="G201" s="120">
        <f t="shared" si="23"/>
        <v>21.810879999999997</v>
      </c>
      <c r="H201" s="120">
        <f t="shared" si="24"/>
        <v>21.395434666666663</v>
      </c>
      <c r="I201" s="120">
        <f t="shared" ref="I201:I264" si="28">F201*100/110</f>
        <v>20.422914909090906</v>
      </c>
      <c r="J201" s="120">
        <f t="shared" si="25"/>
        <v>25.194623999999997</v>
      </c>
      <c r="K201" s="114"/>
      <c r="L201" s="127">
        <f t="shared" si="26"/>
        <v>22.904203636363636</v>
      </c>
      <c r="M201" s="83"/>
    </row>
    <row r="202" spans="1:13" s="8" customFormat="1" ht="24.95" customHeight="1">
      <c r="A202" s="2" t="s">
        <v>2877</v>
      </c>
      <c r="B202" s="2" t="s">
        <v>2878</v>
      </c>
      <c r="C202" s="2"/>
      <c r="D202" s="3" t="s">
        <v>2879</v>
      </c>
      <c r="E202" s="15">
        <v>706.99200000000008</v>
      </c>
      <c r="F202" s="120">
        <f t="shared" si="27"/>
        <v>25.216048000000004</v>
      </c>
      <c r="G202" s="120">
        <f t="shared" si="23"/>
        <v>24.481600000000004</v>
      </c>
      <c r="H202" s="120">
        <f t="shared" si="24"/>
        <v>24.015283809523815</v>
      </c>
      <c r="I202" s="120">
        <f t="shared" si="28"/>
        <v>22.923680000000004</v>
      </c>
      <c r="J202" s="120">
        <f t="shared" si="25"/>
        <v>28.279680000000003</v>
      </c>
      <c r="K202" s="114"/>
      <c r="L202" s="127">
        <f t="shared" si="26"/>
        <v>25.708800000000004</v>
      </c>
      <c r="M202" s="83"/>
    </row>
    <row r="203" spans="1:13" s="8" customFormat="1" ht="24.95" customHeight="1">
      <c r="A203" s="2" t="s">
        <v>2880</v>
      </c>
      <c r="B203" s="2" t="s">
        <v>2881</v>
      </c>
      <c r="C203" s="2"/>
      <c r="D203" s="3" t="s">
        <v>2882</v>
      </c>
      <c r="E203" s="15">
        <v>766.97919999999999</v>
      </c>
      <c r="F203" s="120">
        <f t="shared" si="27"/>
        <v>27.35559146666667</v>
      </c>
      <c r="G203" s="120">
        <f t="shared" si="23"/>
        <v>26.558826666666668</v>
      </c>
      <c r="H203" s="120">
        <f t="shared" si="24"/>
        <v>26.052944253968256</v>
      </c>
      <c r="I203" s="120">
        <f t="shared" si="28"/>
        <v>24.868719515151518</v>
      </c>
      <c r="J203" s="120">
        <f t="shared" si="25"/>
        <v>30.679168000000001</v>
      </c>
      <c r="K203" s="114"/>
      <c r="L203" s="127">
        <f t="shared" si="26"/>
        <v>27.890152727272728</v>
      </c>
      <c r="M203" s="83"/>
    </row>
    <row r="204" spans="1:13" s="8" customFormat="1" ht="24.95" customHeight="1">
      <c r="A204" s="2" t="s">
        <v>2883</v>
      </c>
      <c r="B204" s="2" t="s">
        <v>2884</v>
      </c>
      <c r="C204" s="2"/>
      <c r="D204" s="3" t="s">
        <v>2885</v>
      </c>
      <c r="E204" s="15">
        <v>719.84640000000002</v>
      </c>
      <c r="F204" s="120">
        <f t="shared" si="27"/>
        <v>25.674521600000002</v>
      </c>
      <c r="G204" s="120">
        <f t="shared" si="23"/>
        <v>24.926720000000003</v>
      </c>
      <c r="H204" s="120">
        <f t="shared" si="24"/>
        <v>24.451925333333335</v>
      </c>
      <c r="I204" s="120">
        <f t="shared" si="28"/>
        <v>23.340474181818184</v>
      </c>
      <c r="J204" s="120">
        <f t="shared" si="25"/>
        <v>28.793856000000002</v>
      </c>
      <c r="K204" s="114"/>
      <c r="L204" s="127">
        <f t="shared" si="26"/>
        <v>26.17623272727273</v>
      </c>
      <c r="M204" s="83"/>
    </row>
    <row r="205" spans="1:13" s="8" customFormat="1" ht="24.95" customHeight="1">
      <c r="A205" s="2" t="s">
        <v>2886</v>
      </c>
      <c r="B205" s="2" t="s">
        <v>2887</v>
      </c>
      <c r="C205" s="2"/>
      <c r="D205" s="3" t="s">
        <v>2888</v>
      </c>
      <c r="E205" s="15">
        <v>731.62959999999998</v>
      </c>
      <c r="F205" s="120">
        <f t="shared" si="27"/>
        <v>26.094789066666667</v>
      </c>
      <c r="G205" s="120">
        <f t="shared" si="23"/>
        <v>25.334746666666668</v>
      </c>
      <c r="H205" s="120">
        <f t="shared" si="24"/>
        <v>24.852180063492064</v>
      </c>
      <c r="I205" s="120">
        <f t="shared" si="28"/>
        <v>23.722535515151517</v>
      </c>
      <c r="J205" s="120">
        <f t="shared" si="25"/>
        <v>29.265183999999998</v>
      </c>
      <c r="K205" s="114"/>
      <c r="L205" s="127">
        <f t="shared" si="26"/>
        <v>26.604712727272727</v>
      </c>
      <c r="M205" s="83"/>
    </row>
    <row r="206" spans="1:13" s="8" customFormat="1" ht="24.95" customHeight="1">
      <c r="A206" s="2" t="s">
        <v>2889</v>
      </c>
      <c r="B206" s="2" t="s">
        <v>2890</v>
      </c>
      <c r="C206" s="2"/>
      <c r="D206" s="3" t="s">
        <v>2891</v>
      </c>
      <c r="E206" s="15">
        <v>599.87200000000007</v>
      </c>
      <c r="F206" s="120">
        <f t="shared" si="27"/>
        <v>21.39543466666667</v>
      </c>
      <c r="G206" s="120">
        <f t="shared" si="23"/>
        <v>20.77226666666667</v>
      </c>
      <c r="H206" s="120">
        <f t="shared" si="24"/>
        <v>20.376604444444446</v>
      </c>
      <c r="I206" s="120">
        <f t="shared" si="28"/>
        <v>19.450395151515153</v>
      </c>
      <c r="J206" s="120">
        <f t="shared" si="25"/>
        <v>23.994880000000002</v>
      </c>
      <c r="K206" s="114"/>
      <c r="L206" s="127">
        <f t="shared" si="26"/>
        <v>21.813527272727274</v>
      </c>
      <c r="M206" s="83"/>
    </row>
    <row r="207" spans="1:13" s="8" customFormat="1" ht="24.95" customHeight="1">
      <c r="A207" s="2" t="s">
        <v>2892</v>
      </c>
      <c r="B207" s="2" t="s">
        <v>2893</v>
      </c>
      <c r="C207" s="2"/>
      <c r="D207" s="3" t="s">
        <v>9</v>
      </c>
      <c r="E207" s="15">
        <v>610.58400000000006</v>
      </c>
      <c r="F207" s="120">
        <f t="shared" si="27"/>
        <v>21.777496000000003</v>
      </c>
      <c r="G207" s="120">
        <f t="shared" si="23"/>
        <v>21.1432</v>
      </c>
      <c r="H207" s="120">
        <f t="shared" si="24"/>
        <v>20.740472380952383</v>
      </c>
      <c r="I207" s="120">
        <f t="shared" si="28"/>
        <v>19.797723636363639</v>
      </c>
      <c r="J207" s="120">
        <f t="shared" si="25"/>
        <v>24.423360000000002</v>
      </c>
      <c r="K207" s="114"/>
      <c r="L207" s="127">
        <f t="shared" si="26"/>
        <v>22.203054545454549</v>
      </c>
      <c r="M207" s="83"/>
    </row>
    <row r="208" spans="1:13" s="8" customFormat="1" ht="24.95" customHeight="1">
      <c r="A208" s="2" t="s">
        <v>2894</v>
      </c>
      <c r="B208" s="2" t="s">
        <v>2895</v>
      </c>
      <c r="C208" s="2"/>
      <c r="D208" s="3" t="s">
        <v>2896</v>
      </c>
      <c r="E208" s="15">
        <v>621.29599999999994</v>
      </c>
      <c r="F208" s="120">
        <f t="shared" si="27"/>
        <v>22.159557333333332</v>
      </c>
      <c r="G208" s="120">
        <f t="shared" si="23"/>
        <v>21.514133333333334</v>
      </c>
      <c r="H208" s="120">
        <f t="shared" si="24"/>
        <v>21.104340317460316</v>
      </c>
      <c r="I208" s="120">
        <f t="shared" si="28"/>
        <v>20.145052121212121</v>
      </c>
      <c r="J208" s="120">
        <f t="shared" si="25"/>
        <v>24.851839999999996</v>
      </c>
      <c r="K208" s="114"/>
      <c r="L208" s="127">
        <f t="shared" si="26"/>
        <v>22.592581818181817</v>
      </c>
      <c r="M208" s="83"/>
    </row>
    <row r="209" spans="1:13" s="8" customFormat="1" ht="24.95" customHeight="1">
      <c r="A209" s="2" t="s">
        <v>2897</v>
      </c>
      <c r="B209" s="2" t="s">
        <v>2898</v>
      </c>
      <c r="C209" s="2"/>
      <c r="D209" s="3" t="s">
        <v>2899</v>
      </c>
      <c r="E209" s="15">
        <v>610.58400000000006</v>
      </c>
      <c r="F209" s="120">
        <f t="shared" si="27"/>
        <v>21.777496000000003</v>
      </c>
      <c r="G209" s="120">
        <f t="shared" si="23"/>
        <v>21.1432</v>
      </c>
      <c r="H209" s="120">
        <f t="shared" si="24"/>
        <v>20.740472380952383</v>
      </c>
      <c r="I209" s="120">
        <f t="shared" si="28"/>
        <v>19.797723636363639</v>
      </c>
      <c r="J209" s="120">
        <f t="shared" si="25"/>
        <v>24.423360000000002</v>
      </c>
      <c r="K209" s="114"/>
      <c r="L209" s="127">
        <f t="shared" si="26"/>
        <v>22.203054545454549</v>
      </c>
      <c r="M209" s="83"/>
    </row>
    <row r="210" spans="1:13" s="8" customFormat="1" ht="24.95" customHeight="1">
      <c r="A210" s="2" t="s">
        <v>2900</v>
      </c>
      <c r="B210" s="2" t="s">
        <v>2901</v>
      </c>
      <c r="C210" s="2"/>
      <c r="D210" s="3" t="s">
        <v>2902</v>
      </c>
      <c r="E210" s="15">
        <v>632.00800000000004</v>
      </c>
      <c r="F210" s="120">
        <f t="shared" si="27"/>
        <v>22.541618666666672</v>
      </c>
      <c r="G210" s="120">
        <f t="shared" si="23"/>
        <v>21.885066666666674</v>
      </c>
      <c r="H210" s="120">
        <f t="shared" si="24"/>
        <v>21.46820825396826</v>
      </c>
      <c r="I210" s="120">
        <f t="shared" si="28"/>
        <v>20.49238060606061</v>
      </c>
      <c r="J210" s="120">
        <f t="shared" si="25"/>
        <v>25.280320000000003</v>
      </c>
      <c r="K210" s="114"/>
      <c r="L210" s="127">
        <f t="shared" si="26"/>
        <v>22.982109090909091</v>
      </c>
      <c r="M210" s="83"/>
    </row>
    <row r="211" spans="1:13" s="8" customFormat="1" ht="24.95" customHeight="1">
      <c r="A211" s="2" t="s">
        <v>2903</v>
      </c>
      <c r="B211" s="2" t="s">
        <v>2904</v>
      </c>
      <c r="C211" s="2"/>
      <c r="D211" s="3" t="s">
        <v>2905</v>
      </c>
      <c r="E211" s="15">
        <v>652.36079999999993</v>
      </c>
      <c r="F211" s="120">
        <f t="shared" si="27"/>
        <v>23.267535199999998</v>
      </c>
      <c r="G211" s="120">
        <f t="shared" si="23"/>
        <v>22.589839999999999</v>
      </c>
      <c r="H211" s="120">
        <f t="shared" si="24"/>
        <v>22.159557333333332</v>
      </c>
      <c r="I211" s="120">
        <f t="shared" si="28"/>
        <v>21.152304727272725</v>
      </c>
      <c r="J211" s="120">
        <f t="shared" si="25"/>
        <v>26.094431999999994</v>
      </c>
      <c r="K211" s="114"/>
      <c r="L211" s="127">
        <f t="shared" si="26"/>
        <v>23.722210909090904</v>
      </c>
      <c r="M211" s="83"/>
    </row>
    <row r="212" spans="1:13" s="8" customFormat="1" ht="24.95" customHeight="1">
      <c r="A212" s="2" t="s">
        <v>2906</v>
      </c>
      <c r="B212" s="2" t="s">
        <v>2907</v>
      </c>
      <c r="C212" s="2"/>
      <c r="D212" s="3" t="s">
        <v>2908</v>
      </c>
      <c r="E212" s="15">
        <v>629.86559999999997</v>
      </c>
      <c r="F212" s="120">
        <f t="shared" si="27"/>
        <v>22.4652064</v>
      </c>
      <c r="G212" s="120">
        <f t="shared" si="23"/>
        <v>21.810879999999997</v>
      </c>
      <c r="H212" s="120">
        <f t="shared" si="24"/>
        <v>21.395434666666663</v>
      </c>
      <c r="I212" s="120">
        <f t="shared" si="28"/>
        <v>20.422914909090906</v>
      </c>
      <c r="J212" s="120">
        <f t="shared" si="25"/>
        <v>25.194623999999997</v>
      </c>
      <c r="K212" s="114"/>
      <c r="L212" s="127">
        <f t="shared" si="26"/>
        <v>22.904203636363636</v>
      </c>
      <c r="M212" s="83"/>
    </row>
    <row r="213" spans="1:13" s="8" customFormat="1" ht="24.95" customHeight="1">
      <c r="A213" s="2" t="s">
        <v>2909</v>
      </c>
      <c r="B213" s="2" t="s">
        <v>2910</v>
      </c>
      <c r="C213" s="2"/>
      <c r="D213" s="3" t="s">
        <v>2911</v>
      </c>
      <c r="E213" s="15">
        <v>686.63920000000007</v>
      </c>
      <c r="F213" s="120">
        <f t="shared" si="27"/>
        <v>24.490131466666671</v>
      </c>
      <c r="G213" s="120">
        <f t="shared" si="23"/>
        <v>23.776826666666672</v>
      </c>
      <c r="H213" s="120">
        <f t="shared" si="24"/>
        <v>23.323934730158733</v>
      </c>
      <c r="I213" s="120">
        <f t="shared" si="28"/>
        <v>22.263755878787883</v>
      </c>
      <c r="J213" s="120">
        <f t="shared" si="25"/>
        <v>27.465568000000005</v>
      </c>
      <c r="K213" s="114"/>
      <c r="L213" s="127">
        <f t="shared" si="26"/>
        <v>24.968698181818183</v>
      </c>
      <c r="M213" s="83"/>
    </row>
    <row r="214" spans="1:13" s="8" customFormat="1" ht="24.95" customHeight="1">
      <c r="A214" s="2" t="s">
        <v>2912</v>
      </c>
      <c r="B214" s="2" t="s">
        <v>2913</v>
      </c>
      <c r="C214" s="2"/>
      <c r="D214" s="3" t="s">
        <v>2914</v>
      </c>
      <c r="E214" s="15">
        <v>674.85599999999999</v>
      </c>
      <c r="F214" s="120">
        <f t="shared" si="27"/>
        <v>24.069864000000003</v>
      </c>
      <c r="G214" s="120">
        <f t="shared" si="23"/>
        <v>23.368800000000004</v>
      </c>
      <c r="H214" s="120">
        <f t="shared" si="24"/>
        <v>22.923680000000001</v>
      </c>
      <c r="I214" s="120">
        <f t="shared" si="28"/>
        <v>21.881694545454547</v>
      </c>
      <c r="J214" s="120">
        <f t="shared" si="25"/>
        <v>26.994239999999998</v>
      </c>
      <c r="K214" s="114"/>
      <c r="L214" s="127">
        <f t="shared" si="26"/>
        <v>24.540218181818179</v>
      </c>
      <c r="M214" s="83"/>
    </row>
    <row r="215" spans="1:13" s="8" customFormat="1" ht="24.95" customHeight="1">
      <c r="A215" s="2" t="s">
        <v>2915</v>
      </c>
      <c r="B215" s="2" t="s">
        <v>2916</v>
      </c>
      <c r="C215" s="2"/>
      <c r="D215" s="3" t="s">
        <v>2917</v>
      </c>
      <c r="E215" s="15">
        <v>653.43200000000002</v>
      </c>
      <c r="F215" s="120">
        <f t="shared" si="27"/>
        <v>23.305741333333337</v>
      </c>
      <c r="G215" s="120">
        <f t="shared" si="23"/>
        <v>22.626933333333334</v>
      </c>
      <c r="H215" s="120">
        <f t="shared" si="24"/>
        <v>22.195944126984127</v>
      </c>
      <c r="I215" s="120">
        <f t="shared" si="28"/>
        <v>21.187037575757579</v>
      </c>
      <c r="J215" s="120">
        <f t="shared" si="25"/>
        <v>26.137279999999997</v>
      </c>
      <c r="K215" s="114"/>
      <c r="L215" s="127">
        <f t="shared" si="26"/>
        <v>23.761163636363634</v>
      </c>
      <c r="M215" s="83"/>
    </row>
    <row r="216" spans="1:13" s="8" customFormat="1" ht="24.95" customHeight="1">
      <c r="A216" s="2" t="s">
        <v>2918</v>
      </c>
      <c r="B216" s="2" t="s">
        <v>2919</v>
      </c>
      <c r="C216" s="2"/>
      <c r="D216" s="3" t="s">
        <v>2920</v>
      </c>
      <c r="E216" s="15">
        <v>809.82720000000006</v>
      </c>
      <c r="F216" s="120">
        <f t="shared" si="27"/>
        <v>28.883836800000001</v>
      </c>
      <c r="G216" s="120">
        <f t="shared" si="23"/>
        <v>28.042559999999998</v>
      </c>
      <c r="H216" s="120">
        <f t="shared" si="24"/>
        <v>27.508416</v>
      </c>
      <c r="I216" s="120">
        <f t="shared" si="28"/>
        <v>26.258033454545455</v>
      </c>
      <c r="J216" s="120">
        <f t="shared" si="25"/>
        <v>32.393087999999999</v>
      </c>
      <c r="K216" s="114"/>
      <c r="L216" s="127">
        <f t="shared" si="26"/>
        <v>29.44826181818182</v>
      </c>
      <c r="M216" s="83"/>
    </row>
    <row r="217" spans="1:13" s="8" customFormat="1" ht="24.95" customHeight="1">
      <c r="A217" s="2" t="s">
        <v>2921</v>
      </c>
      <c r="B217" s="2" t="s">
        <v>2922</v>
      </c>
      <c r="C217" s="2"/>
      <c r="D217" s="3" t="s">
        <v>2923</v>
      </c>
      <c r="E217" s="15">
        <v>674.85599999999999</v>
      </c>
      <c r="F217" s="120">
        <f t="shared" si="27"/>
        <v>24.069864000000003</v>
      </c>
      <c r="G217" s="120">
        <f t="shared" si="23"/>
        <v>23.368800000000004</v>
      </c>
      <c r="H217" s="120">
        <f t="shared" si="24"/>
        <v>22.923680000000001</v>
      </c>
      <c r="I217" s="120">
        <f t="shared" si="28"/>
        <v>21.881694545454547</v>
      </c>
      <c r="J217" s="120">
        <f t="shared" si="25"/>
        <v>26.994239999999998</v>
      </c>
      <c r="K217" s="114"/>
      <c r="L217" s="127">
        <f t="shared" si="26"/>
        <v>24.540218181818179</v>
      </c>
      <c r="M217" s="83"/>
    </row>
    <row r="218" spans="1:13" s="8" customFormat="1" ht="24.95" customHeight="1">
      <c r="A218" s="2" t="s">
        <v>2924</v>
      </c>
      <c r="B218" s="2" t="s">
        <v>2925</v>
      </c>
      <c r="C218" s="2"/>
      <c r="D218" s="3" t="s">
        <v>2926</v>
      </c>
      <c r="E218" s="15">
        <v>728.41599999999994</v>
      </c>
      <c r="F218" s="120">
        <f t="shared" si="27"/>
        <v>25.980170666666666</v>
      </c>
      <c r="G218" s="120">
        <f t="shared" si="23"/>
        <v>25.223466666666667</v>
      </c>
      <c r="H218" s="120">
        <f t="shared" si="24"/>
        <v>24.743019682539682</v>
      </c>
      <c r="I218" s="120">
        <f t="shared" si="28"/>
        <v>23.618336969696969</v>
      </c>
      <c r="J218" s="120">
        <f t="shared" si="25"/>
        <v>29.136639999999996</v>
      </c>
      <c r="K218" s="114"/>
      <c r="L218" s="127">
        <f t="shared" si="26"/>
        <v>26.487854545454542</v>
      </c>
      <c r="M218" s="83"/>
    </row>
    <row r="219" spans="1:13" s="8" customFormat="1" ht="24.95" customHeight="1">
      <c r="A219" s="2" t="s">
        <v>2927</v>
      </c>
      <c r="B219" s="2" t="s">
        <v>2928</v>
      </c>
      <c r="C219" s="2"/>
      <c r="D219" s="3" t="s">
        <v>2929</v>
      </c>
      <c r="E219" s="15">
        <v>777.69119999999998</v>
      </c>
      <c r="F219" s="120">
        <f t="shared" si="27"/>
        <v>27.737652799999999</v>
      </c>
      <c r="G219" s="120">
        <f t="shared" si="23"/>
        <v>26.929760000000002</v>
      </c>
      <c r="H219" s="120">
        <f t="shared" si="24"/>
        <v>26.41681219047619</v>
      </c>
      <c r="I219" s="120">
        <f t="shared" si="28"/>
        <v>25.216048000000001</v>
      </c>
      <c r="J219" s="120">
        <f t="shared" si="25"/>
        <v>31.107647999999998</v>
      </c>
      <c r="K219" s="114"/>
      <c r="L219" s="127">
        <f t="shared" si="26"/>
        <v>28.279679999999999</v>
      </c>
      <c r="M219" s="83"/>
    </row>
    <row r="220" spans="1:13" s="8" customFormat="1" ht="24.95" customHeight="1">
      <c r="A220" s="2" t="s">
        <v>2930</v>
      </c>
      <c r="B220" s="2" t="s">
        <v>2931</v>
      </c>
      <c r="C220" s="2"/>
      <c r="D220" s="3" t="s">
        <v>2932</v>
      </c>
      <c r="E220" s="15">
        <v>652.36079999999993</v>
      </c>
      <c r="F220" s="120">
        <f t="shared" si="27"/>
        <v>23.267535199999998</v>
      </c>
      <c r="G220" s="120">
        <f t="shared" si="23"/>
        <v>22.589839999999999</v>
      </c>
      <c r="H220" s="120">
        <f t="shared" si="24"/>
        <v>22.159557333333332</v>
      </c>
      <c r="I220" s="120">
        <f t="shared" si="28"/>
        <v>21.152304727272725</v>
      </c>
      <c r="J220" s="120">
        <f t="shared" si="25"/>
        <v>26.094431999999994</v>
      </c>
      <c r="K220" s="114"/>
      <c r="L220" s="127">
        <f t="shared" si="26"/>
        <v>23.722210909090904</v>
      </c>
      <c r="M220" s="83"/>
    </row>
    <row r="221" spans="1:13" s="8" customFormat="1" ht="24.95" customHeight="1">
      <c r="A221" s="2" t="s">
        <v>2933</v>
      </c>
      <c r="B221" s="2" t="s">
        <v>2934</v>
      </c>
      <c r="C221" s="2"/>
      <c r="D221" s="3" t="s">
        <v>2935</v>
      </c>
      <c r="E221" s="15">
        <v>731.62959999999998</v>
      </c>
      <c r="F221" s="120">
        <f t="shared" si="27"/>
        <v>26.094789066666667</v>
      </c>
      <c r="G221" s="120">
        <f t="shared" si="23"/>
        <v>25.334746666666668</v>
      </c>
      <c r="H221" s="120">
        <f t="shared" si="24"/>
        <v>24.852180063492064</v>
      </c>
      <c r="I221" s="120">
        <f t="shared" si="28"/>
        <v>23.722535515151517</v>
      </c>
      <c r="J221" s="120">
        <f t="shared" si="25"/>
        <v>29.265183999999998</v>
      </c>
      <c r="K221" s="114"/>
      <c r="L221" s="127">
        <f t="shared" si="26"/>
        <v>26.604712727272727</v>
      </c>
      <c r="M221" s="83"/>
    </row>
    <row r="222" spans="1:13" s="8" customFormat="1" ht="24.95" customHeight="1">
      <c r="A222" s="2" t="s">
        <v>2936</v>
      </c>
      <c r="B222" s="2" t="s">
        <v>2937</v>
      </c>
      <c r="C222" s="2"/>
      <c r="D222" s="3" t="s">
        <v>2938</v>
      </c>
      <c r="E222" s="15">
        <v>664.14400000000001</v>
      </c>
      <c r="F222" s="120">
        <f t="shared" si="27"/>
        <v>23.687802666666666</v>
      </c>
      <c r="G222" s="120">
        <f t="shared" si="23"/>
        <v>22.997866666666667</v>
      </c>
      <c r="H222" s="120">
        <f t="shared" si="24"/>
        <v>22.559812063492064</v>
      </c>
      <c r="I222" s="120">
        <f t="shared" si="28"/>
        <v>21.534366060606061</v>
      </c>
      <c r="J222" s="120">
        <f t="shared" si="25"/>
        <v>26.565760000000001</v>
      </c>
      <c r="K222" s="114"/>
      <c r="L222" s="127">
        <f t="shared" si="26"/>
        <v>24.150690909090908</v>
      </c>
      <c r="M222" s="83"/>
    </row>
    <row r="223" spans="1:13" s="8" customFormat="1" ht="24.95" customHeight="1">
      <c r="A223" s="2" t="s">
        <v>2939</v>
      </c>
      <c r="B223" s="2" t="s">
        <v>2940</v>
      </c>
      <c r="C223" s="2"/>
      <c r="D223" s="3" t="s">
        <v>2941</v>
      </c>
      <c r="E223" s="15">
        <v>686.63920000000007</v>
      </c>
      <c r="F223" s="120">
        <f t="shared" si="27"/>
        <v>24.490131466666671</v>
      </c>
      <c r="G223" s="120">
        <f t="shared" si="23"/>
        <v>23.776826666666672</v>
      </c>
      <c r="H223" s="120">
        <f t="shared" si="24"/>
        <v>23.323934730158733</v>
      </c>
      <c r="I223" s="120">
        <f t="shared" si="28"/>
        <v>22.263755878787883</v>
      </c>
      <c r="J223" s="120">
        <f t="shared" si="25"/>
        <v>27.465568000000005</v>
      </c>
      <c r="K223" s="114"/>
      <c r="L223" s="127">
        <f t="shared" si="26"/>
        <v>24.968698181818183</v>
      </c>
      <c r="M223" s="83"/>
    </row>
    <row r="224" spans="1:13" s="8" customFormat="1" ht="24.95" customHeight="1">
      <c r="A224" s="2" t="s">
        <v>2942</v>
      </c>
      <c r="B224" s="2" t="s">
        <v>2943</v>
      </c>
      <c r="C224" s="2"/>
      <c r="D224" s="3" t="s">
        <v>2944</v>
      </c>
      <c r="E224" s="15">
        <v>621.29599999999994</v>
      </c>
      <c r="F224" s="120">
        <f t="shared" si="27"/>
        <v>22.159557333333332</v>
      </c>
      <c r="G224" s="120">
        <f t="shared" si="23"/>
        <v>21.514133333333334</v>
      </c>
      <c r="H224" s="120">
        <f t="shared" si="24"/>
        <v>21.104340317460316</v>
      </c>
      <c r="I224" s="120">
        <f t="shared" si="28"/>
        <v>20.145052121212121</v>
      </c>
      <c r="J224" s="120">
        <f t="shared" si="25"/>
        <v>24.851839999999996</v>
      </c>
      <c r="K224" s="114"/>
      <c r="L224" s="127">
        <f t="shared" si="26"/>
        <v>22.592581818181817</v>
      </c>
      <c r="M224" s="83"/>
    </row>
    <row r="225" spans="1:13" s="8" customFormat="1" ht="24.95" customHeight="1">
      <c r="A225" s="2" t="s">
        <v>2945</v>
      </c>
      <c r="B225" s="2" t="s">
        <v>2946</v>
      </c>
      <c r="C225" s="2"/>
      <c r="D225" s="3" t="s">
        <v>2947</v>
      </c>
      <c r="E225" s="15">
        <v>632.00800000000004</v>
      </c>
      <c r="F225" s="120">
        <f t="shared" si="27"/>
        <v>22.541618666666672</v>
      </c>
      <c r="G225" s="120">
        <f t="shared" si="23"/>
        <v>21.885066666666674</v>
      </c>
      <c r="H225" s="120">
        <f t="shared" si="24"/>
        <v>21.46820825396826</v>
      </c>
      <c r="I225" s="120">
        <f t="shared" si="28"/>
        <v>20.49238060606061</v>
      </c>
      <c r="J225" s="120">
        <f t="shared" si="25"/>
        <v>25.280320000000003</v>
      </c>
      <c r="K225" s="114"/>
      <c r="L225" s="127">
        <f t="shared" si="26"/>
        <v>22.982109090909091</v>
      </c>
      <c r="M225" s="83"/>
    </row>
    <row r="226" spans="1:13" s="8" customFormat="1" ht="24.95" customHeight="1">
      <c r="A226" s="2" t="s">
        <v>2948</v>
      </c>
      <c r="B226" s="2" t="s">
        <v>2949</v>
      </c>
      <c r="C226" s="2"/>
      <c r="D226" s="3" t="s">
        <v>2950</v>
      </c>
      <c r="E226" s="15">
        <v>814.11200000000008</v>
      </c>
      <c r="F226" s="120">
        <f t="shared" si="27"/>
        <v>29.036661333333335</v>
      </c>
      <c r="G226" s="120">
        <f t="shared" si="23"/>
        <v>28.190933333333337</v>
      </c>
      <c r="H226" s="120">
        <f t="shared" si="24"/>
        <v>27.653963174603177</v>
      </c>
      <c r="I226" s="120">
        <f t="shared" si="28"/>
        <v>26.396964848484853</v>
      </c>
      <c r="J226" s="120">
        <f t="shared" si="25"/>
        <v>32.564480000000003</v>
      </c>
      <c r="K226" s="114"/>
      <c r="L226" s="127">
        <f t="shared" si="26"/>
        <v>29.60407272727273</v>
      </c>
      <c r="M226" s="83"/>
    </row>
    <row r="227" spans="1:13" s="8" customFormat="1" ht="24.95" customHeight="1">
      <c r="A227" s="2" t="s">
        <v>2951</v>
      </c>
      <c r="B227" s="2" t="s">
        <v>2952</v>
      </c>
      <c r="C227" s="2" t="s">
        <v>8645</v>
      </c>
      <c r="D227" s="3" t="s">
        <v>2953</v>
      </c>
      <c r="E227" s="15">
        <v>742.34159999999997</v>
      </c>
      <c r="F227" s="120">
        <f t="shared" si="27"/>
        <v>26.4768504</v>
      </c>
      <c r="G227" s="120">
        <f t="shared" si="23"/>
        <v>25.705679999999997</v>
      </c>
      <c r="H227" s="120">
        <f t="shared" si="24"/>
        <v>25.216047999999997</v>
      </c>
      <c r="I227" s="120">
        <f t="shared" si="28"/>
        <v>24.069863999999999</v>
      </c>
      <c r="J227" s="120">
        <f t="shared" si="25"/>
        <v>29.693663999999998</v>
      </c>
      <c r="K227" s="114"/>
      <c r="L227" s="127">
        <f t="shared" si="26"/>
        <v>26.994239999999998</v>
      </c>
      <c r="M227" s="83"/>
    </row>
    <row r="228" spans="1:13" s="8" customFormat="1" ht="24.95" customHeight="1">
      <c r="A228" s="2" t="s">
        <v>3124</v>
      </c>
      <c r="B228" s="2" t="s">
        <v>3125</v>
      </c>
      <c r="C228" s="2"/>
      <c r="D228" s="3" t="s">
        <v>3126</v>
      </c>
      <c r="E228" s="15">
        <v>731.62959999999998</v>
      </c>
      <c r="F228" s="120">
        <f t="shared" si="27"/>
        <v>26.094789066666667</v>
      </c>
      <c r="G228" s="120">
        <f t="shared" si="23"/>
        <v>25.334746666666668</v>
      </c>
      <c r="H228" s="120">
        <f t="shared" si="24"/>
        <v>24.852180063492064</v>
      </c>
      <c r="I228" s="120">
        <f t="shared" si="28"/>
        <v>23.722535515151517</v>
      </c>
      <c r="J228" s="120">
        <f t="shared" si="25"/>
        <v>29.265183999999998</v>
      </c>
      <c r="K228" s="114"/>
      <c r="L228" s="127">
        <f t="shared" si="26"/>
        <v>26.604712727272727</v>
      </c>
      <c r="M228" s="83"/>
    </row>
    <row r="229" spans="1:13" s="8" customFormat="1" ht="24.95" customHeight="1">
      <c r="A229" s="2" t="s">
        <v>2954</v>
      </c>
      <c r="B229" s="2" t="s">
        <v>2955</v>
      </c>
      <c r="C229" s="2"/>
      <c r="D229" s="3" t="s">
        <v>2434</v>
      </c>
      <c r="E229" s="15">
        <v>709.13440000000003</v>
      </c>
      <c r="F229" s="120">
        <f t="shared" si="27"/>
        <v>25.292460266666669</v>
      </c>
      <c r="G229" s="120">
        <f t="shared" si="23"/>
        <v>24.55578666666667</v>
      </c>
      <c r="H229" s="120">
        <f t="shared" si="24"/>
        <v>24.088057396825402</v>
      </c>
      <c r="I229" s="120">
        <f t="shared" si="28"/>
        <v>22.993145696969702</v>
      </c>
      <c r="J229" s="120">
        <f t="shared" si="25"/>
        <v>28.365376000000001</v>
      </c>
      <c r="K229" s="114"/>
      <c r="L229" s="127">
        <f t="shared" si="26"/>
        <v>25.786705454545455</v>
      </c>
      <c r="M229" s="83"/>
    </row>
    <row r="230" spans="1:13" s="8" customFormat="1" ht="24.95" customHeight="1">
      <c r="A230" s="2" t="s">
        <v>2956</v>
      </c>
      <c r="B230" s="2" t="s">
        <v>2957</v>
      </c>
      <c r="C230" s="2"/>
      <c r="D230" s="3" t="s">
        <v>2958</v>
      </c>
      <c r="E230" s="15">
        <v>578.44800000000009</v>
      </c>
      <c r="F230" s="120">
        <f t="shared" si="27"/>
        <v>20.631312000000001</v>
      </c>
      <c r="G230" s="120">
        <f t="shared" si="23"/>
        <v>20.030400000000004</v>
      </c>
      <c r="H230" s="120">
        <f t="shared" si="24"/>
        <v>19.648868571428572</v>
      </c>
      <c r="I230" s="120">
        <f t="shared" si="28"/>
        <v>18.755738181818185</v>
      </c>
      <c r="J230" s="120">
        <f t="shared" si="25"/>
        <v>23.137920000000005</v>
      </c>
      <c r="K230" s="114"/>
      <c r="L230" s="127">
        <f t="shared" si="26"/>
        <v>21.034472727272732</v>
      </c>
      <c r="M230" s="83"/>
    </row>
    <row r="231" spans="1:13" s="8" customFormat="1" ht="24.95" customHeight="1">
      <c r="A231" s="2" t="s">
        <v>2959</v>
      </c>
      <c r="B231" s="2" t="s">
        <v>2960</v>
      </c>
      <c r="C231" s="2"/>
      <c r="D231" s="3" t="s">
        <v>2961</v>
      </c>
      <c r="E231" s="15">
        <v>706.99200000000008</v>
      </c>
      <c r="F231" s="120">
        <f t="shared" si="27"/>
        <v>25.216048000000004</v>
      </c>
      <c r="G231" s="120">
        <f t="shared" si="23"/>
        <v>24.481600000000004</v>
      </c>
      <c r="H231" s="120">
        <f t="shared" si="24"/>
        <v>24.015283809523815</v>
      </c>
      <c r="I231" s="120">
        <f t="shared" si="28"/>
        <v>22.923680000000004</v>
      </c>
      <c r="J231" s="120">
        <f t="shared" si="25"/>
        <v>28.279680000000003</v>
      </c>
      <c r="K231" s="114"/>
      <c r="L231" s="127">
        <f t="shared" si="26"/>
        <v>25.708800000000004</v>
      </c>
      <c r="M231" s="83"/>
    </row>
    <row r="232" spans="1:13" s="8" customFormat="1" ht="24.95" customHeight="1">
      <c r="A232" s="2" t="s">
        <v>2962</v>
      </c>
      <c r="B232" s="2" t="s">
        <v>2963</v>
      </c>
      <c r="C232" s="2"/>
      <c r="D232" s="3" t="s">
        <v>2964</v>
      </c>
      <c r="E232" s="15">
        <v>652.36079999999993</v>
      </c>
      <c r="F232" s="120">
        <f t="shared" si="27"/>
        <v>23.267535199999998</v>
      </c>
      <c r="G232" s="120">
        <f t="shared" si="23"/>
        <v>22.589839999999999</v>
      </c>
      <c r="H232" s="120">
        <f t="shared" si="24"/>
        <v>22.159557333333332</v>
      </c>
      <c r="I232" s="120">
        <f t="shared" si="28"/>
        <v>21.152304727272725</v>
      </c>
      <c r="J232" s="120">
        <f t="shared" si="25"/>
        <v>26.094431999999994</v>
      </c>
      <c r="K232" s="114"/>
      <c r="L232" s="127">
        <f t="shared" si="26"/>
        <v>23.722210909090904</v>
      </c>
      <c r="M232" s="83"/>
    </row>
    <row r="233" spans="1:13" ht="24.95" customHeight="1">
      <c r="A233" s="19" t="s">
        <v>2965</v>
      </c>
      <c r="B233" s="19" t="s">
        <v>2966</v>
      </c>
      <c r="C233" s="19"/>
      <c r="D233" s="20" t="s">
        <v>8777</v>
      </c>
      <c r="E233" s="16">
        <v>686</v>
      </c>
      <c r="F233" s="122">
        <f t="shared" si="27"/>
        <v>24.467333333333336</v>
      </c>
      <c r="G233" s="122">
        <f t="shared" si="23"/>
        <v>23.754692556634307</v>
      </c>
      <c r="H233" s="122">
        <f t="shared" si="24"/>
        <v>23.302222222222223</v>
      </c>
      <c r="I233" s="122">
        <f t="shared" si="28"/>
        <v>22.243030303030306</v>
      </c>
      <c r="J233" s="122">
        <f t="shared" si="25"/>
        <v>27.439999999999998</v>
      </c>
      <c r="K233" s="116"/>
      <c r="L233" s="128"/>
      <c r="M233" s="85"/>
    </row>
    <row r="234" spans="1:13" s="8" customFormat="1" ht="24.95" customHeight="1">
      <c r="A234" s="2" t="s">
        <v>2967</v>
      </c>
      <c r="B234" s="2" t="s">
        <v>2968</v>
      </c>
      <c r="C234" s="2"/>
      <c r="D234" s="3" t="s">
        <v>2969</v>
      </c>
      <c r="E234" s="15">
        <v>944.79840000000002</v>
      </c>
      <c r="F234" s="120">
        <f t="shared" si="27"/>
        <v>33.697809599999999</v>
      </c>
      <c r="G234" s="120">
        <f t="shared" si="23"/>
        <v>32.716320000000003</v>
      </c>
      <c r="H234" s="120">
        <f t="shared" si="24"/>
        <v>32.093152000000003</v>
      </c>
      <c r="I234" s="120">
        <f t="shared" si="28"/>
        <v>30.634372363636363</v>
      </c>
      <c r="J234" s="120">
        <f t="shared" si="25"/>
        <v>37.791936</v>
      </c>
      <c r="K234" s="114"/>
      <c r="L234" s="127">
        <f t="shared" ref="L234:L297" si="29">+(E234*1.2/33)</f>
        <v>34.356305454545456</v>
      </c>
      <c r="M234" s="83"/>
    </row>
    <row r="235" spans="1:13" s="8" customFormat="1" ht="24.95" customHeight="1">
      <c r="A235" s="2" t="s">
        <v>2970</v>
      </c>
      <c r="B235" s="2" t="s">
        <v>2971</v>
      </c>
      <c r="C235" s="2"/>
      <c r="D235" s="3" t="s">
        <v>2972</v>
      </c>
      <c r="E235" s="15">
        <v>664.14400000000001</v>
      </c>
      <c r="F235" s="120">
        <f t="shared" si="27"/>
        <v>23.687802666666666</v>
      </c>
      <c r="G235" s="120">
        <f t="shared" si="23"/>
        <v>22.997866666666667</v>
      </c>
      <c r="H235" s="120">
        <f t="shared" si="24"/>
        <v>22.559812063492064</v>
      </c>
      <c r="I235" s="120">
        <f t="shared" si="28"/>
        <v>21.534366060606061</v>
      </c>
      <c r="J235" s="120">
        <f t="shared" si="25"/>
        <v>26.565760000000001</v>
      </c>
      <c r="K235" s="114"/>
      <c r="L235" s="127">
        <f t="shared" si="29"/>
        <v>24.150690909090908</v>
      </c>
      <c r="M235" s="83"/>
    </row>
    <row r="236" spans="1:13" s="8" customFormat="1" ht="24.95" customHeight="1">
      <c r="A236" s="2" t="s">
        <v>2973</v>
      </c>
      <c r="B236" s="2" t="s">
        <v>2974</v>
      </c>
      <c r="C236" s="2"/>
      <c r="D236" s="3" t="s">
        <v>2975</v>
      </c>
      <c r="E236" s="15">
        <v>821.61040000000003</v>
      </c>
      <c r="F236" s="120">
        <f t="shared" si="27"/>
        <v>29.30410426666667</v>
      </c>
      <c r="G236" s="120">
        <f t="shared" si="23"/>
        <v>28.45058666666667</v>
      </c>
      <c r="H236" s="120">
        <f t="shared" si="24"/>
        <v>27.908670730158732</v>
      </c>
      <c r="I236" s="120">
        <f t="shared" si="28"/>
        <v>26.640094787878787</v>
      </c>
      <c r="J236" s="120">
        <f t="shared" si="25"/>
        <v>32.864415999999999</v>
      </c>
      <c r="K236" s="114"/>
      <c r="L236" s="127">
        <f t="shared" si="29"/>
        <v>29.876741818181817</v>
      </c>
      <c r="M236" s="83"/>
    </row>
    <row r="237" spans="1:13" s="8" customFormat="1" ht="24.95" customHeight="1">
      <c r="A237" s="2" t="s">
        <v>2976</v>
      </c>
      <c r="B237" s="2" t="s">
        <v>2977</v>
      </c>
      <c r="C237" s="2"/>
      <c r="D237" s="3" t="s">
        <v>2978</v>
      </c>
      <c r="E237" s="15">
        <v>956.58160000000009</v>
      </c>
      <c r="F237" s="120">
        <f t="shared" si="27"/>
        <v>34.118077066666672</v>
      </c>
      <c r="G237" s="120">
        <f t="shared" si="23"/>
        <v>33.124346666666675</v>
      </c>
      <c r="H237" s="120">
        <f t="shared" si="24"/>
        <v>32.493406730158739</v>
      </c>
      <c r="I237" s="120">
        <f t="shared" si="28"/>
        <v>31.016433696969703</v>
      </c>
      <c r="J237" s="120">
        <f t="shared" si="25"/>
        <v>38.263264000000007</v>
      </c>
      <c r="K237" s="114"/>
      <c r="L237" s="127">
        <f t="shared" si="29"/>
        <v>34.784785454545457</v>
      </c>
      <c r="M237" s="83"/>
    </row>
    <row r="238" spans="1:13" s="8" customFormat="1" ht="24.95" customHeight="1">
      <c r="A238" s="2" t="s">
        <v>3049</v>
      </c>
      <c r="B238" s="2" t="s">
        <v>3050</v>
      </c>
      <c r="C238" s="2" t="s">
        <v>8634</v>
      </c>
      <c r="D238" s="3" t="s">
        <v>3051</v>
      </c>
      <c r="E238" s="15">
        <v>728.41599999999994</v>
      </c>
      <c r="F238" s="120">
        <f t="shared" si="27"/>
        <v>25.980170666666666</v>
      </c>
      <c r="G238" s="120">
        <f t="shared" si="23"/>
        <v>25.223466666666667</v>
      </c>
      <c r="H238" s="120">
        <f t="shared" si="24"/>
        <v>24.743019682539682</v>
      </c>
      <c r="I238" s="120">
        <f t="shared" si="28"/>
        <v>23.618336969696969</v>
      </c>
      <c r="J238" s="120">
        <f t="shared" si="25"/>
        <v>29.136639999999996</v>
      </c>
      <c r="K238" s="114"/>
      <c r="L238" s="127">
        <f t="shared" si="29"/>
        <v>26.487854545454542</v>
      </c>
      <c r="M238" s="83"/>
    </row>
    <row r="239" spans="1:13" s="8" customFormat="1" ht="24.95" customHeight="1">
      <c r="A239" s="2" t="s">
        <v>2979</v>
      </c>
      <c r="B239" s="2" t="s">
        <v>2980</v>
      </c>
      <c r="C239" s="2"/>
      <c r="D239" s="3" t="s">
        <v>2981</v>
      </c>
      <c r="E239" s="15">
        <v>1072.2711999999999</v>
      </c>
      <c r="F239" s="120">
        <f t="shared" si="27"/>
        <v>38.244339466666666</v>
      </c>
      <c r="G239" s="120">
        <f t="shared" si="23"/>
        <v>37.130426666666665</v>
      </c>
      <c r="H239" s="120">
        <f t="shared" si="24"/>
        <v>36.423180444444441</v>
      </c>
      <c r="I239" s="120">
        <f t="shared" si="28"/>
        <v>34.767581333333332</v>
      </c>
      <c r="J239" s="120">
        <f t="shared" si="25"/>
        <v>42.890847999999998</v>
      </c>
      <c r="K239" s="114"/>
      <c r="L239" s="127">
        <f t="shared" si="29"/>
        <v>38.991679999999995</v>
      </c>
      <c r="M239" s="83"/>
    </row>
    <row r="240" spans="1:13" s="8" customFormat="1" ht="24.95" customHeight="1">
      <c r="A240" s="2" t="s">
        <v>2982</v>
      </c>
      <c r="B240" s="2" t="s">
        <v>2983</v>
      </c>
      <c r="C240" s="2"/>
      <c r="D240" s="3" t="s">
        <v>2984</v>
      </c>
      <c r="E240" s="15">
        <v>697.35119999999995</v>
      </c>
      <c r="F240" s="120">
        <f t="shared" si="27"/>
        <v>24.872192800000001</v>
      </c>
      <c r="G240" s="120">
        <f t="shared" si="23"/>
        <v>24.147760000000002</v>
      </c>
      <c r="H240" s="120">
        <f t="shared" si="24"/>
        <v>23.68780266666667</v>
      </c>
      <c r="I240" s="120">
        <f t="shared" si="28"/>
        <v>22.611084363636365</v>
      </c>
      <c r="J240" s="120">
        <f t="shared" si="25"/>
        <v>27.894047999999998</v>
      </c>
      <c r="K240" s="114"/>
      <c r="L240" s="127">
        <f t="shared" si="29"/>
        <v>25.358225454545451</v>
      </c>
      <c r="M240" s="83"/>
    </row>
    <row r="241" spans="1:13" s="8" customFormat="1" ht="24.95" customHeight="1">
      <c r="A241" s="2" t="s">
        <v>2985</v>
      </c>
      <c r="B241" s="2" t="s">
        <v>2986</v>
      </c>
      <c r="C241" s="2"/>
      <c r="D241" s="3" t="s">
        <v>2987</v>
      </c>
      <c r="E241" s="15">
        <v>642.72</v>
      </c>
      <c r="F241" s="120">
        <f t="shared" si="27"/>
        <v>22.923680000000001</v>
      </c>
      <c r="G241" s="120">
        <f t="shared" si="23"/>
        <v>22.256</v>
      </c>
      <c r="H241" s="120">
        <f t="shared" si="24"/>
        <v>21.83207619047619</v>
      </c>
      <c r="I241" s="120">
        <f t="shared" si="28"/>
        <v>20.839709090909089</v>
      </c>
      <c r="J241" s="120">
        <f t="shared" si="25"/>
        <v>25.7088</v>
      </c>
      <c r="K241" s="114"/>
      <c r="L241" s="127">
        <f t="shared" si="29"/>
        <v>23.371636363636362</v>
      </c>
      <c r="M241" s="83"/>
    </row>
    <row r="242" spans="1:13" s="8" customFormat="1" ht="24.95" customHeight="1">
      <c r="A242" s="2" t="s">
        <v>2988</v>
      </c>
      <c r="B242" s="2" t="s">
        <v>2989</v>
      </c>
      <c r="C242" s="2"/>
      <c r="D242" s="3" t="s">
        <v>2990</v>
      </c>
      <c r="E242" s="15">
        <v>749.84</v>
      </c>
      <c r="F242" s="120">
        <f t="shared" si="27"/>
        <v>26.744293333333339</v>
      </c>
      <c r="G242" s="120">
        <f t="shared" si="23"/>
        <v>25.965333333333341</v>
      </c>
      <c r="H242" s="120">
        <f t="shared" si="24"/>
        <v>25.470755555555563</v>
      </c>
      <c r="I242" s="120">
        <f t="shared" si="28"/>
        <v>24.312993939393944</v>
      </c>
      <c r="J242" s="120">
        <f t="shared" si="25"/>
        <v>29.993600000000001</v>
      </c>
      <c r="K242" s="114"/>
      <c r="L242" s="127">
        <f t="shared" si="29"/>
        <v>27.266909090909092</v>
      </c>
      <c r="M242" s="83"/>
    </row>
    <row r="243" spans="1:13" s="8" customFormat="1" ht="24.95" customHeight="1">
      <c r="A243" s="2" t="s">
        <v>2991</v>
      </c>
      <c r="B243" s="2" t="s">
        <v>2992</v>
      </c>
      <c r="C243" s="2"/>
      <c r="D243" s="3" t="s">
        <v>2993</v>
      </c>
      <c r="E243" s="15">
        <v>567.73599999999999</v>
      </c>
      <c r="F243" s="120">
        <f t="shared" si="27"/>
        <v>20.249250666666669</v>
      </c>
      <c r="G243" s="120">
        <f t="shared" si="23"/>
        <v>19.65946666666667</v>
      </c>
      <c r="H243" s="120">
        <f t="shared" si="24"/>
        <v>19.285000634920639</v>
      </c>
      <c r="I243" s="120">
        <f t="shared" si="28"/>
        <v>18.408409696969699</v>
      </c>
      <c r="J243" s="120">
        <f t="shared" si="25"/>
        <v>22.709439999999997</v>
      </c>
      <c r="K243" s="114"/>
      <c r="L243" s="127">
        <f t="shared" si="29"/>
        <v>20.644945454545454</v>
      </c>
      <c r="M243" s="83"/>
    </row>
    <row r="244" spans="1:13" s="8" customFormat="1" ht="24.95" customHeight="1">
      <c r="A244" s="2" t="s">
        <v>2994</v>
      </c>
      <c r="B244" s="2" t="s">
        <v>2995</v>
      </c>
      <c r="C244" s="2" t="s">
        <v>8639</v>
      </c>
      <c r="D244" s="3" t="s">
        <v>8087</v>
      </c>
      <c r="E244" s="15">
        <v>686.63920000000007</v>
      </c>
      <c r="F244" s="120">
        <f t="shared" si="27"/>
        <v>24.490131466666671</v>
      </c>
      <c r="G244" s="120">
        <f t="shared" si="23"/>
        <v>23.776826666666672</v>
      </c>
      <c r="H244" s="120">
        <f t="shared" si="24"/>
        <v>23.323934730158733</v>
      </c>
      <c r="I244" s="120">
        <f t="shared" si="28"/>
        <v>22.263755878787883</v>
      </c>
      <c r="J244" s="120">
        <f t="shared" si="25"/>
        <v>27.465568000000005</v>
      </c>
      <c r="K244" s="114"/>
      <c r="L244" s="127">
        <f t="shared" si="29"/>
        <v>24.968698181818183</v>
      </c>
      <c r="M244" s="83"/>
    </row>
    <row r="245" spans="1:13" s="8" customFormat="1" ht="24.95" customHeight="1">
      <c r="A245" s="2" t="s">
        <v>2996</v>
      </c>
      <c r="B245" s="2" t="s">
        <v>2997</v>
      </c>
      <c r="C245" s="2"/>
      <c r="D245" s="3" t="s">
        <v>2998</v>
      </c>
      <c r="E245" s="15">
        <v>742.34159999999997</v>
      </c>
      <c r="F245" s="120">
        <f t="shared" si="27"/>
        <v>26.4768504</v>
      </c>
      <c r="G245" s="120">
        <f t="shared" si="23"/>
        <v>25.705679999999997</v>
      </c>
      <c r="H245" s="120">
        <f t="shared" si="24"/>
        <v>25.216047999999997</v>
      </c>
      <c r="I245" s="120">
        <f t="shared" si="28"/>
        <v>24.069863999999999</v>
      </c>
      <c r="J245" s="120">
        <f t="shared" si="25"/>
        <v>29.693663999999998</v>
      </c>
      <c r="K245" s="114"/>
      <c r="L245" s="127">
        <f t="shared" si="29"/>
        <v>26.994239999999998</v>
      </c>
      <c r="M245" s="83"/>
    </row>
    <row r="246" spans="1:13" s="8" customFormat="1" ht="24.95" customHeight="1">
      <c r="A246" s="2" t="s">
        <v>2999</v>
      </c>
      <c r="B246" s="2" t="s">
        <v>3000</v>
      </c>
      <c r="C246" s="2"/>
      <c r="D246" s="3" t="s">
        <v>8</v>
      </c>
      <c r="E246" s="15">
        <v>809.82720000000006</v>
      </c>
      <c r="F246" s="120">
        <f t="shared" si="27"/>
        <v>28.883836800000001</v>
      </c>
      <c r="G246" s="120">
        <f t="shared" si="23"/>
        <v>28.042559999999998</v>
      </c>
      <c r="H246" s="120">
        <f t="shared" si="24"/>
        <v>27.508416</v>
      </c>
      <c r="I246" s="120">
        <f t="shared" si="28"/>
        <v>26.258033454545455</v>
      </c>
      <c r="J246" s="120">
        <f t="shared" si="25"/>
        <v>32.393087999999999</v>
      </c>
      <c r="K246" s="114"/>
      <c r="L246" s="127">
        <f t="shared" si="29"/>
        <v>29.44826181818182</v>
      </c>
      <c r="M246" s="83"/>
    </row>
    <row r="247" spans="1:13" s="8" customFormat="1" ht="24.95" customHeight="1">
      <c r="A247" s="2" t="s">
        <v>3001</v>
      </c>
      <c r="B247" s="2" t="s">
        <v>3002</v>
      </c>
      <c r="C247" s="2"/>
      <c r="D247" s="3" t="s">
        <v>3003</v>
      </c>
      <c r="E247" s="15">
        <v>719.84640000000002</v>
      </c>
      <c r="F247" s="120">
        <f t="shared" si="27"/>
        <v>25.674521600000002</v>
      </c>
      <c r="G247" s="120">
        <f t="shared" si="23"/>
        <v>24.926720000000003</v>
      </c>
      <c r="H247" s="120">
        <f t="shared" si="24"/>
        <v>24.451925333333335</v>
      </c>
      <c r="I247" s="120">
        <f t="shared" si="28"/>
        <v>23.340474181818184</v>
      </c>
      <c r="J247" s="120">
        <f t="shared" si="25"/>
        <v>28.793856000000002</v>
      </c>
      <c r="K247" s="114"/>
      <c r="L247" s="127">
        <f t="shared" si="29"/>
        <v>26.17623272727273</v>
      </c>
      <c r="M247" s="83"/>
    </row>
    <row r="248" spans="1:13" s="8" customFormat="1" ht="24.95" customHeight="1">
      <c r="A248" s="2" t="s">
        <v>3004</v>
      </c>
      <c r="B248" s="2" t="s">
        <v>3005</v>
      </c>
      <c r="C248" s="2"/>
      <c r="D248" s="3" t="s">
        <v>3006</v>
      </c>
      <c r="E248" s="15">
        <v>674.85599999999999</v>
      </c>
      <c r="F248" s="120">
        <f t="shared" si="27"/>
        <v>24.069864000000003</v>
      </c>
      <c r="G248" s="120">
        <f t="shared" si="23"/>
        <v>23.368800000000004</v>
      </c>
      <c r="H248" s="120">
        <f t="shared" si="24"/>
        <v>22.923680000000001</v>
      </c>
      <c r="I248" s="120">
        <f t="shared" si="28"/>
        <v>21.881694545454547</v>
      </c>
      <c r="J248" s="120">
        <f t="shared" si="25"/>
        <v>26.994239999999998</v>
      </c>
      <c r="K248" s="114"/>
      <c r="L248" s="127">
        <f t="shared" si="29"/>
        <v>24.540218181818179</v>
      </c>
      <c r="M248" s="83"/>
    </row>
    <row r="249" spans="1:13" s="8" customFormat="1" ht="24.95" customHeight="1">
      <c r="A249" s="2" t="s">
        <v>3086</v>
      </c>
      <c r="B249" s="2" t="s">
        <v>3087</v>
      </c>
      <c r="C249" s="2" t="s">
        <v>8640</v>
      </c>
      <c r="D249" s="3" t="s">
        <v>8092</v>
      </c>
      <c r="E249" s="15">
        <v>650</v>
      </c>
      <c r="F249" s="120">
        <f t="shared" si="27"/>
        <v>23.183333333333334</v>
      </c>
      <c r="G249" s="120">
        <f t="shared" si="23"/>
        <v>22.508090614886733</v>
      </c>
      <c r="H249" s="120">
        <f t="shared" si="24"/>
        <v>22.079365079365079</v>
      </c>
      <c r="I249" s="120">
        <f t="shared" si="28"/>
        <v>21.075757575757578</v>
      </c>
      <c r="J249" s="120">
        <f t="shared" si="25"/>
        <v>26</v>
      </c>
      <c r="K249" s="114"/>
      <c r="L249" s="127">
        <f t="shared" si="29"/>
        <v>23.636363636363637</v>
      </c>
      <c r="M249" s="83"/>
    </row>
    <row r="250" spans="1:13" s="8" customFormat="1" ht="24.95" customHeight="1">
      <c r="A250" s="2" t="s">
        <v>3007</v>
      </c>
      <c r="B250" s="2" t="s">
        <v>3008</v>
      </c>
      <c r="C250" s="2"/>
      <c r="D250" s="3" t="s">
        <v>3009</v>
      </c>
      <c r="E250" s="15">
        <v>821.61040000000003</v>
      </c>
      <c r="F250" s="120">
        <f t="shared" si="27"/>
        <v>29.30410426666667</v>
      </c>
      <c r="G250" s="120">
        <f t="shared" si="23"/>
        <v>28.45058666666667</v>
      </c>
      <c r="H250" s="120">
        <f t="shared" si="24"/>
        <v>27.908670730158732</v>
      </c>
      <c r="I250" s="120">
        <f t="shared" si="28"/>
        <v>26.640094787878787</v>
      </c>
      <c r="J250" s="120">
        <f t="shared" si="25"/>
        <v>32.864415999999999</v>
      </c>
      <c r="K250" s="114"/>
      <c r="L250" s="127">
        <f t="shared" si="29"/>
        <v>29.876741818181817</v>
      </c>
      <c r="M250" s="83"/>
    </row>
    <row r="251" spans="1:13" s="8" customFormat="1" ht="24.95" customHeight="1">
      <c r="A251" s="2" t="s">
        <v>3010</v>
      </c>
      <c r="B251" s="2" t="s">
        <v>3011</v>
      </c>
      <c r="C251" s="2"/>
      <c r="D251" s="3" t="s">
        <v>3012</v>
      </c>
      <c r="E251" s="15">
        <v>764.83680000000004</v>
      </c>
      <c r="F251" s="120">
        <f t="shared" si="27"/>
        <v>27.279179200000002</v>
      </c>
      <c r="G251" s="120">
        <f t="shared" si="23"/>
        <v>26.484640000000002</v>
      </c>
      <c r="H251" s="120">
        <f t="shared" si="24"/>
        <v>25.98017066666667</v>
      </c>
      <c r="I251" s="120">
        <f t="shared" si="28"/>
        <v>24.799253818181821</v>
      </c>
      <c r="J251" s="120">
        <f t="shared" si="25"/>
        <v>30.593472000000002</v>
      </c>
      <c r="K251" s="114"/>
      <c r="L251" s="127">
        <f t="shared" si="29"/>
        <v>27.812247272727273</v>
      </c>
      <c r="M251" s="83"/>
    </row>
    <row r="252" spans="1:13" s="8" customFormat="1" ht="24.95" customHeight="1">
      <c r="A252" s="2" t="s">
        <v>3028</v>
      </c>
      <c r="B252" s="2" t="s">
        <v>3029</v>
      </c>
      <c r="C252" s="2"/>
      <c r="D252" s="3" t="s">
        <v>3030</v>
      </c>
      <c r="E252" s="15">
        <v>697.35119999999995</v>
      </c>
      <c r="F252" s="120">
        <f t="shared" si="27"/>
        <v>24.872192800000001</v>
      </c>
      <c r="G252" s="120">
        <f t="shared" si="23"/>
        <v>24.147760000000002</v>
      </c>
      <c r="H252" s="120">
        <f t="shared" si="24"/>
        <v>23.68780266666667</v>
      </c>
      <c r="I252" s="120">
        <f t="shared" si="28"/>
        <v>22.611084363636365</v>
      </c>
      <c r="J252" s="120">
        <f t="shared" si="25"/>
        <v>27.894047999999998</v>
      </c>
      <c r="K252" s="114"/>
      <c r="L252" s="127">
        <f t="shared" si="29"/>
        <v>25.358225454545451</v>
      </c>
      <c r="M252" s="83"/>
    </row>
    <row r="253" spans="1:13" s="8" customFormat="1" ht="24.95" customHeight="1">
      <c r="A253" s="2" t="s">
        <v>3013</v>
      </c>
      <c r="B253" s="2" t="s">
        <v>3014</v>
      </c>
      <c r="C253" s="2"/>
      <c r="D253" s="3" t="s">
        <v>3015</v>
      </c>
      <c r="E253" s="15">
        <v>745.55520000000001</v>
      </c>
      <c r="F253" s="120">
        <f t="shared" si="27"/>
        <v>26.591468800000005</v>
      </c>
      <c r="G253" s="120">
        <f t="shared" si="23"/>
        <v>25.816960000000005</v>
      </c>
      <c r="H253" s="120">
        <f t="shared" si="24"/>
        <v>25.325208380952386</v>
      </c>
      <c r="I253" s="120">
        <f t="shared" si="28"/>
        <v>24.17406254545455</v>
      </c>
      <c r="J253" s="120">
        <f t="shared" si="25"/>
        <v>29.822208</v>
      </c>
      <c r="K253" s="114"/>
      <c r="L253" s="127">
        <f t="shared" si="29"/>
        <v>27.111098181818182</v>
      </c>
      <c r="M253" s="83"/>
    </row>
    <row r="254" spans="1:13" s="8" customFormat="1" ht="24.95" customHeight="1">
      <c r="A254" s="2" t="s">
        <v>3022</v>
      </c>
      <c r="B254" s="2" t="s">
        <v>3023</v>
      </c>
      <c r="C254" s="2"/>
      <c r="D254" s="3" t="s">
        <v>3024</v>
      </c>
      <c r="E254" s="15">
        <v>720</v>
      </c>
      <c r="F254" s="120">
        <f t="shared" si="27"/>
        <v>25.680000000000003</v>
      </c>
      <c r="G254" s="120">
        <f t="shared" si="23"/>
        <v>24.932038834951459</v>
      </c>
      <c r="H254" s="120">
        <f t="shared" si="24"/>
        <v>24.457142857142863</v>
      </c>
      <c r="I254" s="120">
        <f t="shared" si="28"/>
        <v>23.345454545454551</v>
      </c>
      <c r="J254" s="120">
        <f t="shared" si="25"/>
        <v>28.8</v>
      </c>
      <c r="K254" s="114"/>
      <c r="L254" s="127">
        <f t="shared" si="29"/>
        <v>26.181818181818183</v>
      </c>
      <c r="M254" s="83"/>
    </row>
    <row r="255" spans="1:13" s="8" customFormat="1" ht="24.95" customHeight="1">
      <c r="A255" s="2" t="s">
        <v>3016</v>
      </c>
      <c r="B255" s="2" t="s">
        <v>3017</v>
      </c>
      <c r="C255" s="2"/>
      <c r="D255" s="3" t="s">
        <v>3018</v>
      </c>
      <c r="E255" s="15">
        <v>674.85599999999999</v>
      </c>
      <c r="F255" s="120">
        <f t="shared" si="27"/>
        <v>24.069864000000003</v>
      </c>
      <c r="G255" s="120">
        <f t="shared" si="23"/>
        <v>23.368800000000004</v>
      </c>
      <c r="H255" s="120">
        <f t="shared" si="24"/>
        <v>22.923680000000001</v>
      </c>
      <c r="I255" s="120">
        <f t="shared" si="28"/>
        <v>21.881694545454547</v>
      </c>
      <c r="J255" s="120">
        <f t="shared" si="25"/>
        <v>26.994239999999998</v>
      </c>
      <c r="K255" s="114"/>
      <c r="L255" s="127">
        <f t="shared" si="29"/>
        <v>24.540218181818179</v>
      </c>
      <c r="M255" s="83"/>
    </row>
    <row r="256" spans="1:13" s="8" customFormat="1" ht="24.95" customHeight="1">
      <c r="A256" s="2" t="s">
        <v>3031</v>
      </c>
      <c r="B256" s="2" t="s">
        <v>3032</v>
      </c>
      <c r="C256" s="2"/>
      <c r="D256" s="3" t="s">
        <v>3033</v>
      </c>
      <c r="E256" s="15">
        <v>787.33200000000011</v>
      </c>
      <c r="F256" s="120">
        <f t="shared" si="27"/>
        <v>28.081508000000003</v>
      </c>
      <c r="G256" s="120">
        <f t="shared" si="23"/>
        <v>27.263600000000004</v>
      </c>
      <c r="H256" s="120">
        <f t="shared" si="24"/>
        <v>26.744293333333335</v>
      </c>
      <c r="I256" s="120">
        <f t="shared" si="28"/>
        <v>25.52864363636364</v>
      </c>
      <c r="J256" s="120">
        <f t="shared" si="25"/>
        <v>31.493280000000006</v>
      </c>
      <c r="K256" s="114"/>
      <c r="L256" s="127">
        <f t="shared" si="29"/>
        <v>28.630254545454548</v>
      </c>
      <c r="M256" s="83"/>
    </row>
    <row r="257" spans="1:13" s="8" customFormat="1" ht="24.95" customHeight="1">
      <c r="A257" s="2" t="s">
        <v>3025</v>
      </c>
      <c r="B257" s="2" t="s">
        <v>3026</v>
      </c>
      <c r="C257" s="2"/>
      <c r="D257" s="3" t="s">
        <v>3027</v>
      </c>
      <c r="E257" s="15">
        <v>697.35119999999995</v>
      </c>
      <c r="F257" s="120">
        <f t="shared" si="27"/>
        <v>24.872192800000001</v>
      </c>
      <c r="G257" s="120">
        <f t="shared" si="23"/>
        <v>24.147760000000002</v>
      </c>
      <c r="H257" s="120">
        <f t="shared" si="24"/>
        <v>23.68780266666667</v>
      </c>
      <c r="I257" s="120">
        <f t="shared" si="28"/>
        <v>22.611084363636365</v>
      </c>
      <c r="J257" s="120">
        <f t="shared" si="25"/>
        <v>27.894047999999998</v>
      </c>
      <c r="K257" s="114"/>
      <c r="L257" s="127">
        <f t="shared" si="29"/>
        <v>25.358225454545451</v>
      </c>
      <c r="M257" s="83"/>
    </row>
    <row r="258" spans="1:13" s="8" customFormat="1" ht="24.95" customHeight="1">
      <c r="A258" s="2" t="s">
        <v>3019</v>
      </c>
      <c r="B258" s="2" t="s">
        <v>3020</v>
      </c>
      <c r="C258" s="2"/>
      <c r="D258" s="3" t="s">
        <v>3021</v>
      </c>
      <c r="E258" s="15">
        <v>731.62959999999998</v>
      </c>
      <c r="F258" s="120">
        <f t="shared" si="27"/>
        <v>26.094789066666667</v>
      </c>
      <c r="G258" s="120">
        <f t="shared" si="23"/>
        <v>25.334746666666668</v>
      </c>
      <c r="H258" s="120">
        <f t="shared" si="24"/>
        <v>24.852180063492064</v>
      </c>
      <c r="I258" s="120">
        <f t="shared" si="28"/>
        <v>23.722535515151517</v>
      </c>
      <c r="J258" s="120">
        <f t="shared" si="25"/>
        <v>29.265183999999998</v>
      </c>
      <c r="K258" s="114"/>
      <c r="L258" s="127">
        <f t="shared" si="29"/>
        <v>26.604712727272727</v>
      </c>
      <c r="M258" s="83"/>
    </row>
    <row r="259" spans="1:13" s="8" customFormat="1" ht="24.95" customHeight="1">
      <c r="A259" s="2" t="s">
        <v>3034</v>
      </c>
      <c r="B259" s="2" t="s">
        <v>3035</v>
      </c>
      <c r="C259" s="2"/>
      <c r="D259" s="3" t="s">
        <v>3036</v>
      </c>
      <c r="E259" s="15">
        <v>664.14400000000001</v>
      </c>
      <c r="F259" s="120">
        <f t="shared" si="27"/>
        <v>23.687802666666666</v>
      </c>
      <c r="G259" s="120">
        <f t="shared" si="23"/>
        <v>22.997866666666667</v>
      </c>
      <c r="H259" s="120">
        <f t="shared" si="24"/>
        <v>22.559812063492064</v>
      </c>
      <c r="I259" s="120">
        <f t="shared" si="28"/>
        <v>21.534366060606061</v>
      </c>
      <c r="J259" s="120">
        <f t="shared" si="25"/>
        <v>26.565760000000001</v>
      </c>
      <c r="K259" s="114"/>
      <c r="L259" s="127">
        <f t="shared" si="29"/>
        <v>24.150690909090908</v>
      </c>
      <c r="M259" s="83"/>
    </row>
    <row r="260" spans="1:13" s="8" customFormat="1" ht="24.95" customHeight="1">
      <c r="A260" s="2" t="s">
        <v>3040</v>
      </c>
      <c r="B260" s="2" t="s">
        <v>3041</v>
      </c>
      <c r="C260" s="2"/>
      <c r="D260" s="3" t="s">
        <v>3042</v>
      </c>
      <c r="E260" s="15">
        <v>760</v>
      </c>
      <c r="F260" s="120">
        <f t="shared" si="27"/>
        <v>27.106666666666669</v>
      </c>
      <c r="G260" s="120">
        <f t="shared" ref="G260:G323" si="30">F260*100/103</f>
        <v>26.317152103559874</v>
      </c>
      <c r="H260" s="120">
        <f t="shared" ref="H260:H323" si="31">F260*100/105</f>
        <v>25.81587301587302</v>
      </c>
      <c r="I260" s="120">
        <f t="shared" si="28"/>
        <v>24.642424242424244</v>
      </c>
      <c r="J260" s="120">
        <f t="shared" ref="J260:J323" si="32">+(E260*1.2/30)</f>
        <v>30.4</v>
      </c>
      <c r="K260" s="114"/>
      <c r="L260" s="127">
        <f t="shared" si="29"/>
        <v>27.636363636363637</v>
      </c>
      <c r="M260" s="83"/>
    </row>
    <row r="261" spans="1:13" s="8" customFormat="1" ht="24.95" customHeight="1">
      <c r="A261" s="2" t="s">
        <v>3069</v>
      </c>
      <c r="B261" s="2" t="s">
        <v>3070</v>
      </c>
      <c r="C261" s="2"/>
      <c r="D261" s="3" t="s">
        <v>3071</v>
      </c>
      <c r="E261" s="15">
        <v>596.65840000000003</v>
      </c>
      <c r="F261" s="120">
        <f t="shared" si="27"/>
        <v>21.280816266666669</v>
      </c>
      <c r="G261" s="120">
        <f t="shared" si="30"/>
        <v>20.66098666666667</v>
      </c>
      <c r="H261" s="120">
        <f t="shared" si="31"/>
        <v>20.267444063492068</v>
      </c>
      <c r="I261" s="120">
        <f t="shared" si="28"/>
        <v>19.346196606060609</v>
      </c>
      <c r="J261" s="120">
        <f t="shared" si="32"/>
        <v>23.866336</v>
      </c>
      <c r="K261" s="114"/>
      <c r="L261" s="127">
        <f t="shared" si="29"/>
        <v>21.696669090909094</v>
      </c>
      <c r="M261" s="83"/>
    </row>
    <row r="262" spans="1:13" s="8" customFormat="1" ht="24.95" customHeight="1">
      <c r="A262" s="2" t="s">
        <v>3072</v>
      </c>
      <c r="B262" s="2" t="s">
        <v>3073</v>
      </c>
      <c r="C262" s="2" t="s">
        <v>8669</v>
      </c>
      <c r="D262" s="3" t="s">
        <v>8824</v>
      </c>
      <c r="E262" s="15">
        <v>731.62959999999998</v>
      </c>
      <c r="F262" s="120">
        <f t="shared" ref="F262:F325" si="33">+(E262*1.07/30)</f>
        <v>26.094789066666667</v>
      </c>
      <c r="G262" s="120">
        <f t="shared" si="30"/>
        <v>25.334746666666668</v>
      </c>
      <c r="H262" s="120">
        <f t="shared" si="31"/>
        <v>24.852180063492064</v>
      </c>
      <c r="I262" s="120">
        <f t="shared" si="28"/>
        <v>23.722535515151517</v>
      </c>
      <c r="J262" s="120">
        <f t="shared" si="32"/>
        <v>29.265183999999998</v>
      </c>
      <c r="K262" s="114"/>
      <c r="L262" s="127">
        <f t="shared" si="29"/>
        <v>26.604712727272727</v>
      </c>
      <c r="M262" s="83"/>
    </row>
    <row r="263" spans="1:13" s="8" customFormat="1" ht="24.95" customHeight="1">
      <c r="A263" s="2" t="s">
        <v>3037</v>
      </c>
      <c r="B263" s="2" t="s">
        <v>3038</v>
      </c>
      <c r="C263" s="2"/>
      <c r="D263" s="3" t="s">
        <v>3039</v>
      </c>
      <c r="E263" s="15">
        <v>728.41599999999994</v>
      </c>
      <c r="F263" s="120">
        <f t="shared" si="33"/>
        <v>25.980170666666666</v>
      </c>
      <c r="G263" s="120">
        <f t="shared" si="30"/>
        <v>25.223466666666667</v>
      </c>
      <c r="H263" s="120">
        <f t="shared" si="31"/>
        <v>24.743019682539682</v>
      </c>
      <c r="I263" s="120">
        <f t="shared" si="28"/>
        <v>23.618336969696969</v>
      </c>
      <c r="J263" s="120">
        <f t="shared" si="32"/>
        <v>29.136639999999996</v>
      </c>
      <c r="K263" s="114"/>
      <c r="L263" s="127">
        <f t="shared" si="29"/>
        <v>26.487854545454542</v>
      </c>
      <c r="M263" s="83"/>
    </row>
    <row r="264" spans="1:13" s="8" customFormat="1" ht="24.95" customHeight="1">
      <c r="A264" s="2" t="s">
        <v>3043</v>
      </c>
      <c r="B264" s="2" t="s">
        <v>3044</v>
      </c>
      <c r="C264" s="2"/>
      <c r="D264" s="3" t="s">
        <v>3045</v>
      </c>
      <c r="E264" s="15">
        <v>776.62</v>
      </c>
      <c r="F264" s="120">
        <f t="shared" si="33"/>
        <v>27.69944666666667</v>
      </c>
      <c r="G264" s="120">
        <f t="shared" si="30"/>
        <v>26.89266666666667</v>
      </c>
      <c r="H264" s="120">
        <f t="shared" si="31"/>
        <v>26.380425396825402</v>
      </c>
      <c r="I264" s="120">
        <f t="shared" si="28"/>
        <v>25.181315151515157</v>
      </c>
      <c r="J264" s="120">
        <f t="shared" si="32"/>
        <v>31.064799999999998</v>
      </c>
      <c r="K264" s="114"/>
      <c r="L264" s="127">
        <f t="shared" si="29"/>
        <v>28.24072727272727</v>
      </c>
      <c r="M264" s="83"/>
    </row>
    <row r="265" spans="1:13" s="8" customFormat="1" ht="24.95" customHeight="1">
      <c r="A265" s="2" t="s">
        <v>3046</v>
      </c>
      <c r="B265" s="2" t="s">
        <v>3047</v>
      </c>
      <c r="C265" s="2"/>
      <c r="D265" s="3" t="s">
        <v>3048</v>
      </c>
      <c r="E265" s="15">
        <v>672.71360000000004</v>
      </c>
      <c r="F265" s="120">
        <f t="shared" si="33"/>
        <v>23.993451733333337</v>
      </c>
      <c r="G265" s="120">
        <f t="shared" si="30"/>
        <v>23.294613333333334</v>
      </c>
      <c r="H265" s="120">
        <f t="shared" si="31"/>
        <v>22.850906412698414</v>
      </c>
      <c r="I265" s="120">
        <f t="shared" ref="I265:I328" si="34">F265*100/110</f>
        <v>21.81222884848485</v>
      </c>
      <c r="J265" s="120">
        <f t="shared" si="32"/>
        <v>26.908544000000003</v>
      </c>
      <c r="K265" s="114"/>
      <c r="L265" s="127">
        <f t="shared" si="29"/>
        <v>24.462312727272728</v>
      </c>
      <c r="M265" s="83"/>
    </row>
    <row r="266" spans="1:13" s="8" customFormat="1" ht="24.95" customHeight="1">
      <c r="A266" s="2" t="s">
        <v>3052</v>
      </c>
      <c r="B266" s="2" t="s">
        <v>3053</v>
      </c>
      <c r="C266" s="2"/>
      <c r="D266" s="3" t="s">
        <v>3054</v>
      </c>
      <c r="E266" s="15">
        <v>760.55200000000002</v>
      </c>
      <c r="F266" s="120">
        <f t="shared" si="33"/>
        <v>27.126354666666668</v>
      </c>
      <c r="G266" s="120">
        <f t="shared" si="30"/>
        <v>26.336266666666667</v>
      </c>
      <c r="H266" s="120">
        <f t="shared" si="31"/>
        <v>25.834623492063493</v>
      </c>
      <c r="I266" s="120">
        <f t="shared" si="34"/>
        <v>24.660322424242423</v>
      </c>
      <c r="J266" s="120">
        <f t="shared" si="32"/>
        <v>30.422080000000001</v>
      </c>
      <c r="K266" s="114"/>
      <c r="L266" s="127">
        <f t="shared" si="29"/>
        <v>27.656436363636367</v>
      </c>
      <c r="M266" s="83"/>
    </row>
    <row r="267" spans="1:13" s="8" customFormat="1" ht="24.95" customHeight="1">
      <c r="A267" s="2" t="s">
        <v>3057</v>
      </c>
      <c r="B267" s="2" t="s">
        <v>3058</v>
      </c>
      <c r="C267" s="2"/>
      <c r="D267" s="3" t="s">
        <v>3059</v>
      </c>
      <c r="E267" s="15">
        <v>832.32240000000002</v>
      </c>
      <c r="F267" s="120">
        <f t="shared" si="33"/>
        <v>29.686165600000002</v>
      </c>
      <c r="G267" s="120">
        <f t="shared" si="30"/>
        <v>28.821520000000003</v>
      </c>
      <c r="H267" s="120">
        <f t="shared" si="31"/>
        <v>28.272538666666669</v>
      </c>
      <c r="I267" s="120">
        <f t="shared" si="34"/>
        <v>26.987423272727277</v>
      </c>
      <c r="J267" s="120">
        <f t="shared" si="32"/>
        <v>33.292895999999999</v>
      </c>
      <c r="K267" s="114"/>
      <c r="L267" s="127">
        <f t="shared" si="29"/>
        <v>30.266269090909091</v>
      </c>
      <c r="M267" s="83"/>
    </row>
    <row r="268" spans="1:13" s="8" customFormat="1" ht="24.95" customHeight="1">
      <c r="A268" s="2" t="s">
        <v>3055</v>
      </c>
      <c r="B268" s="2" t="s">
        <v>3056</v>
      </c>
      <c r="C268" s="2"/>
      <c r="D268" s="3" t="s">
        <v>8085</v>
      </c>
      <c r="E268" s="15">
        <v>754.12480000000005</v>
      </c>
      <c r="F268" s="120">
        <f t="shared" si="33"/>
        <v>26.897117866666672</v>
      </c>
      <c r="G268" s="120">
        <f t="shared" si="30"/>
        <v>26.113706666666673</v>
      </c>
      <c r="H268" s="120">
        <f t="shared" si="31"/>
        <v>25.616302730158736</v>
      </c>
      <c r="I268" s="120">
        <f t="shared" si="34"/>
        <v>24.451925333333339</v>
      </c>
      <c r="J268" s="120">
        <f t="shared" si="32"/>
        <v>30.164992000000002</v>
      </c>
      <c r="K268" s="114"/>
      <c r="L268" s="127">
        <f t="shared" si="29"/>
        <v>27.422720000000002</v>
      </c>
      <c r="M268" s="83"/>
    </row>
    <row r="269" spans="1:13" s="8" customFormat="1" ht="24.95" customHeight="1">
      <c r="A269" s="2" t="s">
        <v>3074</v>
      </c>
      <c r="B269" s="2" t="s">
        <v>3075</v>
      </c>
      <c r="C269" s="2"/>
      <c r="D269" s="3" t="s">
        <v>3076</v>
      </c>
      <c r="E269" s="15">
        <v>719.84640000000002</v>
      </c>
      <c r="F269" s="120">
        <f t="shared" si="33"/>
        <v>25.674521600000002</v>
      </c>
      <c r="G269" s="120">
        <f t="shared" si="30"/>
        <v>24.926720000000003</v>
      </c>
      <c r="H269" s="120">
        <f t="shared" si="31"/>
        <v>24.451925333333335</v>
      </c>
      <c r="I269" s="120">
        <f t="shared" si="34"/>
        <v>23.340474181818184</v>
      </c>
      <c r="J269" s="120">
        <f t="shared" si="32"/>
        <v>28.793856000000002</v>
      </c>
      <c r="K269" s="114"/>
      <c r="L269" s="127">
        <f t="shared" si="29"/>
        <v>26.17623272727273</v>
      </c>
      <c r="M269" s="83"/>
    </row>
    <row r="270" spans="1:13" s="8" customFormat="1" ht="24.95" customHeight="1">
      <c r="A270" s="2" t="s">
        <v>3060</v>
      </c>
      <c r="B270" s="2" t="s">
        <v>3061</v>
      </c>
      <c r="C270" s="2"/>
      <c r="D270" s="3" t="s">
        <v>3062</v>
      </c>
      <c r="E270" s="15">
        <v>674.85599999999999</v>
      </c>
      <c r="F270" s="120">
        <f t="shared" si="33"/>
        <v>24.069864000000003</v>
      </c>
      <c r="G270" s="120">
        <f t="shared" si="30"/>
        <v>23.368800000000004</v>
      </c>
      <c r="H270" s="120">
        <f t="shared" si="31"/>
        <v>22.923680000000001</v>
      </c>
      <c r="I270" s="120">
        <f t="shared" si="34"/>
        <v>21.881694545454547</v>
      </c>
      <c r="J270" s="120">
        <f t="shared" si="32"/>
        <v>26.994239999999998</v>
      </c>
      <c r="K270" s="114"/>
      <c r="L270" s="127">
        <f t="shared" si="29"/>
        <v>24.540218181818179</v>
      </c>
      <c r="M270" s="83"/>
    </row>
    <row r="271" spans="1:13" s="8" customFormat="1" ht="24.95" customHeight="1">
      <c r="A271" s="2" t="s">
        <v>3063</v>
      </c>
      <c r="B271" s="2" t="s">
        <v>3064</v>
      </c>
      <c r="C271" s="2"/>
      <c r="D271" s="3" t="s">
        <v>3065</v>
      </c>
      <c r="E271" s="15">
        <v>709.13440000000003</v>
      </c>
      <c r="F271" s="120">
        <f t="shared" si="33"/>
        <v>25.292460266666669</v>
      </c>
      <c r="G271" s="120">
        <f t="shared" si="30"/>
        <v>24.55578666666667</v>
      </c>
      <c r="H271" s="120">
        <f t="shared" si="31"/>
        <v>24.088057396825402</v>
      </c>
      <c r="I271" s="120">
        <f t="shared" si="34"/>
        <v>22.993145696969702</v>
      </c>
      <c r="J271" s="120">
        <f t="shared" si="32"/>
        <v>28.365376000000001</v>
      </c>
      <c r="K271" s="114"/>
      <c r="L271" s="127">
        <f t="shared" si="29"/>
        <v>25.786705454545455</v>
      </c>
      <c r="M271" s="83"/>
    </row>
    <row r="272" spans="1:13" s="8" customFormat="1" ht="24.95" customHeight="1">
      <c r="A272" s="2" t="s">
        <v>3066</v>
      </c>
      <c r="B272" s="2" t="s">
        <v>3067</v>
      </c>
      <c r="C272" s="2"/>
      <c r="D272" s="3" t="s">
        <v>3068</v>
      </c>
      <c r="E272" s="15">
        <v>787.33200000000011</v>
      </c>
      <c r="F272" s="120">
        <f t="shared" si="33"/>
        <v>28.081508000000003</v>
      </c>
      <c r="G272" s="120">
        <f t="shared" si="30"/>
        <v>27.263600000000004</v>
      </c>
      <c r="H272" s="120">
        <f t="shared" si="31"/>
        <v>26.744293333333335</v>
      </c>
      <c r="I272" s="120">
        <f t="shared" si="34"/>
        <v>25.52864363636364</v>
      </c>
      <c r="J272" s="120">
        <f t="shared" si="32"/>
        <v>31.493280000000006</v>
      </c>
      <c r="K272" s="114"/>
      <c r="L272" s="127">
        <f t="shared" si="29"/>
        <v>28.630254545454548</v>
      </c>
      <c r="M272" s="83"/>
    </row>
    <row r="273" spans="1:13" s="8" customFormat="1" ht="24.95" customHeight="1">
      <c r="A273" s="2" t="s">
        <v>3077</v>
      </c>
      <c r="B273" s="2" t="s">
        <v>3078</v>
      </c>
      <c r="C273" s="2"/>
      <c r="D273" s="3" t="s">
        <v>3079</v>
      </c>
      <c r="E273" s="15">
        <v>787.33200000000011</v>
      </c>
      <c r="F273" s="120">
        <f t="shared" si="33"/>
        <v>28.081508000000003</v>
      </c>
      <c r="G273" s="120">
        <f t="shared" si="30"/>
        <v>27.263600000000004</v>
      </c>
      <c r="H273" s="120">
        <f t="shared" si="31"/>
        <v>26.744293333333335</v>
      </c>
      <c r="I273" s="120">
        <f t="shared" si="34"/>
        <v>25.52864363636364</v>
      </c>
      <c r="J273" s="120">
        <f t="shared" si="32"/>
        <v>31.493280000000006</v>
      </c>
      <c r="K273" s="114"/>
      <c r="L273" s="127">
        <f t="shared" si="29"/>
        <v>28.630254545454548</v>
      </c>
      <c r="M273" s="83"/>
    </row>
    <row r="274" spans="1:13" s="8" customFormat="1" ht="24.95" customHeight="1">
      <c r="A274" s="2" t="s">
        <v>3083</v>
      </c>
      <c r="B274" s="2" t="s">
        <v>3084</v>
      </c>
      <c r="C274" s="2"/>
      <c r="D274" s="3" t="s">
        <v>3085</v>
      </c>
      <c r="E274" s="15">
        <v>781.976</v>
      </c>
      <c r="F274" s="120">
        <f t="shared" si="33"/>
        <v>27.890477333333333</v>
      </c>
      <c r="G274" s="120">
        <f t="shared" si="30"/>
        <v>27.078133333333334</v>
      </c>
      <c r="H274" s="120">
        <f t="shared" si="31"/>
        <v>26.562359365079367</v>
      </c>
      <c r="I274" s="120">
        <f t="shared" si="34"/>
        <v>25.354979393939395</v>
      </c>
      <c r="J274" s="120">
        <f t="shared" si="32"/>
        <v>31.279039999999998</v>
      </c>
      <c r="K274" s="114"/>
      <c r="L274" s="127">
        <f t="shared" si="29"/>
        <v>28.435490909090905</v>
      </c>
      <c r="M274" s="83"/>
    </row>
    <row r="275" spans="1:13" s="8" customFormat="1" ht="24.95" customHeight="1">
      <c r="A275" s="2" t="s">
        <v>3080</v>
      </c>
      <c r="B275" s="2" t="s">
        <v>3081</v>
      </c>
      <c r="C275" s="2"/>
      <c r="D275" s="3" t="s">
        <v>3082</v>
      </c>
      <c r="E275" s="15">
        <v>653.43200000000002</v>
      </c>
      <c r="F275" s="120">
        <f t="shared" si="33"/>
        <v>23.305741333333337</v>
      </c>
      <c r="G275" s="120">
        <f t="shared" si="30"/>
        <v>22.626933333333334</v>
      </c>
      <c r="H275" s="120">
        <f t="shared" si="31"/>
        <v>22.195944126984127</v>
      </c>
      <c r="I275" s="120">
        <f t="shared" si="34"/>
        <v>21.187037575757579</v>
      </c>
      <c r="J275" s="120">
        <f t="shared" si="32"/>
        <v>26.137279999999997</v>
      </c>
      <c r="K275" s="114"/>
      <c r="L275" s="127">
        <f t="shared" si="29"/>
        <v>23.761163636363634</v>
      </c>
      <c r="M275" s="83"/>
    </row>
    <row r="276" spans="1:13" s="8" customFormat="1" ht="24.95" customHeight="1">
      <c r="A276" s="2" t="s">
        <v>3153</v>
      </c>
      <c r="B276" s="2" t="s">
        <v>3154</v>
      </c>
      <c r="C276" s="2"/>
      <c r="D276" s="3" t="s">
        <v>3155</v>
      </c>
      <c r="E276" s="15">
        <v>855.88880000000006</v>
      </c>
      <c r="F276" s="120">
        <f t="shared" si="33"/>
        <v>30.526700533333337</v>
      </c>
      <c r="G276" s="120">
        <f t="shared" si="30"/>
        <v>29.637573333333336</v>
      </c>
      <c r="H276" s="120">
        <f t="shared" si="31"/>
        <v>29.07304812698413</v>
      </c>
      <c r="I276" s="120">
        <f t="shared" si="34"/>
        <v>27.751545939393942</v>
      </c>
      <c r="J276" s="120">
        <f t="shared" si="32"/>
        <v>34.235551999999998</v>
      </c>
      <c r="K276" s="114"/>
      <c r="L276" s="127">
        <f t="shared" si="29"/>
        <v>31.123229090909092</v>
      </c>
      <c r="M276" s="83"/>
    </row>
    <row r="277" spans="1:13" s="8" customFormat="1" ht="24.95" customHeight="1">
      <c r="A277" s="2" t="s">
        <v>3097</v>
      </c>
      <c r="B277" s="2" t="s">
        <v>3098</v>
      </c>
      <c r="C277" s="2"/>
      <c r="D277" s="3" t="s">
        <v>3099</v>
      </c>
      <c r="E277" s="15">
        <v>719.84640000000002</v>
      </c>
      <c r="F277" s="120">
        <f t="shared" si="33"/>
        <v>25.674521600000002</v>
      </c>
      <c r="G277" s="120">
        <f t="shared" si="30"/>
        <v>24.926720000000003</v>
      </c>
      <c r="H277" s="120">
        <f t="shared" si="31"/>
        <v>24.451925333333335</v>
      </c>
      <c r="I277" s="120">
        <f t="shared" si="34"/>
        <v>23.340474181818184</v>
      </c>
      <c r="J277" s="120">
        <f t="shared" si="32"/>
        <v>28.793856000000002</v>
      </c>
      <c r="K277" s="114"/>
      <c r="L277" s="127">
        <f t="shared" si="29"/>
        <v>26.17623272727273</v>
      </c>
      <c r="M277" s="83"/>
    </row>
    <row r="278" spans="1:13" s="8" customFormat="1" ht="24.95" customHeight="1">
      <c r="A278" s="2" t="s">
        <v>3088</v>
      </c>
      <c r="B278" s="2" t="s">
        <v>3089</v>
      </c>
      <c r="C278" s="2"/>
      <c r="D278" s="3" t="s">
        <v>3090</v>
      </c>
      <c r="E278" s="15">
        <v>731.62959999999998</v>
      </c>
      <c r="F278" s="120">
        <f t="shared" si="33"/>
        <v>26.094789066666667</v>
      </c>
      <c r="G278" s="120">
        <f t="shared" si="30"/>
        <v>25.334746666666668</v>
      </c>
      <c r="H278" s="120">
        <f t="shared" si="31"/>
        <v>24.852180063492064</v>
      </c>
      <c r="I278" s="120">
        <f t="shared" si="34"/>
        <v>23.722535515151517</v>
      </c>
      <c r="J278" s="120">
        <f t="shared" si="32"/>
        <v>29.265183999999998</v>
      </c>
      <c r="K278" s="114"/>
      <c r="L278" s="127">
        <f t="shared" si="29"/>
        <v>26.604712727272727</v>
      </c>
      <c r="M278" s="83"/>
    </row>
    <row r="279" spans="1:13" s="8" customFormat="1" ht="24.95" customHeight="1">
      <c r="A279" s="2" t="s">
        <v>3112</v>
      </c>
      <c r="B279" s="2" t="s">
        <v>3113</v>
      </c>
      <c r="C279" s="2"/>
      <c r="D279" s="3" t="s">
        <v>3114</v>
      </c>
      <c r="E279" s="15">
        <v>546.31200000000013</v>
      </c>
      <c r="F279" s="120">
        <f t="shared" si="33"/>
        <v>19.485128000000007</v>
      </c>
      <c r="G279" s="120">
        <f t="shared" si="30"/>
        <v>18.917600000000007</v>
      </c>
      <c r="H279" s="120">
        <f t="shared" si="31"/>
        <v>18.557264761904769</v>
      </c>
      <c r="I279" s="120">
        <f t="shared" si="34"/>
        <v>17.713752727272734</v>
      </c>
      <c r="J279" s="120">
        <f t="shared" si="32"/>
        <v>21.852480000000003</v>
      </c>
      <c r="K279" s="114"/>
      <c r="L279" s="127">
        <f t="shared" si="29"/>
        <v>19.865890909090911</v>
      </c>
      <c r="M279" s="83"/>
    </row>
    <row r="280" spans="1:13" s="8" customFormat="1" ht="24.95" customHeight="1">
      <c r="A280" s="2" t="s">
        <v>3100</v>
      </c>
      <c r="B280" s="2" t="s">
        <v>3101</v>
      </c>
      <c r="C280" s="2"/>
      <c r="D280" s="3" t="s">
        <v>3102</v>
      </c>
      <c r="E280" s="15">
        <v>1069.0576000000001</v>
      </c>
      <c r="F280" s="120">
        <f t="shared" si="33"/>
        <v>38.129721066666669</v>
      </c>
      <c r="G280" s="120">
        <f t="shared" si="30"/>
        <v>37.019146666666671</v>
      </c>
      <c r="H280" s="120">
        <f t="shared" si="31"/>
        <v>36.314020063492066</v>
      </c>
      <c r="I280" s="120">
        <f t="shared" si="34"/>
        <v>34.663382787878788</v>
      </c>
      <c r="J280" s="120">
        <f t="shared" si="32"/>
        <v>42.762304</v>
      </c>
      <c r="K280" s="114"/>
      <c r="L280" s="127">
        <f t="shared" si="29"/>
        <v>38.874821818181822</v>
      </c>
      <c r="M280" s="83"/>
    </row>
    <row r="281" spans="1:13" s="8" customFormat="1" ht="24.95" customHeight="1">
      <c r="A281" s="2" t="s">
        <v>3103</v>
      </c>
      <c r="B281" s="2" t="s">
        <v>3104</v>
      </c>
      <c r="C281" s="2"/>
      <c r="D281" s="3" t="s">
        <v>3105</v>
      </c>
      <c r="E281" s="15">
        <v>770</v>
      </c>
      <c r="F281" s="120">
        <f t="shared" si="33"/>
        <v>27.463333333333335</v>
      </c>
      <c r="G281" s="120">
        <f t="shared" si="30"/>
        <v>26.663430420711975</v>
      </c>
      <c r="H281" s="120">
        <f t="shared" si="31"/>
        <v>26.155555555555559</v>
      </c>
      <c r="I281" s="120">
        <f t="shared" si="34"/>
        <v>24.966666666666669</v>
      </c>
      <c r="J281" s="120">
        <f t="shared" si="32"/>
        <v>30.8</v>
      </c>
      <c r="K281" s="114"/>
      <c r="L281" s="127">
        <f t="shared" si="29"/>
        <v>28</v>
      </c>
      <c r="M281" s="83">
        <v>45350</v>
      </c>
    </row>
    <row r="282" spans="1:13" s="8" customFormat="1" ht="24.95" customHeight="1">
      <c r="A282" s="2" t="s">
        <v>3094</v>
      </c>
      <c r="B282" s="2" t="s">
        <v>3095</v>
      </c>
      <c r="C282" s="2"/>
      <c r="D282" s="3" t="s">
        <v>3096</v>
      </c>
      <c r="E282" s="15">
        <v>760.55200000000002</v>
      </c>
      <c r="F282" s="120">
        <f t="shared" si="33"/>
        <v>27.126354666666668</v>
      </c>
      <c r="G282" s="120">
        <f t="shared" si="30"/>
        <v>26.336266666666667</v>
      </c>
      <c r="H282" s="120">
        <f t="shared" si="31"/>
        <v>25.834623492063493</v>
      </c>
      <c r="I282" s="120">
        <f t="shared" si="34"/>
        <v>24.660322424242423</v>
      </c>
      <c r="J282" s="120">
        <f t="shared" si="32"/>
        <v>30.422080000000001</v>
      </c>
      <c r="K282" s="114"/>
      <c r="L282" s="127">
        <f t="shared" si="29"/>
        <v>27.656436363636367</v>
      </c>
      <c r="M282" s="83"/>
    </row>
    <row r="283" spans="1:13" s="8" customFormat="1" ht="24.95" customHeight="1">
      <c r="A283" s="2" t="s">
        <v>3091</v>
      </c>
      <c r="B283" s="2" t="s">
        <v>3092</v>
      </c>
      <c r="C283" s="2"/>
      <c r="D283" s="3" t="s">
        <v>3093</v>
      </c>
      <c r="E283" s="15">
        <v>754.12480000000005</v>
      </c>
      <c r="F283" s="120">
        <f t="shared" si="33"/>
        <v>26.897117866666672</v>
      </c>
      <c r="G283" s="120">
        <f t="shared" si="30"/>
        <v>26.113706666666673</v>
      </c>
      <c r="H283" s="120">
        <f t="shared" si="31"/>
        <v>25.616302730158736</v>
      </c>
      <c r="I283" s="120">
        <f t="shared" si="34"/>
        <v>24.451925333333339</v>
      </c>
      <c r="J283" s="120">
        <f t="shared" si="32"/>
        <v>30.164992000000002</v>
      </c>
      <c r="K283" s="114"/>
      <c r="L283" s="127">
        <f t="shared" si="29"/>
        <v>27.422720000000002</v>
      </c>
      <c r="M283" s="83"/>
    </row>
    <row r="284" spans="1:13" s="8" customFormat="1" ht="24.95" customHeight="1">
      <c r="A284" s="2" t="s">
        <v>3115</v>
      </c>
      <c r="B284" s="2" t="s">
        <v>3116</v>
      </c>
      <c r="C284" s="2"/>
      <c r="D284" s="3" t="s">
        <v>3117</v>
      </c>
      <c r="E284" s="15">
        <v>1124.76</v>
      </c>
      <c r="F284" s="120">
        <f t="shared" si="33"/>
        <v>40.116440000000004</v>
      </c>
      <c r="G284" s="120">
        <f t="shared" si="30"/>
        <v>38.948</v>
      </c>
      <c r="H284" s="120">
        <f t="shared" si="31"/>
        <v>38.206133333333334</v>
      </c>
      <c r="I284" s="120">
        <f t="shared" si="34"/>
        <v>36.469490909090908</v>
      </c>
      <c r="J284" s="120">
        <f t="shared" si="32"/>
        <v>44.990400000000001</v>
      </c>
      <c r="K284" s="114"/>
      <c r="L284" s="127">
        <f t="shared" si="29"/>
        <v>40.900363636363636</v>
      </c>
      <c r="M284" s="83"/>
    </row>
    <row r="285" spans="1:13" s="8" customFormat="1" ht="24.95" customHeight="1">
      <c r="A285" s="2" t="s">
        <v>3106</v>
      </c>
      <c r="B285" s="2" t="s">
        <v>3107</v>
      </c>
      <c r="C285" s="2"/>
      <c r="D285" s="3" t="s">
        <v>3108</v>
      </c>
      <c r="E285" s="15">
        <v>914.8048</v>
      </c>
      <c r="F285" s="120">
        <f t="shared" si="33"/>
        <v>32.628037866666666</v>
      </c>
      <c r="G285" s="120">
        <f t="shared" si="30"/>
        <v>31.677706666666669</v>
      </c>
      <c r="H285" s="120">
        <f t="shared" si="31"/>
        <v>31.074321777777779</v>
      </c>
      <c r="I285" s="120">
        <f t="shared" si="34"/>
        <v>29.661852606060609</v>
      </c>
      <c r="J285" s="120">
        <f t="shared" si="32"/>
        <v>36.592191999999997</v>
      </c>
      <c r="K285" s="114"/>
      <c r="L285" s="127">
        <f t="shared" si="29"/>
        <v>33.265629090909094</v>
      </c>
      <c r="M285" s="83"/>
    </row>
    <row r="286" spans="1:13" s="8" customFormat="1" ht="24.95" customHeight="1">
      <c r="A286" s="2" t="s">
        <v>3109</v>
      </c>
      <c r="B286" s="2" t="s">
        <v>3110</v>
      </c>
      <c r="C286" s="2"/>
      <c r="D286" s="3" t="s">
        <v>3111</v>
      </c>
      <c r="E286" s="15">
        <v>1131.1872000000001</v>
      </c>
      <c r="F286" s="120">
        <f t="shared" si="33"/>
        <v>40.345676800000007</v>
      </c>
      <c r="G286" s="120">
        <f t="shared" si="30"/>
        <v>39.170560000000009</v>
      </c>
      <c r="H286" s="120">
        <f t="shared" si="31"/>
        <v>38.424454095238097</v>
      </c>
      <c r="I286" s="120">
        <f t="shared" si="34"/>
        <v>36.677888000000003</v>
      </c>
      <c r="J286" s="120">
        <f t="shared" si="32"/>
        <v>45.247487999999997</v>
      </c>
      <c r="K286" s="114"/>
      <c r="L286" s="127">
        <f t="shared" si="29"/>
        <v>41.134079999999997</v>
      </c>
      <c r="M286" s="83"/>
    </row>
    <row r="287" spans="1:13" s="8" customFormat="1" ht="24.95" customHeight="1">
      <c r="A287" s="2" t="s">
        <v>3130</v>
      </c>
      <c r="B287" s="2" t="s">
        <v>3131</v>
      </c>
      <c r="C287" s="2"/>
      <c r="D287" s="3" t="s">
        <v>3132</v>
      </c>
      <c r="E287" s="15">
        <v>760.55200000000002</v>
      </c>
      <c r="F287" s="120">
        <f t="shared" si="33"/>
        <v>27.126354666666668</v>
      </c>
      <c r="G287" s="120">
        <f t="shared" si="30"/>
        <v>26.336266666666667</v>
      </c>
      <c r="H287" s="120">
        <f t="shared" si="31"/>
        <v>25.834623492063493</v>
      </c>
      <c r="I287" s="120">
        <f t="shared" si="34"/>
        <v>24.660322424242423</v>
      </c>
      <c r="J287" s="120">
        <f t="shared" si="32"/>
        <v>30.422080000000001</v>
      </c>
      <c r="K287" s="114"/>
      <c r="L287" s="127">
        <f t="shared" si="29"/>
        <v>27.656436363636367</v>
      </c>
      <c r="M287" s="83"/>
    </row>
    <row r="288" spans="1:13" s="8" customFormat="1" ht="24.95" customHeight="1">
      <c r="A288" s="2" t="s">
        <v>3118</v>
      </c>
      <c r="B288" s="2" t="s">
        <v>3119</v>
      </c>
      <c r="C288" s="2"/>
      <c r="D288" s="3" t="s">
        <v>3120</v>
      </c>
      <c r="E288" s="15">
        <v>829.10879999999997</v>
      </c>
      <c r="F288" s="120">
        <f t="shared" si="33"/>
        <v>29.571547200000001</v>
      </c>
      <c r="G288" s="120">
        <f t="shared" si="30"/>
        <v>28.710239999999999</v>
      </c>
      <c r="H288" s="120">
        <f t="shared" si="31"/>
        <v>28.163378285714284</v>
      </c>
      <c r="I288" s="120">
        <f t="shared" si="34"/>
        <v>26.883224727272726</v>
      </c>
      <c r="J288" s="120">
        <f t="shared" si="32"/>
        <v>33.164351999999994</v>
      </c>
      <c r="K288" s="114"/>
      <c r="L288" s="127">
        <f t="shared" si="29"/>
        <v>30.149410909090907</v>
      </c>
      <c r="M288" s="83"/>
    </row>
    <row r="289" spans="1:15" s="8" customFormat="1" ht="24.95" customHeight="1">
      <c r="A289" s="2" t="s">
        <v>3133</v>
      </c>
      <c r="B289" s="2" t="s">
        <v>3134</v>
      </c>
      <c r="C289" s="2"/>
      <c r="D289" s="3" t="s">
        <v>3135</v>
      </c>
      <c r="E289" s="15">
        <v>686.63920000000007</v>
      </c>
      <c r="F289" s="120">
        <f t="shared" si="33"/>
        <v>24.490131466666671</v>
      </c>
      <c r="G289" s="120">
        <f t="shared" si="30"/>
        <v>23.776826666666672</v>
      </c>
      <c r="H289" s="120">
        <f t="shared" si="31"/>
        <v>23.323934730158733</v>
      </c>
      <c r="I289" s="120">
        <f t="shared" si="34"/>
        <v>22.263755878787883</v>
      </c>
      <c r="J289" s="120">
        <f t="shared" si="32"/>
        <v>27.465568000000005</v>
      </c>
      <c r="K289" s="114"/>
      <c r="L289" s="127">
        <f t="shared" si="29"/>
        <v>24.968698181818183</v>
      </c>
      <c r="M289" s="83"/>
    </row>
    <row r="290" spans="1:15" s="8" customFormat="1" ht="24.95" customHeight="1">
      <c r="A290" s="2" t="s">
        <v>3121</v>
      </c>
      <c r="B290" s="2" t="s">
        <v>3122</v>
      </c>
      <c r="C290" s="2"/>
      <c r="D290" s="3" t="s">
        <v>3123</v>
      </c>
      <c r="E290" s="15">
        <v>709.13440000000003</v>
      </c>
      <c r="F290" s="120">
        <f t="shared" si="33"/>
        <v>25.292460266666669</v>
      </c>
      <c r="G290" s="120">
        <f t="shared" si="30"/>
        <v>24.55578666666667</v>
      </c>
      <c r="H290" s="120">
        <f t="shared" si="31"/>
        <v>24.088057396825402</v>
      </c>
      <c r="I290" s="120">
        <f t="shared" si="34"/>
        <v>22.993145696969702</v>
      </c>
      <c r="J290" s="120">
        <f t="shared" si="32"/>
        <v>28.365376000000001</v>
      </c>
      <c r="K290" s="114"/>
      <c r="L290" s="127">
        <f t="shared" si="29"/>
        <v>25.786705454545455</v>
      </c>
      <c r="M290" s="83"/>
    </row>
    <row r="291" spans="1:15" s="8" customFormat="1" ht="24.95" customHeight="1">
      <c r="A291" s="2" t="s">
        <v>3366</v>
      </c>
      <c r="B291" s="2" t="s">
        <v>3367</v>
      </c>
      <c r="C291" s="2"/>
      <c r="D291" s="3" t="s">
        <v>3368</v>
      </c>
      <c r="E291" s="15">
        <v>846.24800000000005</v>
      </c>
      <c r="F291" s="120">
        <f t="shared" si="33"/>
        <v>30.182845333333336</v>
      </c>
      <c r="G291" s="120">
        <f t="shared" si="30"/>
        <v>29.303733333333334</v>
      </c>
      <c r="H291" s="120">
        <f t="shared" si="31"/>
        <v>28.745566984126985</v>
      </c>
      <c r="I291" s="120">
        <f t="shared" si="34"/>
        <v>27.438950303030303</v>
      </c>
      <c r="J291" s="120">
        <f t="shared" si="32"/>
        <v>33.849920000000004</v>
      </c>
      <c r="K291" s="114"/>
      <c r="L291" s="127">
        <f t="shared" si="29"/>
        <v>30.772654545454547</v>
      </c>
      <c r="M291" s="83"/>
    </row>
    <row r="292" spans="1:15" s="8" customFormat="1" ht="24.95" customHeight="1">
      <c r="A292" s="2" t="s">
        <v>3127</v>
      </c>
      <c r="B292" s="2" t="s">
        <v>3128</v>
      </c>
      <c r="C292" s="2"/>
      <c r="D292" s="3" t="s">
        <v>3129</v>
      </c>
      <c r="E292" s="15">
        <v>720</v>
      </c>
      <c r="F292" s="120">
        <f t="shared" si="33"/>
        <v>25.680000000000003</v>
      </c>
      <c r="G292" s="120">
        <f t="shared" si="30"/>
        <v>24.932038834951459</v>
      </c>
      <c r="H292" s="120">
        <f t="shared" si="31"/>
        <v>24.457142857142863</v>
      </c>
      <c r="I292" s="120">
        <f t="shared" si="34"/>
        <v>23.345454545454551</v>
      </c>
      <c r="J292" s="120">
        <f t="shared" si="32"/>
        <v>28.8</v>
      </c>
      <c r="K292" s="114"/>
      <c r="L292" s="127">
        <f t="shared" si="29"/>
        <v>26.181818181818183</v>
      </c>
      <c r="M292" s="83"/>
      <c r="O292" s="8" t="s">
        <v>8628</v>
      </c>
    </row>
    <row r="293" spans="1:15" s="8" customFormat="1" ht="24.95" customHeight="1">
      <c r="A293" s="2" t="s">
        <v>3136</v>
      </c>
      <c r="B293" s="2" t="s">
        <v>3137</v>
      </c>
      <c r="C293" s="2" t="s">
        <v>8671</v>
      </c>
      <c r="D293" s="3" t="s">
        <v>3138</v>
      </c>
      <c r="E293" s="15">
        <v>790</v>
      </c>
      <c r="F293" s="120">
        <f t="shared" si="33"/>
        <v>28.176666666666669</v>
      </c>
      <c r="G293" s="120">
        <f t="shared" si="30"/>
        <v>27.355987055016183</v>
      </c>
      <c r="H293" s="120">
        <f t="shared" si="31"/>
        <v>26.834920634920639</v>
      </c>
      <c r="I293" s="120">
        <f t="shared" si="34"/>
        <v>25.615151515151517</v>
      </c>
      <c r="J293" s="120">
        <f t="shared" si="32"/>
        <v>31.6</v>
      </c>
      <c r="K293" s="114"/>
      <c r="L293" s="127">
        <f t="shared" si="29"/>
        <v>28.727272727272727</v>
      </c>
      <c r="M293" s="83"/>
    </row>
    <row r="294" spans="1:15" s="8" customFormat="1" ht="24.95" customHeight="1">
      <c r="A294" s="2" t="s">
        <v>3139</v>
      </c>
      <c r="B294" s="2" t="s">
        <v>3140</v>
      </c>
      <c r="C294" s="2"/>
      <c r="D294" s="3" t="s">
        <v>8084</v>
      </c>
      <c r="E294" s="15">
        <v>749.84</v>
      </c>
      <c r="F294" s="120">
        <f t="shared" si="33"/>
        <v>26.744293333333339</v>
      </c>
      <c r="G294" s="120">
        <f t="shared" si="30"/>
        <v>25.965333333333341</v>
      </c>
      <c r="H294" s="120">
        <f t="shared" si="31"/>
        <v>25.470755555555563</v>
      </c>
      <c r="I294" s="120">
        <f t="shared" si="34"/>
        <v>24.312993939393944</v>
      </c>
      <c r="J294" s="120">
        <f t="shared" si="32"/>
        <v>29.993600000000001</v>
      </c>
      <c r="K294" s="114"/>
      <c r="L294" s="127">
        <f t="shared" si="29"/>
        <v>27.266909090909092</v>
      </c>
      <c r="M294" s="83"/>
    </row>
    <row r="295" spans="1:15" s="8" customFormat="1" ht="24.95" customHeight="1">
      <c r="A295" s="2" t="s">
        <v>3141</v>
      </c>
      <c r="B295" s="2" t="s">
        <v>3142</v>
      </c>
      <c r="C295" s="2"/>
      <c r="D295" s="3" t="s">
        <v>3143</v>
      </c>
      <c r="E295" s="15">
        <v>760.55200000000002</v>
      </c>
      <c r="F295" s="120">
        <f t="shared" si="33"/>
        <v>27.126354666666668</v>
      </c>
      <c r="G295" s="120">
        <f t="shared" si="30"/>
        <v>26.336266666666667</v>
      </c>
      <c r="H295" s="120">
        <f t="shared" si="31"/>
        <v>25.834623492063493</v>
      </c>
      <c r="I295" s="120">
        <f t="shared" si="34"/>
        <v>24.660322424242423</v>
      </c>
      <c r="J295" s="120">
        <f t="shared" si="32"/>
        <v>30.422080000000001</v>
      </c>
      <c r="K295" s="114"/>
      <c r="L295" s="127">
        <f t="shared" si="29"/>
        <v>27.656436363636367</v>
      </c>
      <c r="M295" s="83"/>
    </row>
    <row r="296" spans="1:15" s="8" customFormat="1" ht="24.95" customHeight="1">
      <c r="A296" s="2" t="s">
        <v>3144</v>
      </c>
      <c r="B296" s="2" t="s">
        <v>3145</v>
      </c>
      <c r="C296" s="2"/>
      <c r="D296" s="3" t="s">
        <v>3146</v>
      </c>
      <c r="E296" s="15">
        <v>803.4</v>
      </c>
      <c r="F296" s="120">
        <f t="shared" si="33"/>
        <v>28.654600000000002</v>
      </c>
      <c r="G296" s="120">
        <f t="shared" si="30"/>
        <v>27.82</v>
      </c>
      <c r="H296" s="120">
        <f t="shared" si="31"/>
        <v>27.290095238095237</v>
      </c>
      <c r="I296" s="120">
        <f t="shared" si="34"/>
        <v>26.049636363636363</v>
      </c>
      <c r="J296" s="120">
        <f t="shared" si="32"/>
        <v>32.135999999999996</v>
      </c>
      <c r="K296" s="114"/>
      <c r="L296" s="127">
        <f t="shared" si="29"/>
        <v>29.214545454545451</v>
      </c>
      <c r="M296" s="83"/>
    </row>
    <row r="297" spans="1:15" s="8" customFormat="1" ht="24.95" customHeight="1">
      <c r="A297" s="2" t="s">
        <v>3147</v>
      </c>
      <c r="B297" s="2" t="s">
        <v>3148</v>
      </c>
      <c r="C297" s="2"/>
      <c r="D297" s="3" t="s">
        <v>3149</v>
      </c>
      <c r="E297" s="15">
        <v>709.13440000000003</v>
      </c>
      <c r="F297" s="120">
        <f t="shared" si="33"/>
        <v>25.292460266666669</v>
      </c>
      <c r="G297" s="120">
        <f t="shared" si="30"/>
        <v>24.55578666666667</v>
      </c>
      <c r="H297" s="120">
        <f t="shared" si="31"/>
        <v>24.088057396825402</v>
      </c>
      <c r="I297" s="120">
        <f t="shared" si="34"/>
        <v>22.993145696969702</v>
      </c>
      <c r="J297" s="120">
        <f t="shared" si="32"/>
        <v>28.365376000000001</v>
      </c>
      <c r="K297" s="114"/>
      <c r="L297" s="127">
        <f t="shared" si="29"/>
        <v>25.786705454545455</v>
      </c>
      <c r="M297" s="83"/>
    </row>
    <row r="298" spans="1:15" s="8" customFormat="1" ht="24.95" customHeight="1">
      <c r="A298" s="2" t="s">
        <v>3150</v>
      </c>
      <c r="B298" s="2" t="s">
        <v>3151</v>
      </c>
      <c r="C298" s="2"/>
      <c r="D298" s="3" t="s">
        <v>3152</v>
      </c>
      <c r="E298" s="15">
        <v>824.82400000000007</v>
      </c>
      <c r="F298" s="120">
        <f t="shared" si="33"/>
        <v>29.418722666666671</v>
      </c>
      <c r="G298" s="120">
        <f t="shared" si="30"/>
        <v>28.561866666666671</v>
      </c>
      <c r="H298" s="120">
        <f t="shared" si="31"/>
        <v>28.017831111111118</v>
      </c>
      <c r="I298" s="120">
        <f t="shared" si="34"/>
        <v>26.744293333333339</v>
      </c>
      <c r="J298" s="120">
        <f t="shared" si="32"/>
        <v>32.992960000000004</v>
      </c>
      <c r="K298" s="114"/>
      <c r="L298" s="127">
        <f t="shared" ref="L298:L361" si="35">+(E298*1.2/33)</f>
        <v>29.993600000000001</v>
      </c>
      <c r="M298" s="83"/>
    </row>
    <row r="299" spans="1:15" s="8" customFormat="1" ht="24.95" customHeight="1">
      <c r="A299" s="2" t="s">
        <v>3159</v>
      </c>
      <c r="B299" s="2" t="s">
        <v>3160</v>
      </c>
      <c r="C299" s="2"/>
      <c r="D299" s="3" t="s">
        <v>3161</v>
      </c>
      <c r="E299" s="15">
        <v>861.24480000000005</v>
      </c>
      <c r="F299" s="120">
        <f t="shared" si="33"/>
        <v>30.717731200000003</v>
      </c>
      <c r="G299" s="120">
        <f t="shared" si="30"/>
        <v>29.823040000000002</v>
      </c>
      <c r="H299" s="120">
        <f t="shared" si="31"/>
        <v>29.254982095238098</v>
      </c>
      <c r="I299" s="120">
        <f t="shared" si="34"/>
        <v>27.925210181818183</v>
      </c>
      <c r="J299" s="120">
        <f t="shared" si="32"/>
        <v>34.449792000000002</v>
      </c>
      <c r="K299" s="114"/>
      <c r="L299" s="127">
        <f t="shared" si="35"/>
        <v>31.317992727272728</v>
      </c>
      <c r="M299" s="83"/>
    </row>
    <row r="300" spans="1:15" s="8" customFormat="1" ht="24.95" customHeight="1">
      <c r="A300" s="2" t="s">
        <v>3156</v>
      </c>
      <c r="B300" s="2" t="s">
        <v>3157</v>
      </c>
      <c r="C300" s="2"/>
      <c r="D300" s="3" t="s">
        <v>3158</v>
      </c>
      <c r="E300" s="15">
        <v>856.96</v>
      </c>
      <c r="F300" s="120">
        <f t="shared" si="33"/>
        <v>30.564906666666669</v>
      </c>
      <c r="G300" s="120">
        <f t="shared" si="30"/>
        <v>29.674666666666671</v>
      </c>
      <c r="H300" s="120">
        <f t="shared" si="31"/>
        <v>29.109434920634925</v>
      </c>
      <c r="I300" s="120">
        <f t="shared" si="34"/>
        <v>27.786278787878793</v>
      </c>
      <c r="J300" s="120">
        <f t="shared" si="32"/>
        <v>34.278400000000005</v>
      </c>
      <c r="K300" s="114"/>
      <c r="L300" s="127">
        <f t="shared" si="35"/>
        <v>31.162181818181821</v>
      </c>
      <c r="M300" s="83"/>
    </row>
    <row r="301" spans="1:15" s="8" customFormat="1" ht="24.95" customHeight="1">
      <c r="A301" s="2" t="s">
        <v>3162</v>
      </c>
      <c r="B301" s="2" t="s">
        <v>3163</v>
      </c>
      <c r="C301" s="2"/>
      <c r="D301" s="3" t="s">
        <v>3164</v>
      </c>
      <c r="E301" s="15">
        <v>788.40320000000008</v>
      </c>
      <c r="F301" s="120">
        <f t="shared" si="33"/>
        <v>28.119714133333339</v>
      </c>
      <c r="G301" s="120">
        <f t="shared" si="30"/>
        <v>27.300693333333342</v>
      </c>
      <c r="H301" s="120">
        <f t="shared" si="31"/>
        <v>26.780680126984134</v>
      </c>
      <c r="I301" s="120">
        <f t="shared" si="34"/>
        <v>25.563376484848494</v>
      </c>
      <c r="J301" s="120">
        <f t="shared" si="32"/>
        <v>31.536128000000001</v>
      </c>
      <c r="K301" s="114"/>
      <c r="L301" s="127">
        <f t="shared" si="35"/>
        <v>28.669207272727274</v>
      </c>
      <c r="M301" s="83"/>
    </row>
    <row r="302" spans="1:15" s="8" customFormat="1" ht="24.95" customHeight="1">
      <c r="A302" s="2" t="s">
        <v>3165</v>
      </c>
      <c r="B302" s="2" t="s">
        <v>3166</v>
      </c>
      <c r="C302" s="2"/>
      <c r="D302" s="3" t="s">
        <v>8846</v>
      </c>
      <c r="E302" s="15">
        <v>931.94400000000007</v>
      </c>
      <c r="F302" s="120">
        <f t="shared" si="33"/>
        <v>33.239336000000002</v>
      </c>
      <c r="G302" s="120">
        <f t="shared" si="30"/>
        <v>32.2712</v>
      </c>
      <c r="H302" s="120">
        <f t="shared" si="31"/>
        <v>31.65651047619048</v>
      </c>
      <c r="I302" s="120">
        <f t="shared" si="34"/>
        <v>30.217578181818183</v>
      </c>
      <c r="J302" s="120">
        <f t="shared" si="32"/>
        <v>37.277760000000008</v>
      </c>
      <c r="K302" s="114"/>
      <c r="L302" s="127">
        <f t="shared" si="35"/>
        <v>33.888872727272734</v>
      </c>
      <c r="M302" s="83"/>
    </row>
    <row r="303" spans="1:15" s="8" customFormat="1" ht="24.95" customHeight="1">
      <c r="A303" s="2" t="s">
        <v>3198</v>
      </c>
      <c r="B303" s="2" t="s">
        <v>3199</v>
      </c>
      <c r="C303" s="2"/>
      <c r="D303" s="3" t="s">
        <v>3200</v>
      </c>
      <c r="E303" s="15">
        <v>792.6880000000001</v>
      </c>
      <c r="F303" s="120">
        <f t="shared" si="33"/>
        <v>28.272538666666673</v>
      </c>
      <c r="G303" s="120">
        <f t="shared" si="30"/>
        <v>27.449066666666674</v>
      </c>
      <c r="H303" s="120">
        <f t="shared" si="31"/>
        <v>26.926227301587307</v>
      </c>
      <c r="I303" s="120">
        <f t="shared" si="34"/>
        <v>25.702307878787884</v>
      </c>
      <c r="J303" s="120">
        <f t="shared" si="32"/>
        <v>31.707520000000002</v>
      </c>
      <c r="K303" s="114"/>
      <c r="L303" s="127">
        <f t="shared" si="35"/>
        <v>28.825018181818184</v>
      </c>
      <c r="M303" s="83"/>
    </row>
    <row r="304" spans="1:15" s="8" customFormat="1" ht="24.95" customHeight="1">
      <c r="A304" s="2" t="s">
        <v>3170</v>
      </c>
      <c r="B304" s="2" t="s">
        <v>3171</v>
      </c>
      <c r="C304" s="2"/>
      <c r="D304" s="3" t="s">
        <v>3172</v>
      </c>
      <c r="E304" s="15">
        <v>685.5680000000001</v>
      </c>
      <c r="F304" s="120">
        <f t="shared" si="33"/>
        <v>24.451925333333339</v>
      </c>
      <c r="G304" s="120">
        <f t="shared" si="30"/>
        <v>23.739733333333337</v>
      </c>
      <c r="H304" s="120">
        <f t="shared" si="31"/>
        <v>23.287547936507941</v>
      </c>
      <c r="I304" s="120">
        <f t="shared" si="34"/>
        <v>22.229023030303036</v>
      </c>
      <c r="J304" s="120">
        <f t="shared" si="32"/>
        <v>27.422720000000005</v>
      </c>
      <c r="K304" s="114"/>
      <c r="L304" s="127">
        <f t="shared" si="35"/>
        <v>24.929745454545458</v>
      </c>
      <c r="M304" s="83"/>
    </row>
    <row r="305" spans="1:13" s="8" customFormat="1" ht="24.95" customHeight="1">
      <c r="A305" s="2" t="s">
        <v>3167</v>
      </c>
      <c r="B305" s="2" t="s">
        <v>3168</v>
      </c>
      <c r="C305" s="2"/>
      <c r="D305" s="3" t="s">
        <v>3169</v>
      </c>
      <c r="E305" s="15">
        <v>685.5680000000001</v>
      </c>
      <c r="F305" s="120">
        <f t="shared" si="33"/>
        <v>24.451925333333339</v>
      </c>
      <c r="G305" s="120">
        <f t="shared" si="30"/>
        <v>23.739733333333337</v>
      </c>
      <c r="H305" s="120">
        <f t="shared" si="31"/>
        <v>23.287547936507941</v>
      </c>
      <c r="I305" s="120">
        <f t="shared" si="34"/>
        <v>22.229023030303036</v>
      </c>
      <c r="J305" s="120">
        <f t="shared" si="32"/>
        <v>27.422720000000005</v>
      </c>
      <c r="K305" s="114"/>
      <c r="L305" s="127">
        <f t="shared" si="35"/>
        <v>24.929745454545458</v>
      </c>
      <c r="M305" s="83"/>
    </row>
    <row r="306" spans="1:13" s="8" customFormat="1" ht="24.95" customHeight="1">
      <c r="A306" s="2" t="s">
        <v>3284</v>
      </c>
      <c r="B306" s="2" t="s">
        <v>3285</v>
      </c>
      <c r="C306" s="2"/>
      <c r="D306" s="3" t="s">
        <v>3286</v>
      </c>
      <c r="E306" s="15">
        <v>822.6816</v>
      </c>
      <c r="F306" s="120">
        <f t="shared" si="33"/>
        <v>29.342310399999999</v>
      </c>
      <c r="G306" s="120">
        <f t="shared" si="30"/>
        <v>28.487679999999997</v>
      </c>
      <c r="H306" s="120">
        <f t="shared" si="31"/>
        <v>27.94505752380952</v>
      </c>
      <c r="I306" s="120">
        <f t="shared" si="34"/>
        <v>26.674827636363634</v>
      </c>
      <c r="J306" s="120">
        <f t="shared" si="32"/>
        <v>32.907263999999998</v>
      </c>
      <c r="K306" s="114"/>
      <c r="L306" s="127">
        <f t="shared" si="35"/>
        <v>29.915694545454542</v>
      </c>
      <c r="M306" s="83"/>
    </row>
    <row r="307" spans="1:13" s="8" customFormat="1" ht="24.95" customHeight="1">
      <c r="A307" s="2" t="s">
        <v>3173</v>
      </c>
      <c r="B307" s="2" t="s">
        <v>3174</v>
      </c>
      <c r="C307" s="2"/>
      <c r="D307" s="3" t="s">
        <v>3175</v>
      </c>
      <c r="E307" s="15">
        <v>664.14400000000001</v>
      </c>
      <c r="F307" s="120">
        <f t="shared" si="33"/>
        <v>23.687802666666666</v>
      </c>
      <c r="G307" s="120">
        <f t="shared" si="30"/>
        <v>22.997866666666667</v>
      </c>
      <c r="H307" s="120">
        <f t="shared" si="31"/>
        <v>22.559812063492064</v>
      </c>
      <c r="I307" s="120">
        <f t="shared" si="34"/>
        <v>21.534366060606061</v>
      </c>
      <c r="J307" s="120">
        <f t="shared" si="32"/>
        <v>26.565760000000001</v>
      </c>
      <c r="K307" s="114"/>
      <c r="L307" s="127">
        <f t="shared" si="35"/>
        <v>24.150690909090908</v>
      </c>
      <c r="M307" s="83"/>
    </row>
    <row r="308" spans="1:13" s="8" customFormat="1" ht="24.95" customHeight="1">
      <c r="A308" s="2" t="s">
        <v>3176</v>
      </c>
      <c r="B308" s="2" t="s">
        <v>3177</v>
      </c>
      <c r="C308" s="2"/>
      <c r="D308" s="3" t="s">
        <v>3178</v>
      </c>
      <c r="E308" s="15">
        <v>760.55200000000002</v>
      </c>
      <c r="F308" s="120">
        <f t="shared" si="33"/>
        <v>27.126354666666668</v>
      </c>
      <c r="G308" s="120">
        <f t="shared" si="30"/>
        <v>26.336266666666667</v>
      </c>
      <c r="H308" s="120">
        <f t="shared" si="31"/>
        <v>25.834623492063493</v>
      </c>
      <c r="I308" s="120">
        <f t="shared" si="34"/>
        <v>24.660322424242423</v>
      </c>
      <c r="J308" s="120">
        <f t="shared" si="32"/>
        <v>30.422080000000001</v>
      </c>
      <c r="K308" s="114"/>
      <c r="L308" s="127">
        <f t="shared" si="35"/>
        <v>27.656436363636367</v>
      </c>
      <c r="M308" s="83"/>
    </row>
    <row r="309" spans="1:13" s="8" customFormat="1" ht="24.95" customHeight="1">
      <c r="A309" s="2" t="s">
        <v>3179</v>
      </c>
      <c r="B309" s="2" t="s">
        <v>3180</v>
      </c>
      <c r="C309" s="2"/>
      <c r="D309" s="3" t="s">
        <v>3181</v>
      </c>
      <c r="E309" s="15">
        <v>610.58400000000006</v>
      </c>
      <c r="F309" s="120">
        <f t="shared" si="33"/>
        <v>21.777496000000003</v>
      </c>
      <c r="G309" s="120">
        <f t="shared" si="30"/>
        <v>21.1432</v>
      </c>
      <c r="H309" s="120">
        <f t="shared" si="31"/>
        <v>20.740472380952383</v>
      </c>
      <c r="I309" s="120">
        <f t="shared" si="34"/>
        <v>19.797723636363639</v>
      </c>
      <c r="J309" s="120">
        <f t="shared" si="32"/>
        <v>24.423360000000002</v>
      </c>
      <c r="K309" s="114"/>
      <c r="L309" s="127">
        <f t="shared" si="35"/>
        <v>22.203054545454549</v>
      </c>
      <c r="M309" s="83"/>
    </row>
    <row r="310" spans="1:13" s="8" customFormat="1" ht="24.95" customHeight="1">
      <c r="A310" s="2" t="s">
        <v>3182</v>
      </c>
      <c r="B310" s="2" t="s">
        <v>3183</v>
      </c>
      <c r="C310" s="2" t="s">
        <v>8659</v>
      </c>
      <c r="D310" s="3" t="s">
        <v>8094</v>
      </c>
      <c r="E310" s="15">
        <v>670</v>
      </c>
      <c r="F310" s="120">
        <f t="shared" si="33"/>
        <v>23.896666666666668</v>
      </c>
      <c r="G310" s="120">
        <f t="shared" si="30"/>
        <v>23.20064724919094</v>
      </c>
      <c r="H310" s="120">
        <f t="shared" si="31"/>
        <v>22.758730158730163</v>
      </c>
      <c r="I310" s="120">
        <f t="shared" si="34"/>
        <v>21.724242424242426</v>
      </c>
      <c r="J310" s="120">
        <f t="shared" si="32"/>
        <v>26.8</v>
      </c>
      <c r="K310" s="114"/>
      <c r="L310" s="127">
        <f t="shared" si="35"/>
        <v>24.363636363636363</v>
      </c>
      <c r="M310" s="83"/>
    </row>
    <row r="311" spans="1:13" s="8" customFormat="1" ht="24.95" customHeight="1">
      <c r="A311" s="2" t="s">
        <v>3187</v>
      </c>
      <c r="B311" s="2" t="s">
        <v>3188</v>
      </c>
      <c r="C311" s="2"/>
      <c r="D311" s="3" t="s">
        <v>3189</v>
      </c>
      <c r="E311" s="15">
        <v>653.43200000000002</v>
      </c>
      <c r="F311" s="120">
        <f t="shared" si="33"/>
        <v>23.305741333333337</v>
      </c>
      <c r="G311" s="120">
        <f t="shared" si="30"/>
        <v>22.626933333333334</v>
      </c>
      <c r="H311" s="120">
        <f t="shared" si="31"/>
        <v>22.195944126984127</v>
      </c>
      <c r="I311" s="120">
        <f t="shared" si="34"/>
        <v>21.187037575757579</v>
      </c>
      <c r="J311" s="120">
        <f t="shared" si="32"/>
        <v>26.137279999999997</v>
      </c>
      <c r="K311" s="114"/>
      <c r="L311" s="127">
        <f t="shared" si="35"/>
        <v>23.761163636363634</v>
      </c>
      <c r="M311" s="83"/>
    </row>
    <row r="312" spans="1:13" s="8" customFormat="1" ht="24.95" customHeight="1">
      <c r="A312" s="2" t="s">
        <v>3190</v>
      </c>
      <c r="B312" s="2" t="s">
        <v>3191</v>
      </c>
      <c r="C312" s="2"/>
      <c r="D312" s="3" t="s">
        <v>3192</v>
      </c>
      <c r="E312" s="15">
        <v>760.55200000000002</v>
      </c>
      <c r="F312" s="120">
        <f t="shared" si="33"/>
        <v>27.126354666666668</v>
      </c>
      <c r="G312" s="120">
        <f t="shared" si="30"/>
        <v>26.336266666666667</v>
      </c>
      <c r="H312" s="120">
        <f t="shared" si="31"/>
        <v>25.834623492063493</v>
      </c>
      <c r="I312" s="120">
        <f t="shared" si="34"/>
        <v>24.660322424242423</v>
      </c>
      <c r="J312" s="120">
        <f t="shared" si="32"/>
        <v>30.422080000000001</v>
      </c>
      <c r="K312" s="114"/>
      <c r="L312" s="127">
        <f t="shared" si="35"/>
        <v>27.656436363636367</v>
      </c>
      <c r="M312" s="83"/>
    </row>
    <row r="313" spans="1:13" s="8" customFormat="1" ht="24.95" customHeight="1">
      <c r="A313" s="2" t="s">
        <v>3184</v>
      </c>
      <c r="B313" s="2" t="s">
        <v>3185</v>
      </c>
      <c r="C313" s="2"/>
      <c r="D313" s="3" t="s">
        <v>3186</v>
      </c>
      <c r="E313" s="15">
        <v>728.41599999999994</v>
      </c>
      <c r="F313" s="120">
        <f t="shared" si="33"/>
        <v>25.980170666666666</v>
      </c>
      <c r="G313" s="120">
        <f t="shared" si="30"/>
        <v>25.223466666666667</v>
      </c>
      <c r="H313" s="120">
        <f t="shared" si="31"/>
        <v>24.743019682539682</v>
      </c>
      <c r="I313" s="120">
        <f t="shared" si="34"/>
        <v>23.618336969696969</v>
      </c>
      <c r="J313" s="120">
        <f t="shared" si="32"/>
        <v>29.136639999999996</v>
      </c>
      <c r="K313" s="114"/>
      <c r="L313" s="127">
        <f t="shared" si="35"/>
        <v>26.487854545454542</v>
      </c>
      <c r="M313" s="83"/>
    </row>
    <row r="314" spans="1:13" s="8" customFormat="1" ht="24.95" customHeight="1">
      <c r="A314" s="2" t="s">
        <v>3193</v>
      </c>
      <c r="B314" s="2" t="s">
        <v>3194</v>
      </c>
      <c r="C314" s="2"/>
      <c r="D314" s="3" t="s">
        <v>8189</v>
      </c>
      <c r="E314" s="15">
        <v>943.72720000000004</v>
      </c>
      <c r="F314" s="120">
        <f t="shared" si="33"/>
        <v>33.659603466666667</v>
      </c>
      <c r="G314" s="120">
        <f t="shared" si="30"/>
        <v>32.679226666666665</v>
      </c>
      <c r="H314" s="120">
        <f t="shared" si="31"/>
        <v>32.056765206349205</v>
      </c>
      <c r="I314" s="120">
        <f t="shared" si="34"/>
        <v>30.599639515151516</v>
      </c>
      <c r="J314" s="120">
        <f t="shared" si="32"/>
        <v>37.749088</v>
      </c>
      <c r="K314" s="114"/>
      <c r="L314" s="127">
        <f t="shared" si="35"/>
        <v>34.317352727272727</v>
      </c>
      <c r="M314" s="83"/>
    </row>
    <row r="315" spans="1:13" s="8" customFormat="1" ht="24.95" customHeight="1">
      <c r="A315" s="2" t="s">
        <v>3195</v>
      </c>
      <c r="B315" s="2" t="s">
        <v>3196</v>
      </c>
      <c r="C315" s="2"/>
      <c r="D315" s="3" t="s">
        <v>3197</v>
      </c>
      <c r="E315" s="15">
        <v>771.26400000000001</v>
      </c>
      <c r="F315" s="120">
        <f t="shared" si="33"/>
        <v>27.508416000000004</v>
      </c>
      <c r="G315" s="120">
        <f t="shared" si="30"/>
        <v>26.7072</v>
      </c>
      <c r="H315" s="120">
        <f t="shared" si="31"/>
        <v>26.19849142857143</v>
      </c>
      <c r="I315" s="120">
        <f t="shared" si="34"/>
        <v>25.007650909090909</v>
      </c>
      <c r="J315" s="120">
        <f t="shared" si="32"/>
        <v>30.850559999999998</v>
      </c>
      <c r="K315" s="114"/>
      <c r="L315" s="127">
        <f t="shared" si="35"/>
        <v>28.045963636363638</v>
      </c>
      <c r="M315" s="83"/>
    </row>
    <row r="316" spans="1:13" s="8" customFormat="1" ht="24.95" customHeight="1">
      <c r="A316" s="2" t="s">
        <v>3201</v>
      </c>
      <c r="B316" s="2" t="s">
        <v>3202</v>
      </c>
      <c r="C316" s="2"/>
      <c r="D316" s="3" t="s">
        <v>3203</v>
      </c>
      <c r="E316" s="15">
        <v>599.87200000000007</v>
      </c>
      <c r="F316" s="120">
        <f t="shared" si="33"/>
        <v>21.39543466666667</v>
      </c>
      <c r="G316" s="120">
        <f t="shared" si="30"/>
        <v>20.77226666666667</v>
      </c>
      <c r="H316" s="120">
        <f t="shared" si="31"/>
        <v>20.376604444444446</v>
      </c>
      <c r="I316" s="120">
        <f t="shared" si="34"/>
        <v>19.450395151515153</v>
      </c>
      <c r="J316" s="120">
        <f t="shared" si="32"/>
        <v>23.994880000000002</v>
      </c>
      <c r="K316" s="114"/>
      <c r="L316" s="127">
        <f t="shared" si="35"/>
        <v>21.813527272727274</v>
      </c>
      <c r="M316" s="83"/>
    </row>
    <row r="317" spans="1:13" s="8" customFormat="1" ht="24.95" customHeight="1">
      <c r="A317" s="2" t="s">
        <v>3204</v>
      </c>
      <c r="B317" s="2" t="s">
        <v>3205</v>
      </c>
      <c r="C317" s="2"/>
      <c r="D317" s="3" t="s">
        <v>3206</v>
      </c>
      <c r="E317" s="15">
        <v>921.23200000000008</v>
      </c>
      <c r="F317" s="120">
        <f t="shared" si="33"/>
        <v>32.857274666666669</v>
      </c>
      <c r="G317" s="120">
        <f t="shared" si="30"/>
        <v>31.900266666666667</v>
      </c>
      <c r="H317" s="120">
        <f t="shared" si="31"/>
        <v>31.292642539682539</v>
      </c>
      <c r="I317" s="120">
        <f t="shared" si="34"/>
        <v>29.870249696969697</v>
      </c>
      <c r="J317" s="120">
        <f t="shared" si="32"/>
        <v>36.84928</v>
      </c>
      <c r="K317" s="114"/>
      <c r="L317" s="127">
        <f t="shared" si="35"/>
        <v>33.499345454545455</v>
      </c>
      <c r="M317" s="83"/>
    </row>
    <row r="318" spans="1:13" s="8" customFormat="1" ht="24.95" customHeight="1">
      <c r="A318" s="2" t="s">
        <v>3222</v>
      </c>
      <c r="B318" s="2" t="s">
        <v>3223</v>
      </c>
      <c r="C318" s="2"/>
      <c r="D318" s="3" t="s">
        <v>3224</v>
      </c>
      <c r="E318" s="15">
        <v>899.80799999999999</v>
      </c>
      <c r="F318" s="120">
        <f t="shared" si="33"/>
        <v>32.093152000000003</v>
      </c>
      <c r="G318" s="120">
        <f t="shared" si="30"/>
        <v>31.158400000000004</v>
      </c>
      <c r="H318" s="120">
        <f t="shared" si="31"/>
        <v>30.564906666666673</v>
      </c>
      <c r="I318" s="120">
        <f t="shared" si="34"/>
        <v>29.175592727272733</v>
      </c>
      <c r="J318" s="120">
        <f t="shared" si="32"/>
        <v>35.992319999999992</v>
      </c>
      <c r="K318" s="114"/>
      <c r="L318" s="127">
        <f t="shared" si="35"/>
        <v>32.720290909090906</v>
      </c>
      <c r="M318" s="83"/>
    </row>
    <row r="319" spans="1:13" s="8" customFormat="1" ht="24.95" customHeight="1">
      <c r="A319" s="2" t="s">
        <v>3225</v>
      </c>
      <c r="B319" s="2" t="s">
        <v>3226</v>
      </c>
      <c r="C319" s="2"/>
      <c r="D319" s="3" t="s">
        <v>3227</v>
      </c>
      <c r="E319" s="15">
        <v>856.96</v>
      </c>
      <c r="F319" s="120">
        <f t="shared" si="33"/>
        <v>30.564906666666669</v>
      </c>
      <c r="G319" s="120">
        <f t="shared" si="30"/>
        <v>29.674666666666671</v>
      </c>
      <c r="H319" s="120">
        <f t="shared" si="31"/>
        <v>29.109434920634925</v>
      </c>
      <c r="I319" s="120">
        <f t="shared" si="34"/>
        <v>27.786278787878793</v>
      </c>
      <c r="J319" s="120">
        <f t="shared" si="32"/>
        <v>34.278400000000005</v>
      </c>
      <c r="K319" s="114"/>
      <c r="L319" s="127">
        <f t="shared" si="35"/>
        <v>31.162181818181821</v>
      </c>
      <c r="M319" s="83"/>
    </row>
    <row r="320" spans="1:13" s="8" customFormat="1" ht="24.95" customHeight="1">
      <c r="A320" s="2" t="s">
        <v>3210</v>
      </c>
      <c r="B320" s="2" t="s">
        <v>3211</v>
      </c>
      <c r="C320" s="2"/>
      <c r="D320" s="3" t="s">
        <v>3212</v>
      </c>
      <c r="E320" s="15">
        <v>749.84</v>
      </c>
      <c r="F320" s="120">
        <f t="shared" si="33"/>
        <v>26.744293333333339</v>
      </c>
      <c r="G320" s="120">
        <f t="shared" si="30"/>
        <v>25.965333333333341</v>
      </c>
      <c r="H320" s="120">
        <f t="shared" si="31"/>
        <v>25.470755555555563</v>
      </c>
      <c r="I320" s="120">
        <f t="shared" si="34"/>
        <v>24.312993939393944</v>
      </c>
      <c r="J320" s="120">
        <f t="shared" si="32"/>
        <v>29.993600000000001</v>
      </c>
      <c r="K320" s="114"/>
      <c r="L320" s="127">
        <f t="shared" si="35"/>
        <v>27.266909090909092</v>
      </c>
      <c r="M320" s="83"/>
    </row>
    <row r="321" spans="1:13" s="8" customFormat="1" ht="24.95" customHeight="1">
      <c r="A321" s="2" t="s">
        <v>3213</v>
      </c>
      <c r="B321" s="2" t="s">
        <v>3214</v>
      </c>
      <c r="C321" s="2" t="s">
        <v>8649</v>
      </c>
      <c r="D321" s="3" t="s">
        <v>3215</v>
      </c>
      <c r="E321" s="15">
        <v>739.12800000000004</v>
      </c>
      <c r="F321" s="120">
        <f t="shared" si="33"/>
        <v>26.362232000000002</v>
      </c>
      <c r="G321" s="120">
        <f t="shared" si="30"/>
        <v>25.594400000000004</v>
      </c>
      <c r="H321" s="120">
        <f t="shared" si="31"/>
        <v>25.106887619047622</v>
      </c>
      <c r="I321" s="120">
        <f t="shared" si="34"/>
        <v>23.965665454545459</v>
      </c>
      <c r="J321" s="120">
        <f t="shared" si="32"/>
        <v>29.56512</v>
      </c>
      <c r="K321" s="114"/>
      <c r="L321" s="127">
        <f t="shared" si="35"/>
        <v>26.877381818181821</v>
      </c>
      <c r="M321" s="83"/>
    </row>
    <row r="322" spans="1:13" s="8" customFormat="1" ht="24.95" customHeight="1">
      <c r="A322" s="2" t="s">
        <v>3216</v>
      </c>
      <c r="B322" s="2" t="s">
        <v>3217</v>
      </c>
      <c r="C322" s="2"/>
      <c r="D322" s="3" t="s">
        <v>3218</v>
      </c>
      <c r="E322" s="15">
        <v>653.43200000000002</v>
      </c>
      <c r="F322" s="120">
        <f t="shared" si="33"/>
        <v>23.305741333333337</v>
      </c>
      <c r="G322" s="120">
        <f t="shared" si="30"/>
        <v>22.626933333333334</v>
      </c>
      <c r="H322" s="120">
        <f t="shared" si="31"/>
        <v>22.195944126984127</v>
      </c>
      <c r="I322" s="120">
        <f t="shared" si="34"/>
        <v>21.187037575757579</v>
      </c>
      <c r="J322" s="120">
        <f t="shared" si="32"/>
        <v>26.137279999999997</v>
      </c>
      <c r="K322" s="114"/>
      <c r="L322" s="127">
        <f t="shared" si="35"/>
        <v>23.761163636363634</v>
      </c>
      <c r="M322" s="83"/>
    </row>
    <row r="323" spans="1:13" s="8" customFormat="1" ht="24.95" customHeight="1">
      <c r="A323" s="2" t="s">
        <v>3219</v>
      </c>
      <c r="B323" s="2" t="s">
        <v>3220</v>
      </c>
      <c r="C323" s="2"/>
      <c r="D323" s="3" t="s">
        <v>3221</v>
      </c>
      <c r="E323" s="15">
        <v>749.84</v>
      </c>
      <c r="F323" s="120">
        <f t="shared" si="33"/>
        <v>26.744293333333339</v>
      </c>
      <c r="G323" s="120">
        <f t="shared" si="30"/>
        <v>25.965333333333341</v>
      </c>
      <c r="H323" s="120">
        <f t="shared" si="31"/>
        <v>25.470755555555563</v>
      </c>
      <c r="I323" s="120">
        <f t="shared" si="34"/>
        <v>24.312993939393944</v>
      </c>
      <c r="J323" s="120">
        <f t="shared" si="32"/>
        <v>29.993600000000001</v>
      </c>
      <c r="K323" s="114"/>
      <c r="L323" s="127">
        <f t="shared" si="35"/>
        <v>27.266909090909092</v>
      </c>
      <c r="M323" s="83"/>
    </row>
    <row r="324" spans="1:13" s="8" customFormat="1" ht="24.95" customHeight="1">
      <c r="A324" s="2" t="s">
        <v>3207</v>
      </c>
      <c r="B324" s="2" t="s">
        <v>3208</v>
      </c>
      <c r="C324" s="2"/>
      <c r="D324" s="3" t="s">
        <v>3209</v>
      </c>
      <c r="E324" s="15">
        <v>749.84</v>
      </c>
      <c r="F324" s="120">
        <f t="shared" si="33"/>
        <v>26.744293333333339</v>
      </c>
      <c r="G324" s="120">
        <f t="shared" ref="G324:G387" si="36">F324*100/103</f>
        <v>25.965333333333341</v>
      </c>
      <c r="H324" s="120">
        <f t="shared" ref="H324:H387" si="37">F324*100/105</f>
        <v>25.470755555555563</v>
      </c>
      <c r="I324" s="120">
        <f t="shared" si="34"/>
        <v>24.312993939393944</v>
      </c>
      <c r="J324" s="120">
        <f t="shared" ref="J324:J387" si="38">+(E324*1.2/30)</f>
        <v>29.993600000000001</v>
      </c>
      <c r="K324" s="114"/>
      <c r="L324" s="127">
        <f t="shared" si="35"/>
        <v>27.266909090909092</v>
      </c>
      <c r="M324" s="83"/>
    </row>
    <row r="325" spans="1:13" s="8" customFormat="1" ht="24.95" customHeight="1">
      <c r="A325" s="2" t="s">
        <v>3230</v>
      </c>
      <c r="B325" s="2" t="s">
        <v>3231</v>
      </c>
      <c r="C325" s="2" t="s">
        <v>8655</v>
      </c>
      <c r="D325" s="3" t="s">
        <v>3232</v>
      </c>
      <c r="E325" s="15">
        <v>728.41599999999994</v>
      </c>
      <c r="F325" s="120">
        <f t="shared" si="33"/>
        <v>25.980170666666666</v>
      </c>
      <c r="G325" s="120">
        <f t="shared" si="36"/>
        <v>25.223466666666667</v>
      </c>
      <c r="H325" s="120">
        <f t="shared" si="37"/>
        <v>24.743019682539682</v>
      </c>
      <c r="I325" s="120">
        <f t="shared" si="34"/>
        <v>23.618336969696969</v>
      </c>
      <c r="J325" s="120">
        <f t="shared" si="38"/>
        <v>29.136639999999996</v>
      </c>
      <c r="K325" s="114"/>
      <c r="L325" s="127">
        <f t="shared" si="35"/>
        <v>26.487854545454542</v>
      </c>
      <c r="M325" s="83"/>
    </row>
    <row r="326" spans="1:13" s="8" customFormat="1" ht="24.95" customHeight="1">
      <c r="A326" s="2" t="s">
        <v>3228</v>
      </c>
      <c r="B326" s="2" t="s">
        <v>3229</v>
      </c>
      <c r="C326" s="2"/>
      <c r="D326" s="3" t="s">
        <v>8093</v>
      </c>
      <c r="E326" s="15">
        <v>760.55200000000002</v>
      </c>
      <c r="F326" s="120">
        <f t="shared" ref="F326:F389" si="39">+(E326*1.07/30)</f>
        <v>27.126354666666668</v>
      </c>
      <c r="G326" s="120">
        <f t="shared" si="36"/>
        <v>26.336266666666667</v>
      </c>
      <c r="H326" s="120">
        <f t="shared" si="37"/>
        <v>25.834623492063493</v>
      </c>
      <c r="I326" s="120">
        <f t="shared" si="34"/>
        <v>24.660322424242423</v>
      </c>
      <c r="J326" s="120">
        <f t="shared" si="38"/>
        <v>30.422080000000001</v>
      </c>
      <c r="K326" s="114"/>
      <c r="L326" s="127">
        <f t="shared" si="35"/>
        <v>27.656436363636367</v>
      </c>
      <c r="M326" s="83"/>
    </row>
    <row r="327" spans="1:13" s="8" customFormat="1" ht="24.95" customHeight="1">
      <c r="A327" s="2" t="s">
        <v>3346</v>
      </c>
      <c r="B327" s="2" t="s">
        <v>3347</v>
      </c>
      <c r="C327" s="2"/>
      <c r="D327" s="3" t="s">
        <v>3348</v>
      </c>
      <c r="E327" s="15">
        <v>0</v>
      </c>
      <c r="F327" s="120">
        <f t="shared" si="39"/>
        <v>0</v>
      </c>
      <c r="G327" s="120">
        <f t="shared" si="36"/>
        <v>0</v>
      </c>
      <c r="H327" s="120">
        <f t="shared" si="37"/>
        <v>0</v>
      </c>
      <c r="I327" s="120">
        <f t="shared" si="34"/>
        <v>0</v>
      </c>
      <c r="J327" s="120">
        <f t="shared" si="38"/>
        <v>0</v>
      </c>
      <c r="K327" s="114"/>
      <c r="L327" s="127">
        <f t="shared" si="35"/>
        <v>0</v>
      </c>
      <c r="M327" s="83"/>
    </row>
    <row r="328" spans="1:13" s="8" customFormat="1" ht="24.95" customHeight="1">
      <c r="A328" s="2" t="s">
        <v>3236</v>
      </c>
      <c r="B328" s="2" t="s">
        <v>3237</v>
      </c>
      <c r="C328" s="2"/>
      <c r="D328" s="3" t="s">
        <v>3238</v>
      </c>
      <c r="E328" s="15">
        <v>878.38400000000001</v>
      </c>
      <c r="F328" s="120">
        <f t="shared" si="39"/>
        <v>31.329029333333335</v>
      </c>
      <c r="G328" s="120">
        <f t="shared" si="36"/>
        <v>30.416533333333334</v>
      </c>
      <c r="H328" s="120">
        <f t="shared" si="37"/>
        <v>29.837170793650792</v>
      </c>
      <c r="I328" s="120">
        <f t="shared" si="34"/>
        <v>28.480935757575757</v>
      </c>
      <c r="J328" s="120">
        <f t="shared" si="38"/>
        <v>35.135359999999999</v>
      </c>
      <c r="K328" s="114"/>
      <c r="L328" s="127">
        <f t="shared" si="35"/>
        <v>31.941236363636364</v>
      </c>
      <c r="M328" s="83"/>
    </row>
    <row r="329" spans="1:13" s="8" customFormat="1" ht="24.95" customHeight="1">
      <c r="A329" s="2" t="s">
        <v>3233</v>
      </c>
      <c r="B329" s="2" t="s">
        <v>3234</v>
      </c>
      <c r="C329" s="2"/>
      <c r="D329" s="3" t="s">
        <v>3235</v>
      </c>
      <c r="E329" s="15">
        <v>867.67200000000003</v>
      </c>
      <c r="F329" s="120">
        <f t="shared" si="39"/>
        <v>30.946968000000005</v>
      </c>
      <c r="G329" s="120">
        <f t="shared" si="36"/>
        <v>30.045600000000007</v>
      </c>
      <c r="H329" s="120">
        <f t="shared" si="37"/>
        <v>29.473302857142862</v>
      </c>
      <c r="I329" s="120">
        <f t="shared" ref="I329:I392" si="40">F329*100/110</f>
        <v>28.133607272727279</v>
      </c>
      <c r="J329" s="120">
        <f t="shared" si="38"/>
        <v>34.706879999999998</v>
      </c>
      <c r="K329" s="114"/>
      <c r="L329" s="127">
        <f t="shared" si="35"/>
        <v>31.551709090909092</v>
      </c>
      <c r="M329" s="83"/>
    </row>
    <row r="330" spans="1:13" s="8" customFormat="1" ht="24.95" customHeight="1">
      <c r="A330" s="2" t="s">
        <v>3239</v>
      </c>
      <c r="B330" s="2" t="s">
        <v>3240</v>
      </c>
      <c r="C330" s="2"/>
      <c r="D330" s="3" t="s">
        <v>3241</v>
      </c>
      <c r="E330" s="15">
        <v>685.5680000000001</v>
      </c>
      <c r="F330" s="120">
        <f t="shared" si="39"/>
        <v>24.451925333333339</v>
      </c>
      <c r="G330" s="120">
        <f t="shared" si="36"/>
        <v>23.739733333333337</v>
      </c>
      <c r="H330" s="120">
        <f t="shared" si="37"/>
        <v>23.287547936507941</v>
      </c>
      <c r="I330" s="120">
        <f t="shared" si="40"/>
        <v>22.229023030303036</v>
      </c>
      <c r="J330" s="120">
        <f t="shared" si="38"/>
        <v>27.422720000000005</v>
      </c>
      <c r="K330" s="114"/>
      <c r="L330" s="127">
        <f t="shared" si="35"/>
        <v>24.929745454545458</v>
      </c>
      <c r="M330" s="83"/>
    </row>
    <row r="331" spans="1:13" s="8" customFormat="1" ht="24.95" customHeight="1">
      <c r="A331" s="2" t="s">
        <v>3349</v>
      </c>
      <c r="B331" s="2" t="s">
        <v>3350</v>
      </c>
      <c r="C331" s="2"/>
      <c r="D331" s="3" t="s">
        <v>3351</v>
      </c>
      <c r="E331" s="15">
        <v>760</v>
      </c>
      <c r="F331" s="120">
        <f t="shared" si="39"/>
        <v>27.106666666666669</v>
      </c>
      <c r="G331" s="120">
        <f t="shared" si="36"/>
        <v>26.317152103559874</v>
      </c>
      <c r="H331" s="120">
        <f t="shared" si="37"/>
        <v>25.81587301587302</v>
      </c>
      <c r="I331" s="120">
        <f t="shared" si="40"/>
        <v>24.642424242424244</v>
      </c>
      <c r="J331" s="120">
        <f t="shared" si="38"/>
        <v>30.4</v>
      </c>
      <c r="K331" s="114"/>
      <c r="L331" s="127">
        <f t="shared" si="35"/>
        <v>27.636363636363637</v>
      </c>
      <c r="M331" s="83"/>
    </row>
    <row r="332" spans="1:13" s="8" customFormat="1" ht="24.95" customHeight="1">
      <c r="A332" s="2" t="s">
        <v>3242</v>
      </c>
      <c r="B332" s="2" t="s">
        <v>3243</v>
      </c>
      <c r="C332" s="2"/>
      <c r="D332" s="3" t="s">
        <v>3244</v>
      </c>
      <c r="E332" s="15">
        <v>653.43200000000002</v>
      </c>
      <c r="F332" s="120">
        <f t="shared" si="39"/>
        <v>23.305741333333337</v>
      </c>
      <c r="G332" s="120">
        <f t="shared" si="36"/>
        <v>22.626933333333334</v>
      </c>
      <c r="H332" s="120">
        <f t="shared" si="37"/>
        <v>22.195944126984127</v>
      </c>
      <c r="I332" s="120">
        <f t="shared" si="40"/>
        <v>21.187037575757579</v>
      </c>
      <c r="J332" s="120">
        <f t="shared" si="38"/>
        <v>26.137279999999997</v>
      </c>
      <c r="K332" s="114"/>
      <c r="L332" s="127">
        <f t="shared" si="35"/>
        <v>23.761163636363634</v>
      </c>
      <c r="M332" s="83"/>
    </row>
    <row r="333" spans="1:13" s="8" customFormat="1" ht="24.95" customHeight="1">
      <c r="A333" s="2" t="s">
        <v>3254</v>
      </c>
      <c r="B333" s="2" t="s">
        <v>3255</v>
      </c>
      <c r="C333" s="2"/>
      <c r="D333" s="3" t="s">
        <v>3256</v>
      </c>
      <c r="E333" s="15">
        <v>964.08</v>
      </c>
      <c r="F333" s="120">
        <f t="shared" si="39"/>
        <v>34.385520000000007</v>
      </c>
      <c r="G333" s="120">
        <f t="shared" si="36"/>
        <v>33.384000000000007</v>
      </c>
      <c r="H333" s="120">
        <f t="shared" si="37"/>
        <v>32.748114285714294</v>
      </c>
      <c r="I333" s="120">
        <f t="shared" si="40"/>
        <v>31.259563636363641</v>
      </c>
      <c r="J333" s="120">
        <f t="shared" si="38"/>
        <v>38.563200000000002</v>
      </c>
      <c r="K333" s="114"/>
      <c r="L333" s="127">
        <f t="shared" si="35"/>
        <v>35.057454545454547</v>
      </c>
      <c r="M333" s="83"/>
    </row>
    <row r="334" spans="1:13" s="8" customFormat="1" ht="24.95" customHeight="1">
      <c r="A334" s="2" t="s">
        <v>3248</v>
      </c>
      <c r="B334" s="2" t="s">
        <v>3249</v>
      </c>
      <c r="C334" s="2"/>
      <c r="D334" s="3" t="s">
        <v>3250</v>
      </c>
      <c r="E334" s="15">
        <v>856.96</v>
      </c>
      <c r="F334" s="120">
        <f t="shared" si="39"/>
        <v>30.564906666666669</v>
      </c>
      <c r="G334" s="120">
        <f t="shared" si="36"/>
        <v>29.674666666666671</v>
      </c>
      <c r="H334" s="120">
        <f t="shared" si="37"/>
        <v>29.109434920634925</v>
      </c>
      <c r="I334" s="120">
        <f t="shared" si="40"/>
        <v>27.786278787878793</v>
      </c>
      <c r="J334" s="120">
        <f t="shared" si="38"/>
        <v>34.278400000000005</v>
      </c>
      <c r="K334" s="114"/>
      <c r="L334" s="127">
        <f t="shared" si="35"/>
        <v>31.162181818181821</v>
      </c>
      <c r="M334" s="83"/>
    </row>
    <row r="335" spans="1:13" s="8" customFormat="1" ht="24.95" customHeight="1">
      <c r="A335" s="2" t="s">
        <v>3403</v>
      </c>
      <c r="B335" s="2" t="s">
        <v>3404</v>
      </c>
      <c r="C335" s="2"/>
      <c r="D335" s="3" t="s">
        <v>3405</v>
      </c>
      <c r="E335" s="15">
        <v>0</v>
      </c>
      <c r="F335" s="120">
        <f t="shared" si="39"/>
        <v>0</v>
      </c>
      <c r="G335" s="120">
        <f t="shared" si="36"/>
        <v>0</v>
      </c>
      <c r="H335" s="120">
        <f t="shared" si="37"/>
        <v>0</v>
      </c>
      <c r="I335" s="120">
        <f t="shared" si="40"/>
        <v>0</v>
      </c>
      <c r="J335" s="120">
        <f t="shared" si="38"/>
        <v>0</v>
      </c>
      <c r="K335" s="114"/>
      <c r="L335" s="127">
        <f t="shared" si="35"/>
        <v>0</v>
      </c>
      <c r="M335" s="83"/>
    </row>
    <row r="336" spans="1:13" s="8" customFormat="1" ht="24.95" customHeight="1">
      <c r="A336" s="2" t="s">
        <v>3245</v>
      </c>
      <c r="B336" s="2" t="s">
        <v>3246</v>
      </c>
      <c r="C336" s="2"/>
      <c r="D336" s="3" t="s">
        <v>3247</v>
      </c>
      <c r="E336" s="15">
        <v>760.55200000000002</v>
      </c>
      <c r="F336" s="120">
        <f t="shared" si="39"/>
        <v>27.126354666666668</v>
      </c>
      <c r="G336" s="120">
        <f t="shared" si="36"/>
        <v>26.336266666666667</v>
      </c>
      <c r="H336" s="120">
        <f t="shared" si="37"/>
        <v>25.834623492063493</v>
      </c>
      <c r="I336" s="120">
        <f t="shared" si="40"/>
        <v>24.660322424242423</v>
      </c>
      <c r="J336" s="120">
        <f t="shared" si="38"/>
        <v>30.422080000000001</v>
      </c>
      <c r="K336" s="114"/>
      <c r="L336" s="127">
        <f t="shared" si="35"/>
        <v>27.656436363636367</v>
      </c>
      <c r="M336" s="83"/>
    </row>
    <row r="337" spans="1:15" s="8" customFormat="1" ht="24.95" customHeight="1">
      <c r="A337" s="2" t="s">
        <v>3281</v>
      </c>
      <c r="B337" s="2" t="s">
        <v>3282</v>
      </c>
      <c r="C337" s="2"/>
      <c r="D337" s="3" t="s">
        <v>3283</v>
      </c>
      <c r="E337" s="15">
        <v>865</v>
      </c>
      <c r="F337" s="120">
        <f t="shared" si="39"/>
        <v>30.85166666666667</v>
      </c>
      <c r="G337" s="120">
        <f t="shared" si="36"/>
        <v>29.953074433656962</v>
      </c>
      <c r="H337" s="120">
        <f t="shared" si="37"/>
        <v>29.382539682539687</v>
      </c>
      <c r="I337" s="120">
        <f t="shared" si="40"/>
        <v>28.0469696969697</v>
      </c>
      <c r="J337" s="120">
        <f t="shared" si="38"/>
        <v>34.6</v>
      </c>
      <c r="K337" s="114"/>
      <c r="L337" s="127">
        <f t="shared" si="35"/>
        <v>31.454545454545453</v>
      </c>
      <c r="M337" s="83"/>
      <c r="O337" s="140">
        <v>45779</v>
      </c>
    </row>
    <row r="338" spans="1:15" s="8" customFormat="1" ht="24.95" customHeight="1">
      <c r="A338" s="2" t="s">
        <v>3251</v>
      </c>
      <c r="B338" s="2" t="s">
        <v>3252</v>
      </c>
      <c r="C338" s="2"/>
      <c r="D338" s="3" t="s">
        <v>3253</v>
      </c>
      <c r="E338" s="15">
        <v>749.84</v>
      </c>
      <c r="F338" s="120">
        <f t="shared" si="39"/>
        <v>26.744293333333339</v>
      </c>
      <c r="G338" s="120">
        <f t="shared" si="36"/>
        <v>25.965333333333341</v>
      </c>
      <c r="H338" s="120">
        <f t="shared" si="37"/>
        <v>25.470755555555563</v>
      </c>
      <c r="I338" s="120">
        <f t="shared" si="40"/>
        <v>24.312993939393944</v>
      </c>
      <c r="J338" s="120">
        <f t="shared" si="38"/>
        <v>29.993600000000001</v>
      </c>
      <c r="K338" s="114"/>
      <c r="L338" s="127">
        <f t="shared" si="35"/>
        <v>27.266909090909092</v>
      </c>
      <c r="M338" s="83"/>
    </row>
    <row r="339" spans="1:15" s="8" customFormat="1" ht="24.95" customHeight="1">
      <c r="A339" s="2" t="s">
        <v>3257</v>
      </c>
      <c r="B339" s="2" t="s">
        <v>3258</v>
      </c>
      <c r="C339" s="2"/>
      <c r="D339" s="3" t="s">
        <v>3259</v>
      </c>
      <c r="E339" s="15">
        <v>717.70400000000006</v>
      </c>
      <c r="F339" s="120">
        <f t="shared" si="39"/>
        <v>25.598109333333337</v>
      </c>
      <c r="G339" s="120">
        <f t="shared" si="36"/>
        <v>24.852533333333337</v>
      </c>
      <c r="H339" s="120">
        <f t="shared" si="37"/>
        <v>24.379151746031749</v>
      </c>
      <c r="I339" s="120">
        <f t="shared" si="40"/>
        <v>23.271008484848487</v>
      </c>
      <c r="J339" s="120">
        <f t="shared" si="38"/>
        <v>28.708160000000003</v>
      </c>
      <c r="K339" s="114"/>
      <c r="L339" s="127">
        <f t="shared" si="35"/>
        <v>26.098327272727275</v>
      </c>
      <c r="M339" s="83"/>
    </row>
    <row r="340" spans="1:15" s="8" customFormat="1" ht="24.95" customHeight="1">
      <c r="A340" s="2" t="s">
        <v>3260</v>
      </c>
      <c r="B340" s="2" t="s">
        <v>3261</v>
      </c>
      <c r="C340" s="2"/>
      <c r="D340" s="3" t="s">
        <v>3262</v>
      </c>
      <c r="E340" s="15">
        <v>835.53599999999994</v>
      </c>
      <c r="F340" s="120">
        <f t="shared" si="39"/>
        <v>29.800784</v>
      </c>
      <c r="G340" s="120">
        <f t="shared" si="36"/>
        <v>28.9328</v>
      </c>
      <c r="H340" s="120">
        <f t="shared" si="37"/>
        <v>28.381699047619048</v>
      </c>
      <c r="I340" s="120">
        <f t="shared" si="40"/>
        <v>27.091621818181817</v>
      </c>
      <c r="J340" s="120">
        <f t="shared" si="38"/>
        <v>33.421439999999997</v>
      </c>
      <c r="K340" s="114"/>
      <c r="L340" s="127">
        <f t="shared" si="35"/>
        <v>30.383127272727268</v>
      </c>
      <c r="M340" s="83"/>
    </row>
    <row r="341" spans="1:15" s="8" customFormat="1" ht="24.95" customHeight="1">
      <c r="A341" s="2" t="s">
        <v>3358</v>
      </c>
      <c r="B341" s="2" t="s">
        <v>3359</v>
      </c>
      <c r="C341" s="2"/>
      <c r="D341" s="3" t="s">
        <v>3360</v>
      </c>
      <c r="E341" s="15">
        <v>0</v>
      </c>
      <c r="F341" s="120">
        <f t="shared" si="39"/>
        <v>0</v>
      </c>
      <c r="G341" s="120">
        <f t="shared" si="36"/>
        <v>0</v>
      </c>
      <c r="H341" s="120">
        <f t="shared" si="37"/>
        <v>0</v>
      </c>
      <c r="I341" s="120">
        <f t="shared" si="40"/>
        <v>0</v>
      </c>
      <c r="J341" s="120">
        <f t="shared" si="38"/>
        <v>0</v>
      </c>
      <c r="K341" s="114"/>
      <c r="L341" s="127">
        <f t="shared" si="35"/>
        <v>0</v>
      </c>
      <c r="M341" s="83"/>
    </row>
    <row r="342" spans="1:15" s="8" customFormat="1" ht="24.95" customHeight="1">
      <c r="A342" s="2" t="s">
        <v>3263</v>
      </c>
      <c r="B342" s="2" t="s">
        <v>3264</v>
      </c>
      <c r="C342" s="2" t="s">
        <v>8636</v>
      </c>
      <c r="D342" s="3" t="s">
        <v>3265</v>
      </c>
      <c r="E342" s="15">
        <v>728.41599999999994</v>
      </c>
      <c r="F342" s="120">
        <f t="shared" si="39"/>
        <v>25.980170666666666</v>
      </c>
      <c r="G342" s="120">
        <f t="shared" si="36"/>
        <v>25.223466666666667</v>
      </c>
      <c r="H342" s="120">
        <f t="shared" si="37"/>
        <v>24.743019682539682</v>
      </c>
      <c r="I342" s="120">
        <f t="shared" si="40"/>
        <v>23.618336969696969</v>
      </c>
      <c r="J342" s="120">
        <f t="shared" si="38"/>
        <v>29.136639999999996</v>
      </c>
      <c r="K342" s="114"/>
      <c r="L342" s="127">
        <f t="shared" si="35"/>
        <v>26.487854545454542</v>
      </c>
      <c r="M342" s="83"/>
    </row>
    <row r="343" spans="1:15" s="8" customFormat="1" ht="24.95" customHeight="1">
      <c r="A343" s="2" t="s">
        <v>3272</v>
      </c>
      <c r="B343" s="2" t="s">
        <v>3273</v>
      </c>
      <c r="C343" s="2"/>
      <c r="D343" s="3" t="s">
        <v>3274</v>
      </c>
      <c r="E343" s="15">
        <v>653.43200000000002</v>
      </c>
      <c r="F343" s="120">
        <f t="shared" si="39"/>
        <v>23.305741333333337</v>
      </c>
      <c r="G343" s="120">
        <f t="shared" si="36"/>
        <v>22.626933333333334</v>
      </c>
      <c r="H343" s="120">
        <f t="shared" si="37"/>
        <v>22.195944126984127</v>
      </c>
      <c r="I343" s="120">
        <f t="shared" si="40"/>
        <v>21.187037575757579</v>
      </c>
      <c r="J343" s="120">
        <f t="shared" si="38"/>
        <v>26.137279999999997</v>
      </c>
      <c r="K343" s="114"/>
      <c r="L343" s="127">
        <f t="shared" si="35"/>
        <v>23.761163636363634</v>
      </c>
      <c r="M343" s="83"/>
    </row>
    <row r="344" spans="1:15" s="8" customFormat="1" ht="24.95" customHeight="1">
      <c r="A344" s="2" t="s">
        <v>3275</v>
      </c>
      <c r="B344" s="2" t="s">
        <v>3276</v>
      </c>
      <c r="C344" s="2"/>
      <c r="D344" s="3" t="s">
        <v>3277</v>
      </c>
      <c r="E344" s="15">
        <v>1071.2</v>
      </c>
      <c r="F344" s="120">
        <f t="shared" si="39"/>
        <v>38.206133333333341</v>
      </c>
      <c r="G344" s="120">
        <f t="shared" si="36"/>
        <v>37.093333333333341</v>
      </c>
      <c r="H344" s="120">
        <f t="shared" si="37"/>
        <v>36.386793650793656</v>
      </c>
      <c r="I344" s="120">
        <f t="shared" si="40"/>
        <v>34.732848484848489</v>
      </c>
      <c r="J344" s="120">
        <f t="shared" si="38"/>
        <v>42.847999999999999</v>
      </c>
      <c r="K344" s="114"/>
      <c r="L344" s="127">
        <f t="shared" si="35"/>
        <v>38.952727272727273</v>
      </c>
      <c r="M344" s="83"/>
    </row>
    <row r="345" spans="1:15" s="8" customFormat="1" ht="24.95" customHeight="1">
      <c r="A345" s="2" t="s">
        <v>3278</v>
      </c>
      <c r="B345" s="2" t="s">
        <v>3279</v>
      </c>
      <c r="C345" s="2"/>
      <c r="D345" s="3" t="s">
        <v>3280</v>
      </c>
      <c r="E345" s="15">
        <v>717.70400000000006</v>
      </c>
      <c r="F345" s="120">
        <f t="shared" si="39"/>
        <v>25.598109333333337</v>
      </c>
      <c r="G345" s="120">
        <f t="shared" si="36"/>
        <v>24.852533333333337</v>
      </c>
      <c r="H345" s="120">
        <f t="shared" si="37"/>
        <v>24.379151746031749</v>
      </c>
      <c r="I345" s="120">
        <f t="shared" si="40"/>
        <v>23.271008484848487</v>
      </c>
      <c r="J345" s="120">
        <f t="shared" si="38"/>
        <v>28.708160000000003</v>
      </c>
      <c r="K345" s="114"/>
      <c r="L345" s="127">
        <f t="shared" si="35"/>
        <v>26.098327272727275</v>
      </c>
      <c r="M345" s="83"/>
    </row>
    <row r="346" spans="1:15" s="8" customFormat="1" ht="24.95" customHeight="1">
      <c r="A346" s="2" t="s">
        <v>3317</v>
      </c>
      <c r="B346" s="2" t="s">
        <v>3318</v>
      </c>
      <c r="C346" s="2"/>
      <c r="D346" s="3" t="s">
        <v>3319</v>
      </c>
      <c r="E346" s="15">
        <v>621.29599999999994</v>
      </c>
      <c r="F346" s="120">
        <f t="shared" si="39"/>
        <v>22.159557333333332</v>
      </c>
      <c r="G346" s="120">
        <f t="shared" si="36"/>
        <v>21.514133333333334</v>
      </c>
      <c r="H346" s="120">
        <f t="shared" si="37"/>
        <v>21.104340317460316</v>
      </c>
      <c r="I346" s="120">
        <f t="shared" si="40"/>
        <v>20.145052121212121</v>
      </c>
      <c r="J346" s="120">
        <f t="shared" si="38"/>
        <v>24.851839999999996</v>
      </c>
      <c r="K346" s="114"/>
      <c r="L346" s="127">
        <f t="shared" si="35"/>
        <v>22.592581818181817</v>
      </c>
      <c r="M346" s="83"/>
    </row>
    <row r="347" spans="1:15" s="8" customFormat="1" ht="24.95" customHeight="1">
      <c r="A347" s="2" t="s">
        <v>3352</v>
      </c>
      <c r="B347" s="2" t="s">
        <v>3353</v>
      </c>
      <c r="C347" s="2"/>
      <c r="D347" s="3" t="s">
        <v>3354</v>
      </c>
      <c r="E347" s="15">
        <v>0</v>
      </c>
      <c r="F347" s="120">
        <f t="shared" si="39"/>
        <v>0</v>
      </c>
      <c r="G347" s="120">
        <f t="shared" si="36"/>
        <v>0</v>
      </c>
      <c r="H347" s="120">
        <f t="shared" si="37"/>
        <v>0</v>
      </c>
      <c r="I347" s="120">
        <f t="shared" si="40"/>
        <v>0</v>
      </c>
      <c r="J347" s="120">
        <f t="shared" si="38"/>
        <v>0</v>
      </c>
      <c r="K347" s="114"/>
      <c r="L347" s="127">
        <f t="shared" si="35"/>
        <v>0</v>
      </c>
      <c r="M347" s="83"/>
    </row>
    <row r="348" spans="1:15" s="8" customFormat="1" ht="24.95" customHeight="1">
      <c r="A348" s="2" t="s">
        <v>3287</v>
      </c>
      <c r="B348" s="2" t="s">
        <v>3288</v>
      </c>
      <c r="C348" s="2"/>
      <c r="D348" s="3" t="s">
        <v>3289</v>
      </c>
      <c r="E348" s="15">
        <v>835.53599999999994</v>
      </c>
      <c r="F348" s="120">
        <f t="shared" si="39"/>
        <v>29.800784</v>
      </c>
      <c r="G348" s="120">
        <f t="shared" si="36"/>
        <v>28.9328</v>
      </c>
      <c r="H348" s="120">
        <f t="shared" si="37"/>
        <v>28.381699047619048</v>
      </c>
      <c r="I348" s="120">
        <f t="shared" si="40"/>
        <v>27.091621818181817</v>
      </c>
      <c r="J348" s="120">
        <f t="shared" si="38"/>
        <v>33.421439999999997</v>
      </c>
      <c r="K348" s="114"/>
      <c r="L348" s="127">
        <f t="shared" si="35"/>
        <v>30.383127272727268</v>
      </c>
      <c r="M348" s="83"/>
    </row>
    <row r="349" spans="1:15" s="8" customFormat="1" ht="24.95" customHeight="1">
      <c r="A349" s="2" t="s">
        <v>3290</v>
      </c>
      <c r="B349" s="2" t="s">
        <v>3291</v>
      </c>
      <c r="C349" s="2"/>
      <c r="D349" s="3" t="s">
        <v>3292</v>
      </c>
      <c r="E349" s="15">
        <v>824.82400000000007</v>
      </c>
      <c r="F349" s="120">
        <f t="shared" si="39"/>
        <v>29.418722666666671</v>
      </c>
      <c r="G349" s="120">
        <f t="shared" si="36"/>
        <v>28.561866666666671</v>
      </c>
      <c r="H349" s="120">
        <f t="shared" si="37"/>
        <v>28.017831111111118</v>
      </c>
      <c r="I349" s="120">
        <f t="shared" si="40"/>
        <v>26.744293333333339</v>
      </c>
      <c r="J349" s="120">
        <f t="shared" si="38"/>
        <v>32.992960000000004</v>
      </c>
      <c r="K349" s="114"/>
      <c r="L349" s="127">
        <f t="shared" si="35"/>
        <v>29.993600000000001</v>
      </c>
      <c r="M349" s="83"/>
    </row>
    <row r="350" spans="1:15" s="8" customFormat="1" ht="24.95" customHeight="1">
      <c r="A350" s="2" t="s">
        <v>3296</v>
      </c>
      <c r="B350" s="2" t="s">
        <v>3297</v>
      </c>
      <c r="C350" s="2"/>
      <c r="D350" s="3" t="s">
        <v>3298</v>
      </c>
      <c r="E350" s="15">
        <v>793</v>
      </c>
      <c r="F350" s="120">
        <f t="shared" si="39"/>
        <v>28.283666666666669</v>
      </c>
      <c r="G350" s="120">
        <f t="shared" si="36"/>
        <v>27.459870550161813</v>
      </c>
      <c r="H350" s="120">
        <f t="shared" si="37"/>
        <v>26.936825396825398</v>
      </c>
      <c r="I350" s="120">
        <f t="shared" si="40"/>
        <v>25.712424242424245</v>
      </c>
      <c r="J350" s="120">
        <f t="shared" si="38"/>
        <v>31.719999999999995</v>
      </c>
      <c r="K350" s="114"/>
      <c r="L350" s="127">
        <f t="shared" si="35"/>
        <v>28.836363636363632</v>
      </c>
      <c r="M350" s="83"/>
    </row>
    <row r="351" spans="1:15" s="8" customFormat="1" ht="24.95" customHeight="1">
      <c r="A351" s="2" t="s">
        <v>3293</v>
      </c>
      <c r="B351" s="2" t="s">
        <v>3294</v>
      </c>
      <c r="C351" s="2"/>
      <c r="D351" s="3" t="s">
        <v>3295</v>
      </c>
      <c r="E351" s="15">
        <v>719.84640000000002</v>
      </c>
      <c r="F351" s="120">
        <f t="shared" si="39"/>
        <v>25.674521600000002</v>
      </c>
      <c r="G351" s="120">
        <f t="shared" si="36"/>
        <v>24.926720000000003</v>
      </c>
      <c r="H351" s="120">
        <f t="shared" si="37"/>
        <v>24.451925333333335</v>
      </c>
      <c r="I351" s="120">
        <f t="shared" si="40"/>
        <v>23.340474181818184</v>
      </c>
      <c r="J351" s="120">
        <f t="shared" si="38"/>
        <v>28.793856000000002</v>
      </c>
      <c r="K351" s="114"/>
      <c r="L351" s="127">
        <f t="shared" si="35"/>
        <v>26.17623272727273</v>
      </c>
      <c r="M351" s="83"/>
    </row>
    <row r="352" spans="1:15" s="8" customFormat="1" ht="24.95" customHeight="1">
      <c r="A352" s="2" t="s">
        <v>3355</v>
      </c>
      <c r="B352" s="2" t="s">
        <v>3356</v>
      </c>
      <c r="C352" s="2"/>
      <c r="D352" s="3" t="s">
        <v>3357</v>
      </c>
      <c r="E352" s="15">
        <v>758.40959999999995</v>
      </c>
      <c r="F352" s="120">
        <f t="shared" si="39"/>
        <v>27.049942400000003</v>
      </c>
      <c r="G352" s="120">
        <f t="shared" si="36"/>
        <v>26.262080000000005</v>
      </c>
      <c r="H352" s="120">
        <f t="shared" si="37"/>
        <v>25.76184990476191</v>
      </c>
      <c r="I352" s="120">
        <f t="shared" si="40"/>
        <v>24.59085672727273</v>
      </c>
      <c r="J352" s="120">
        <f t="shared" si="38"/>
        <v>30.336383999999999</v>
      </c>
      <c r="K352" s="114"/>
      <c r="L352" s="127">
        <f t="shared" si="35"/>
        <v>27.578530909090908</v>
      </c>
      <c r="M352" s="83"/>
    </row>
    <row r="353" spans="1:13" s="8" customFormat="1" ht="24.95" customHeight="1">
      <c r="A353" s="2" t="s">
        <v>3305</v>
      </c>
      <c r="B353" s="2" t="s">
        <v>3306</v>
      </c>
      <c r="C353" s="2"/>
      <c r="D353" s="3" t="s">
        <v>3307</v>
      </c>
      <c r="E353" s="15">
        <v>781.976</v>
      </c>
      <c r="F353" s="120">
        <f t="shared" si="39"/>
        <v>27.890477333333333</v>
      </c>
      <c r="G353" s="120">
        <f t="shared" si="36"/>
        <v>27.078133333333334</v>
      </c>
      <c r="H353" s="120">
        <f t="shared" si="37"/>
        <v>26.562359365079367</v>
      </c>
      <c r="I353" s="120">
        <f t="shared" si="40"/>
        <v>25.354979393939395</v>
      </c>
      <c r="J353" s="120">
        <f t="shared" si="38"/>
        <v>31.279039999999998</v>
      </c>
      <c r="K353" s="114"/>
      <c r="L353" s="127">
        <f t="shared" si="35"/>
        <v>28.435490909090905</v>
      </c>
      <c r="M353" s="83"/>
    </row>
    <row r="354" spans="1:13" s="8" customFormat="1" ht="24.95" customHeight="1">
      <c r="A354" s="2" t="s">
        <v>3299</v>
      </c>
      <c r="B354" s="2" t="s">
        <v>3300</v>
      </c>
      <c r="C354" s="2"/>
      <c r="D354" s="3" t="s">
        <v>3301</v>
      </c>
      <c r="E354" s="15">
        <v>791</v>
      </c>
      <c r="F354" s="120">
        <f t="shared" si="39"/>
        <v>28.212333333333333</v>
      </c>
      <c r="G354" s="120">
        <f t="shared" si="36"/>
        <v>27.390614886731395</v>
      </c>
      <c r="H354" s="120">
        <f t="shared" si="37"/>
        <v>26.86888888888889</v>
      </c>
      <c r="I354" s="120">
        <f t="shared" si="40"/>
        <v>25.647575757575758</v>
      </c>
      <c r="J354" s="120">
        <f t="shared" si="38"/>
        <v>31.639999999999997</v>
      </c>
      <c r="K354" s="114"/>
      <c r="L354" s="127">
        <f t="shared" si="35"/>
        <v>28.763636363636362</v>
      </c>
      <c r="M354" s="83"/>
    </row>
    <row r="355" spans="1:13" s="8" customFormat="1" ht="24.95" customHeight="1">
      <c r="A355" s="2" t="s">
        <v>3308</v>
      </c>
      <c r="B355" s="2" t="s">
        <v>3309</v>
      </c>
      <c r="C355" s="2"/>
      <c r="D355" s="3" t="s">
        <v>3310</v>
      </c>
      <c r="E355" s="15">
        <v>835.53599999999994</v>
      </c>
      <c r="F355" s="120">
        <f t="shared" si="39"/>
        <v>29.800784</v>
      </c>
      <c r="G355" s="120">
        <f t="shared" si="36"/>
        <v>28.9328</v>
      </c>
      <c r="H355" s="120">
        <f t="shared" si="37"/>
        <v>28.381699047619048</v>
      </c>
      <c r="I355" s="120">
        <f t="shared" si="40"/>
        <v>27.091621818181817</v>
      </c>
      <c r="J355" s="120">
        <f t="shared" si="38"/>
        <v>33.421439999999997</v>
      </c>
      <c r="K355" s="114"/>
      <c r="L355" s="127">
        <f t="shared" si="35"/>
        <v>30.383127272727268</v>
      </c>
      <c r="M355" s="83"/>
    </row>
    <row r="356" spans="1:13" s="8" customFormat="1" ht="24.95" customHeight="1">
      <c r="A356" s="2" t="s">
        <v>3302</v>
      </c>
      <c r="B356" s="2" t="s">
        <v>3303</v>
      </c>
      <c r="C356" s="2"/>
      <c r="D356" s="3" t="s">
        <v>3304</v>
      </c>
      <c r="E356" s="15">
        <v>749.84</v>
      </c>
      <c r="F356" s="120">
        <f t="shared" si="39"/>
        <v>26.744293333333339</v>
      </c>
      <c r="G356" s="120">
        <f t="shared" si="36"/>
        <v>25.965333333333341</v>
      </c>
      <c r="H356" s="120">
        <f t="shared" si="37"/>
        <v>25.470755555555563</v>
      </c>
      <c r="I356" s="120">
        <f t="shared" si="40"/>
        <v>24.312993939393944</v>
      </c>
      <c r="J356" s="120">
        <f t="shared" si="38"/>
        <v>29.993600000000001</v>
      </c>
      <c r="K356" s="114"/>
      <c r="L356" s="127">
        <f t="shared" si="35"/>
        <v>27.266909090909092</v>
      </c>
      <c r="M356" s="83"/>
    </row>
    <row r="357" spans="1:13" s="8" customFormat="1" ht="24.95" customHeight="1">
      <c r="A357" s="2" t="s">
        <v>3375</v>
      </c>
      <c r="B357" s="2" t="s">
        <v>3376</v>
      </c>
      <c r="C357" s="2"/>
      <c r="D357" s="3" t="s">
        <v>3377</v>
      </c>
      <c r="E357" s="15">
        <v>760</v>
      </c>
      <c r="F357" s="120">
        <f t="shared" si="39"/>
        <v>27.106666666666669</v>
      </c>
      <c r="G357" s="120">
        <f t="shared" si="36"/>
        <v>26.317152103559874</v>
      </c>
      <c r="H357" s="120">
        <f t="shared" si="37"/>
        <v>25.81587301587302</v>
      </c>
      <c r="I357" s="120">
        <f t="shared" si="40"/>
        <v>24.642424242424244</v>
      </c>
      <c r="J357" s="120">
        <f t="shared" si="38"/>
        <v>30.4</v>
      </c>
      <c r="K357" s="114"/>
      <c r="L357" s="127">
        <f t="shared" si="35"/>
        <v>27.636363636363637</v>
      </c>
      <c r="M357" s="83"/>
    </row>
    <row r="358" spans="1:13" s="8" customFormat="1" ht="24.95" customHeight="1">
      <c r="A358" s="2" t="s">
        <v>3375</v>
      </c>
      <c r="B358" s="2" t="s">
        <v>3376</v>
      </c>
      <c r="C358" s="2"/>
      <c r="D358" s="3" t="s">
        <v>3377</v>
      </c>
      <c r="E358" s="15">
        <v>0</v>
      </c>
      <c r="F358" s="120">
        <f t="shared" si="39"/>
        <v>0</v>
      </c>
      <c r="G358" s="120">
        <f t="shared" si="36"/>
        <v>0</v>
      </c>
      <c r="H358" s="120">
        <f t="shared" si="37"/>
        <v>0</v>
      </c>
      <c r="I358" s="120">
        <f t="shared" si="40"/>
        <v>0</v>
      </c>
      <c r="J358" s="120">
        <f t="shared" si="38"/>
        <v>0</v>
      </c>
      <c r="K358" s="114"/>
      <c r="L358" s="127">
        <f t="shared" si="35"/>
        <v>0</v>
      </c>
      <c r="M358" s="83"/>
    </row>
    <row r="359" spans="1:13" s="8" customFormat="1" ht="24.95" customHeight="1">
      <c r="A359" s="2" t="s">
        <v>3314</v>
      </c>
      <c r="B359" s="2" t="s">
        <v>3315</v>
      </c>
      <c r="C359" s="2"/>
      <c r="D359" s="3" t="s">
        <v>3316</v>
      </c>
      <c r="E359" s="15">
        <v>803.4</v>
      </c>
      <c r="F359" s="120">
        <f t="shared" si="39"/>
        <v>28.654600000000002</v>
      </c>
      <c r="G359" s="120">
        <f t="shared" si="36"/>
        <v>27.82</v>
      </c>
      <c r="H359" s="120">
        <f t="shared" si="37"/>
        <v>27.290095238095237</v>
      </c>
      <c r="I359" s="120">
        <f t="shared" si="40"/>
        <v>26.049636363636363</v>
      </c>
      <c r="J359" s="120">
        <f t="shared" si="38"/>
        <v>32.135999999999996</v>
      </c>
      <c r="K359" s="114"/>
      <c r="L359" s="127">
        <f t="shared" si="35"/>
        <v>29.214545454545451</v>
      </c>
      <c r="M359" s="83"/>
    </row>
    <row r="360" spans="1:13" s="8" customFormat="1" ht="24.95" customHeight="1">
      <c r="A360" s="2" t="s">
        <v>3343</v>
      </c>
      <c r="B360" s="2" t="s">
        <v>3344</v>
      </c>
      <c r="C360" s="2"/>
      <c r="D360" s="3" t="s">
        <v>3345</v>
      </c>
      <c r="E360" s="15">
        <v>655.57439999999997</v>
      </c>
      <c r="F360" s="120">
        <f t="shared" si="39"/>
        <v>23.382153599999999</v>
      </c>
      <c r="G360" s="120">
        <f t="shared" si="36"/>
        <v>22.701119999999996</v>
      </c>
      <c r="H360" s="120">
        <f t="shared" si="37"/>
        <v>22.26871771428571</v>
      </c>
      <c r="I360" s="120">
        <f t="shared" si="40"/>
        <v>21.256503272727269</v>
      </c>
      <c r="J360" s="120">
        <f t="shared" si="38"/>
        <v>26.222975999999999</v>
      </c>
      <c r="K360" s="114"/>
      <c r="L360" s="127">
        <f t="shared" si="35"/>
        <v>23.839069090909089</v>
      </c>
      <c r="M360" s="83"/>
    </row>
    <row r="361" spans="1:13" s="8" customFormat="1" ht="24.95" customHeight="1">
      <c r="A361" s="2" t="s">
        <v>3311</v>
      </c>
      <c r="B361" s="2" t="s">
        <v>3312</v>
      </c>
      <c r="C361" s="2"/>
      <c r="D361" s="3" t="s">
        <v>3313</v>
      </c>
      <c r="E361" s="15">
        <v>642.72</v>
      </c>
      <c r="F361" s="120">
        <f t="shared" si="39"/>
        <v>22.923680000000001</v>
      </c>
      <c r="G361" s="120">
        <f t="shared" si="36"/>
        <v>22.256</v>
      </c>
      <c r="H361" s="120">
        <f t="shared" si="37"/>
        <v>21.83207619047619</v>
      </c>
      <c r="I361" s="120">
        <f t="shared" si="40"/>
        <v>20.839709090909089</v>
      </c>
      <c r="J361" s="120">
        <f t="shared" si="38"/>
        <v>25.7088</v>
      </c>
      <c r="K361" s="114"/>
      <c r="L361" s="127">
        <f t="shared" si="35"/>
        <v>23.371636363636362</v>
      </c>
      <c r="M361" s="83"/>
    </row>
    <row r="362" spans="1:13" s="8" customFormat="1" ht="24.95" customHeight="1">
      <c r="A362" s="2" t="s">
        <v>3320</v>
      </c>
      <c r="B362" s="2" t="s">
        <v>3321</v>
      </c>
      <c r="C362" s="2"/>
      <c r="D362" s="3" t="s">
        <v>3322</v>
      </c>
      <c r="E362" s="15">
        <v>803.4</v>
      </c>
      <c r="F362" s="120">
        <f t="shared" si="39"/>
        <v>28.654600000000002</v>
      </c>
      <c r="G362" s="120">
        <f t="shared" si="36"/>
        <v>27.82</v>
      </c>
      <c r="H362" s="120">
        <f t="shared" si="37"/>
        <v>27.290095238095237</v>
      </c>
      <c r="I362" s="120">
        <f t="shared" si="40"/>
        <v>26.049636363636363</v>
      </c>
      <c r="J362" s="120">
        <f t="shared" si="38"/>
        <v>32.135999999999996</v>
      </c>
      <c r="K362" s="114"/>
      <c r="L362" s="127">
        <f t="shared" ref="L362:L425" si="41">+(E362*1.2/33)</f>
        <v>29.214545454545451</v>
      </c>
      <c r="M362" s="83"/>
    </row>
    <row r="363" spans="1:13" s="8" customFormat="1" ht="24.95" customHeight="1">
      <c r="A363" s="2" t="s">
        <v>3323</v>
      </c>
      <c r="B363" s="2" t="s">
        <v>3324</v>
      </c>
      <c r="C363" s="2"/>
      <c r="D363" s="3" t="s">
        <v>3325</v>
      </c>
      <c r="E363" s="15">
        <v>629.86559999999997</v>
      </c>
      <c r="F363" s="120">
        <f t="shared" si="39"/>
        <v>22.4652064</v>
      </c>
      <c r="G363" s="120">
        <f t="shared" si="36"/>
        <v>21.810879999999997</v>
      </c>
      <c r="H363" s="120">
        <f t="shared" si="37"/>
        <v>21.395434666666663</v>
      </c>
      <c r="I363" s="120">
        <f t="shared" si="40"/>
        <v>20.422914909090906</v>
      </c>
      <c r="J363" s="120">
        <f t="shared" si="38"/>
        <v>25.194623999999997</v>
      </c>
      <c r="K363" s="114"/>
      <c r="L363" s="127">
        <f t="shared" si="41"/>
        <v>22.904203636363636</v>
      </c>
      <c r="M363" s="83"/>
    </row>
    <row r="364" spans="1:13" s="8" customFormat="1" ht="24.95" customHeight="1">
      <c r="A364" s="2" t="s">
        <v>3326</v>
      </c>
      <c r="B364" s="2" t="s">
        <v>3327</v>
      </c>
      <c r="C364" s="2"/>
      <c r="D364" s="3" t="s">
        <v>3328</v>
      </c>
      <c r="E364" s="15">
        <v>739.12800000000004</v>
      </c>
      <c r="F364" s="120">
        <f t="shared" si="39"/>
        <v>26.362232000000002</v>
      </c>
      <c r="G364" s="120">
        <f t="shared" si="36"/>
        <v>25.594400000000004</v>
      </c>
      <c r="H364" s="120">
        <f t="shared" si="37"/>
        <v>25.106887619047622</v>
      </c>
      <c r="I364" s="120">
        <f t="shared" si="40"/>
        <v>23.965665454545459</v>
      </c>
      <c r="J364" s="120">
        <f t="shared" si="38"/>
        <v>29.56512</v>
      </c>
      <c r="K364" s="114"/>
      <c r="L364" s="127">
        <f t="shared" si="41"/>
        <v>26.877381818181821</v>
      </c>
      <c r="M364" s="83"/>
    </row>
    <row r="365" spans="1:13" s="8" customFormat="1" ht="24.95" customHeight="1">
      <c r="A365" s="2" t="s">
        <v>3338</v>
      </c>
      <c r="B365" s="2" t="s">
        <v>3339</v>
      </c>
      <c r="C365" s="2"/>
      <c r="D365" s="3" t="s">
        <v>3340</v>
      </c>
      <c r="E365" s="15">
        <v>749.84</v>
      </c>
      <c r="F365" s="120">
        <f t="shared" si="39"/>
        <v>26.744293333333339</v>
      </c>
      <c r="G365" s="120">
        <f t="shared" si="36"/>
        <v>25.965333333333341</v>
      </c>
      <c r="H365" s="120">
        <f t="shared" si="37"/>
        <v>25.470755555555563</v>
      </c>
      <c r="I365" s="120">
        <f t="shared" si="40"/>
        <v>24.312993939393944</v>
      </c>
      <c r="J365" s="120">
        <f t="shared" si="38"/>
        <v>29.993600000000001</v>
      </c>
      <c r="K365" s="114"/>
      <c r="L365" s="127">
        <f t="shared" si="41"/>
        <v>27.266909090909092</v>
      </c>
      <c r="M365" s="83"/>
    </row>
    <row r="366" spans="1:13" s="8" customFormat="1" ht="24.95" customHeight="1">
      <c r="A366" s="2" t="s">
        <v>3329</v>
      </c>
      <c r="B366" s="2" t="s">
        <v>3330</v>
      </c>
      <c r="C366" s="2"/>
      <c r="D366" s="3" t="s">
        <v>3331</v>
      </c>
      <c r="E366" s="15">
        <v>728.41599999999994</v>
      </c>
      <c r="F366" s="120">
        <f t="shared" si="39"/>
        <v>25.980170666666666</v>
      </c>
      <c r="G366" s="120">
        <f t="shared" si="36"/>
        <v>25.223466666666667</v>
      </c>
      <c r="H366" s="120">
        <f t="shared" si="37"/>
        <v>24.743019682539682</v>
      </c>
      <c r="I366" s="120">
        <f t="shared" si="40"/>
        <v>23.618336969696969</v>
      </c>
      <c r="J366" s="120">
        <f t="shared" si="38"/>
        <v>29.136639999999996</v>
      </c>
      <c r="K366" s="114"/>
      <c r="L366" s="127">
        <f t="shared" si="41"/>
        <v>26.487854545454542</v>
      </c>
      <c r="M366" s="83"/>
    </row>
    <row r="367" spans="1:13" s="8" customFormat="1" ht="24.95" customHeight="1">
      <c r="A367" s="2" t="s">
        <v>3332</v>
      </c>
      <c r="B367" s="2" t="s">
        <v>3333</v>
      </c>
      <c r="C367" s="2"/>
      <c r="D367" s="3" t="s">
        <v>3334</v>
      </c>
      <c r="E367" s="15">
        <v>771.26400000000001</v>
      </c>
      <c r="F367" s="120">
        <f t="shared" si="39"/>
        <v>27.508416000000004</v>
      </c>
      <c r="G367" s="120">
        <f t="shared" si="36"/>
        <v>26.7072</v>
      </c>
      <c r="H367" s="120">
        <f t="shared" si="37"/>
        <v>26.19849142857143</v>
      </c>
      <c r="I367" s="120">
        <f t="shared" si="40"/>
        <v>25.007650909090909</v>
      </c>
      <c r="J367" s="120">
        <f t="shared" si="38"/>
        <v>30.850559999999998</v>
      </c>
      <c r="K367" s="114"/>
      <c r="L367" s="127">
        <f t="shared" si="41"/>
        <v>28.045963636363638</v>
      </c>
      <c r="M367" s="83"/>
    </row>
    <row r="368" spans="1:13" s="8" customFormat="1" ht="24.95" customHeight="1">
      <c r="A368" s="2" t="s">
        <v>3335</v>
      </c>
      <c r="B368" s="2" t="s">
        <v>3336</v>
      </c>
      <c r="C368" s="2" t="s">
        <v>8648</v>
      </c>
      <c r="D368" s="3" t="s">
        <v>3337</v>
      </c>
      <c r="E368" s="15">
        <v>739.12800000000004</v>
      </c>
      <c r="F368" s="120">
        <f t="shared" si="39"/>
        <v>26.362232000000002</v>
      </c>
      <c r="G368" s="120">
        <f t="shared" si="36"/>
        <v>25.594400000000004</v>
      </c>
      <c r="H368" s="120">
        <f t="shared" si="37"/>
        <v>25.106887619047622</v>
      </c>
      <c r="I368" s="120">
        <f t="shared" si="40"/>
        <v>23.965665454545459</v>
      </c>
      <c r="J368" s="120">
        <f t="shared" si="38"/>
        <v>29.56512</v>
      </c>
      <c r="K368" s="114"/>
      <c r="L368" s="127">
        <f t="shared" si="41"/>
        <v>26.877381818181821</v>
      </c>
      <c r="M368" s="83"/>
    </row>
    <row r="369" spans="1:15" s="8" customFormat="1" ht="24.95" customHeight="1">
      <c r="A369" s="2" t="s">
        <v>3341</v>
      </c>
      <c r="B369" s="2" t="s">
        <v>3342</v>
      </c>
      <c r="C369" s="2" t="s">
        <v>8642</v>
      </c>
      <c r="D369" s="3" t="s">
        <v>8096</v>
      </c>
      <c r="E369" s="15">
        <v>743.41280000000006</v>
      </c>
      <c r="F369" s="120">
        <f t="shared" si="39"/>
        <v>26.515056533333336</v>
      </c>
      <c r="G369" s="120">
        <f t="shared" si="36"/>
        <v>25.742773333333336</v>
      </c>
      <c r="H369" s="120">
        <f t="shared" si="37"/>
        <v>25.252434793650796</v>
      </c>
      <c r="I369" s="120">
        <f t="shared" si="40"/>
        <v>24.104596848484849</v>
      </c>
      <c r="J369" s="120">
        <f t="shared" si="38"/>
        <v>29.736512000000001</v>
      </c>
      <c r="K369" s="114"/>
      <c r="L369" s="127">
        <f t="shared" si="41"/>
        <v>27.033192727272727</v>
      </c>
      <c r="M369" s="83"/>
    </row>
    <row r="370" spans="1:15" s="8" customFormat="1" ht="24.95" customHeight="1">
      <c r="A370" s="2" t="s">
        <v>3361</v>
      </c>
      <c r="B370" s="2" t="s">
        <v>3362</v>
      </c>
      <c r="C370" s="2"/>
      <c r="D370" s="3" t="s">
        <v>3363</v>
      </c>
      <c r="E370" s="15">
        <v>792.6880000000001</v>
      </c>
      <c r="F370" s="120">
        <f t="shared" si="39"/>
        <v>28.272538666666673</v>
      </c>
      <c r="G370" s="120">
        <f t="shared" si="36"/>
        <v>27.449066666666674</v>
      </c>
      <c r="H370" s="120">
        <f t="shared" si="37"/>
        <v>26.926227301587307</v>
      </c>
      <c r="I370" s="120">
        <f t="shared" si="40"/>
        <v>25.702307878787884</v>
      </c>
      <c r="J370" s="120">
        <f t="shared" si="38"/>
        <v>31.707520000000002</v>
      </c>
      <c r="K370" s="114"/>
      <c r="L370" s="127">
        <f t="shared" si="41"/>
        <v>28.825018181818184</v>
      </c>
      <c r="M370" s="83"/>
    </row>
    <row r="371" spans="1:15" s="8" customFormat="1" ht="24.95" customHeight="1">
      <c r="A371" s="2" t="s">
        <v>3364</v>
      </c>
      <c r="B371" s="2" t="s">
        <v>3365</v>
      </c>
      <c r="C371" s="2"/>
      <c r="D371" s="3" t="s">
        <v>8075</v>
      </c>
      <c r="E371" s="15">
        <v>856.96</v>
      </c>
      <c r="F371" s="120">
        <f t="shared" si="39"/>
        <v>30.564906666666669</v>
      </c>
      <c r="G371" s="120">
        <f t="shared" si="36"/>
        <v>29.674666666666671</v>
      </c>
      <c r="H371" s="120">
        <f t="shared" si="37"/>
        <v>29.109434920634925</v>
      </c>
      <c r="I371" s="120">
        <f t="shared" si="40"/>
        <v>27.786278787878793</v>
      </c>
      <c r="J371" s="120">
        <f t="shared" si="38"/>
        <v>34.278400000000005</v>
      </c>
      <c r="K371" s="114"/>
      <c r="L371" s="127">
        <f t="shared" si="41"/>
        <v>31.162181818181821</v>
      </c>
      <c r="M371" s="83"/>
    </row>
    <row r="372" spans="1:15" s="8" customFormat="1" ht="24.95" customHeight="1">
      <c r="A372" s="2" t="s">
        <v>3369</v>
      </c>
      <c r="B372" s="2" t="s">
        <v>3370</v>
      </c>
      <c r="C372" s="2"/>
      <c r="D372" s="3" t="s">
        <v>3371</v>
      </c>
      <c r="E372" s="15">
        <v>721</v>
      </c>
      <c r="F372" s="120">
        <f t="shared" si="39"/>
        <v>25.715666666666667</v>
      </c>
      <c r="G372" s="120">
        <f t="shared" si="36"/>
        <v>24.966666666666665</v>
      </c>
      <c r="H372" s="120">
        <f t="shared" si="37"/>
        <v>24.49111111111111</v>
      </c>
      <c r="I372" s="120">
        <f t="shared" si="40"/>
        <v>23.377878787878789</v>
      </c>
      <c r="J372" s="120">
        <f t="shared" si="38"/>
        <v>28.839999999999996</v>
      </c>
      <c r="K372" s="114"/>
      <c r="L372" s="127">
        <f t="shared" si="41"/>
        <v>26.218181818181815</v>
      </c>
      <c r="M372" s="83"/>
    </row>
    <row r="373" spans="1:15" s="8" customFormat="1" ht="24.95" customHeight="1">
      <c r="A373" s="2" t="s">
        <v>3372</v>
      </c>
      <c r="B373" s="2" t="s">
        <v>3373</v>
      </c>
      <c r="C373" s="2"/>
      <c r="D373" s="3" t="s">
        <v>3374</v>
      </c>
      <c r="E373" s="15">
        <v>792.6880000000001</v>
      </c>
      <c r="F373" s="120">
        <f t="shared" si="39"/>
        <v>28.272538666666673</v>
      </c>
      <c r="G373" s="120">
        <f t="shared" si="36"/>
        <v>27.449066666666674</v>
      </c>
      <c r="H373" s="120">
        <f t="shared" si="37"/>
        <v>26.926227301587307</v>
      </c>
      <c r="I373" s="120">
        <f t="shared" si="40"/>
        <v>25.702307878787884</v>
      </c>
      <c r="J373" s="120">
        <f t="shared" si="38"/>
        <v>31.707520000000002</v>
      </c>
      <c r="K373" s="114"/>
      <c r="L373" s="127">
        <f t="shared" si="41"/>
        <v>28.825018181818184</v>
      </c>
      <c r="M373" s="83"/>
    </row>
    <row r="374" spans="1:15" s="8" customFormat="1" ht="24.95" customHeight="1">
      <c r="A374" s="2" t="s">
        <v>3378</v>
      </c>
      <c r="B374" s="2" t="s">
        <v>3379</v>
      </c>
      <c r="C374" s="2"/>
      <c r="D374" s="3" t="s">
        <v>3380</v>
      </c>
      <c r="E374" s="15">
        <v>739</v>
      </c>
      <c r="F374" s="120">
        <f t="shared" si="39"/>
        <v>26.357666666666667</v>
      </c>
      <c r="G374" s="120">
        <f t="shared" si="36"/>
        <v>25.589967637540454</v>
      </c>
      <c r="H374" s="120">
        <f t="shared" si="37"/>
        <v>25.102539682539685</v>
      </c>
      <c r="I374" s="120">
        <f t="shared" si="40"/>
        <v>23.961515151515155</v>
      </c>
      <c r="J374" s="120">
        <f t="shared" si="38"/>
        <v>29.56</v>
      </c>
      <c r="K374" s="114"/>
      <c r="L374" s="127">
        <f t="shared" si="41"/>
        <v>26.872727272727271</v>
      </c>
      <c r="M374" s="83"/>
    </row>
    <row r="375" spans="1:15" s="8" customFormat="1" ht="24.95" customHeight="1">
      <c r="A375" s="2" t="s">
        <v>3381</v>
      </c>
      <c r="B375" s="2" t="s">
        <v>3382</v>
      </c>
      <c r="C375" s="2"/>
      <c r="D375" s="3" t="s">
        <v>3383</v>
      </c>
      <c r="E375" s="15">
        <v>718</v>
      </c>
      <c r="F375" s="120">
        <f t="shared" si="39"/>
        <v>25.608666666666668</v>
      </c>
      <c r="G375" s="120">
        <f t="shared" si="36"/>
        <v>24.862783171521038</v>
      </c>
      <c r="H375" s="120">
        <f t="shared" si="37"/>
        <v>24.389206349206351</v>
      </c>
      <c r="I375" s="120">
        <f t="shared" si="40"/>
        <v>23.280606060606061</v>
      </c>
      <c r="J375" s="120">
        <f t="shared" si="38"/>
        <v>28.720000000000002</v>
      </c>
      <c r="K375" s="114"/>
      <c r="L375" s="127">
        <f t="shared" si="41"/>
        <v>26.109090909090909</v>
      </c>
      <c r="M375" s="83"/>
    </row>
    <row r="376" spans="1:15" s="8" customFormat="1" ht="24.95" customHeight="1">
      <c r="A376" s="2" t="s">
        <v>3384</v>
      </c>
      <c r="B376" s="2" t="s">
        <v>3385</v>
      </c>
      <c r="C376" s="2"/>
      <c r="D376" s="3" t="s">
        <v>3386</v>
      </c>
      <c r="E376" s="15">
        <v>728</v>
      </c>
      <c r="F376" s="120">
        <f t="shared" si="39"/>
        <v>25.965333333333334</v>
      </c>
      <c r="G376" s="120">
        <f t="shared" si="36"/>
        <v>25.209061488673139</v>
      </c>
      <c r="H376" s="120">
        <f t="shared" si="37"/>
        <v>24.728888888888889</v>
      </c>
      <c r="I376" s="120">
        <f t="shared" si="40"/>
        <v>23.604848484848485</v>
      </c>
      <c r="J376" s="120">
        <f t="shared" si="38"/>
        <v>29.12</v>
      </c>
      <c r="K376" s="114"/>
      <c r="L376" s="127">
        <f t="shared" si="41"/>
        <v>26.472727272727273</v>
      </c>
      <c r="M376" s="83"/>
    </row>
    <row r="377" spans="1:15" s="8" customFormat="1" ht="24.95" customHeight="1">
      <c r="A377" s="2" t="s">
        <v>3387</v>
      </c>
      <c r="B377" s="2" t="s">
        <v>3388</v>
      </c>
      <c r="C377" s="2"/>
      <c r="D377" s="3" t="s">
        <v>3389</v>
      </c>
      <c r="E377" s="15">
        <v>879</v>
      </c>
      <c r="F377" s="120">
        <f t="shared" si="39"/>
        <v>31.351000000000003</v>
      </c>
      <c r="G377" s="120">
        <f t="shared" si="36"/>
        <v>30.437864077669907</v>
      </c>
      <c r="H377" s="120">
        <f t="shared" si="37"/>
        <v>29.858095238095242</v>
      </c>
      <c r="I377" s="120">
        <f t="shared" si="40"/>
        <v>28.500909090909094</v>
      </c>
      <c r="J377" s="120">
        <f t="shared" si="38"/>
        <v>35.159999999999997</v>
      </c>
      <c r="K377" s="114"/>
      <c r="L377" s="127">
        <f t="shared" si="41"/>
        <v>31.963636363636361</v>
      </c>
      <c r="M377" s="83"/>
    </row>
    <row r="378" spans="1:15" s="8" customFormat="1" ht="24.95" customHeight="1">
      <c r="A378" s="2" t="s">
        <v>3390</v>
      </c>
      <c r="B378" s="2" t="s">
        <v>3391</v>
      </c>
      <c r="C378" s="2"/>
      <c r="D378" s="3" t="s">
        <v>3392</v>
      </c>
      <c r="E378" s="15">
        <v>790</v>
      </c>
      <c r="F378" s="120">
        <f t="shared" si="39"/>
        <v>28.176666666666669</v>
      </c>
      <c r="G378" s="120">
        <f t="shared" si="36"/>
        <v>27.355987055016183</v>
      </c>
      <c r="H378" s="120">
        <f t="shared" si="37"/>
        <v>26.834920634920639</v>
      </c>
      <c r="I378" s="120">
        <f t="shared" si="40"/>
        <v>25.615151515151517</v>
      </c>
      <c r="J378" s="120">
        <f t="shared" si="38"/>
        <v>31.6</v>
      </c>
      <c r="K378" s="114"/>
      <c r="L378" s="127">
        <f t="shared" si="41"/>
        <v>28.727272727272727</v>
      </c>
      <c r="M378" s="83"/>
    </row>
    <row r="379" spans="1:15" s="8" customFormat="1" ht="24.95" customHeight="1">
      <c r="A379" s="2" t="s">
        <v>3393</v>
      </c>
      <c r="B379" s="2" t="s">
        <v>8015</v>
      </c>
      <c r="C379" s="2" t="s">
        <v>8766</v>
      </c>
      <c r="D379" s="3" t="s">
        <v>8016</v>
      </c>
      <c r="E379" s="15">
        <v>792.6880000000001</v>
      </c>
      <c r="F379" s="120">
        <f t="shared" si="39"/>
        <v>28.272538666666673</v>
      </c>
      <c r="G379" s="120">
        <f t="shared" si="36"/>
        <v>27.449066666666674</v>
      </c>
      <c r="H379" s="120">
        <f t="shared" si="37"/>
        <v>26.926227301587307</v>
      </c>
      <c r="I379" s="120">
        <f t="shared" si="40"/>
        <v>25.702307878787884</v>
      </c>
      <c r="J379" s="120">
        <f t="shared" si="38"/>
        <v>31.707520000000002</v>
      </c>
      <c r="K379" s="114"/>
      <c r="L379" s="127">
        <f t="shared" si="41"/>
        <v>28.825018181818184</v>
      </c>
      <c r="M379" s="83"/>
    </row>
    <row r="380" spans="1:15" s="8" customFormat="1" ht="24.95" customHeight="1">
      <c r="A380" s="2" t="s">
        <v>3394</v>
      </c>
      <c r="B380" s="2" t="s">
        <v>3395</v>
      </c>
      <c r="C380" s="2"/>
      <c r="D380" s="3" t="s">
        <v>3396</v>
      </c>
      <c r="E380" s="15">
        <v>770</v>
      </c>
      <c r="F380" s="120">
        <f t="shared" si="39"/>
        <v>27.463333333333335</v>
      </c>
      <c r="G380" s="120">
        <f t="shared" si="36"/>
        <v>26.663430420711975</v>
      </c>
      <c r="H380" s="120">
        <f t="shared" si="37"/>
        <v>26.155555555555559</v>
      </c>
      <c r="I380" s="120">
        <f t="shared" si="40"/>
        <v>24.966666666666669</v>
      </c>
      <c r="J380" s="120">
        <f t="shared" si="38"/>
        <v>30.8</v>
      </c>
      <c r="K380" s="114"/>
      <c r="L380" s="127">
        <f t="shared" si="41"/>
        <v>28</v>
      </c>
      <c r="M380" s="83"/>
    </row>
    <row r="381" spans="1:15" s="8" customFormat="1" ht="24.95" customHeight="1">
      <c r="A381" s="2" t="s">
        <v>3397</v>
      </c>
      <c r="B381" s="2" t="s">
        <v>3398</v>
      </c>
      <c r="C381" s="2" t="s">
        <v>8767</v>
      </c>
      <c r="D381" s="3" t="s">
        <v>3399</v>
      </c>
      <c r="E381" s="15">
        <v>770</v>
      </c>
      <c r="F381" s="120">
        <f t="shared" si="39"/>
        <v>27.463333333333335</v>
      </c>
      <c r="G381" s="120">
        <f t="shared" si="36"/>
        <v>26.663430420711975</v>
      </c>
      <c r="H381" s="120">
        <f t="shared" si="37"/>
        <v>26.155555555555559</v>
      </c>
      <c r="I381" s="120">
        <f t="shared" si="40"/>
        <v>24.966666666666669</v>
      </c>
      <c r="J381" s="120">
        <f t="shared" si="38"/>
        <v>30.8</v>
      </c>
      <c r="K381" s="114"/>
      <c r="L381" s="127">
        <f t="shared" si="41"/>
        <v>28</v>
      </c>
      <c r="M381" s="83"/>
    </row>
    <row r="382" spans="1:15" s="8" customFormat="1" ht="24.95" customHeight="1">
      <c r="A382" s="2" t="s">
        <v>3400</v>
      </c>
      <c r="B382" s="2" t="s">
        <v>3401</v>
      </c>
      <c r="C382" s="2"/>
      <c r="D382" s="3" t="s">
        <v>3402</v>
      </c>
      <c r="E382" s="15">
        <v>936</v>
      </c>
      <c r="F382" s="120">
        <f t="shared" si="39"/>
        <v>33.384</v>
      </c>
      <c r="G382" s="120">
        <f t="shared" si="36"/>
        <v>32.411650485436894</v>
      </c>
      <c r="H382" s="120">
        <f t="shared" si="37"/>
        <v>31.794285714285714</v>
      </c>
      <c r="I382" s="120">
        <f t="shared" si="40"/>
        <v>30.349090909090911</v>
      </c>
      <c r="J382" s="120">
        <f t="shared" si="38"/>
        <v>37.440000000000005</v>
      </c>
      <c r="K382" s="114"/>
      <c r="L382" s="127">
        <f t="shared" si="41"/>
        <v>34.036363636363639</v>
      </c>
      <c r="M382" s="83"/>
    </row>
    <row r="383" spans="1:15" s="8" customFormat="1" ht="24.95" customHeight="1">
      <c r="A383" s="19" t="s">
        <v>8821</v>
      </c>
      <c r="B383" s="19" t="s">
        <v>8820</v>
      </c>
      <c r="C383" s="19"/>
      <c r="D383" s="20" t="s">
        <v>8822</v>
      </c>
      <c r="E383" s="16">
        <v>820</v>
      </c>
      <c r="F383" s="122">
        <f t="shared" si="39"/>
        <v>29.24666666666667</v>
      </c>
      <c r="G383" s="122">
        <f t="shared" si="36"/>
        <v>28.394822006472495</v>
      </c>
      <c r="H383" s="122">
        <f t="shared" si="37"/>
        <v>27.853968253968258</v>
      </c>
      <c r="I383" s="122">
        <f t="shared" si="40"/>
        <v>26.58787878787879</v>
      </c>
      <c r="J383" s="122">
        <f t="shared" si="38"/>
        <v>32.799999999999997</v>
      </c>
      <c r="K383" s="116"/>
      <c r="L383" s="128">
        <f t="shared" si="41"/>
        <v>29.818181818181817</v>
      </c>
      <c r="M383" s="85"/>
      <c r="N383" s="6"/>
      <c r="O383" s="6"/>
    </row>
    <row r="384" spans="1:15" s="8" customFormat="1" ht="24.95" customHeight="1">
      <c r="A384" s="2" t="s">
        <v>8038</v>
      </c>
      <c r="B384" s="2" t="s">
        <v>8051</v>
      </c>
      <c r="C384" s="2"/>
      <c r="D384" s="3" t="s">
        <v>8115</v>
      </c>
      <c r="E384" s="15">
        <v>690</v>
      </c>
      <c r="F384" s="120">
        <f t="shared" si="39"/>
        <v>24.610000000000003</v>
      </c>
      <c r="G384" s="120">
        <f t="shared" si="36"/>
        <v>23.893203883495151</v>
      </c>
      <c r="H384" s="120">
        <f t="shared" si="37"/>
        <v>23.438095238095244</v>
      </c>
      <c r="I384" s="120">
        <f t="shared" si="40"/>
        <v>22.372727272727278</v>
      </c>
      <c r="J384" s="120">
        <f t="shared" si="38"/>
        <v>27.6</v>
      </c>
      <c r="K384" s="114"/>
      <c r="L384" s="127">
        <f t="shared" si="41"/>
        <v>25.09090909090909</v>
      </c>
      <c r="M384" s="83"/>
    </row>
    <row r="385" spans="1:15" s="8" customFormat="1" ht="24.95" customHeight="1">
      <c r="A385" s="2" t="s">
        <v>8148</v>
      </c>
      <c r="B385" s="2" t="s">
        <v>8149</v>
      </c>
      <c r="C385" s="2"/>
      <c r="D385" s="3" t="s">
        <v>8150</v>
      </c>
      <c r="E385" s="15">
        <v>666</v>
      </c>
      <c r="F385" s="120">
        <f t="shared" si="39"/>
        <v>23.754000000000001</v>
      </c>
      <c r="G385" s="120">
        <f t="shared" si="36"/>
        <v>23.062135922330096</v>
      </c>
      <c r="H385" s="120">
        <f t="shared" si="37"/>
        <v>22.622857142857143</v>
      </c>
      <c r="I385" s="120">
        <f t="shared" si="40"/>
        <v>21.594545454545454</v>
      </c>
      <c r="J385" s="120">
        <f t="shared" si="38"/>
        <v>26.639999999999997</v>
      </c>
      <c r="K385" s="114"/>
      <c r="L385" s="127">
        <f t="shared" si="41"/>
        <v>24.218181818181815</v>
      </c>
      <c r="M385" s="83"/>
    </row>
    <row r="386" spans="1:15" s="8" customFormat="1" ht="24.95" customHeight="1">
      <c r="A386" s="2" t="s">
        <v>8180</v>
      </c>
      <c r="B386" s="2" t="s">
        <v>8181</v>
      </c>
      <c r="C386" s="2"/>
      <c r="D386" s="3" t="s">
        <v>8182</v>
      </c>
      <c r="E386" s="15">
        <v>680</v>
      </c>
      <c r="F386" s="120">
        <f t="shared" si="39"/>
        <v>24.253333333333334</v>
      </c>
      <c r="G386" s="120">
        <f t="shared" si="36"/>
        <v>23.546925566343045</v>
      </c>
      <c r="H386" s="120">
        <f t="shared" si="37"/>
        <v>23.098412698412702</v>
      </c>
      <c r="I386" s="120">
        <f t="shared" si="40"/>
        <v>22.048484848484851</v>
      </c>
      <c r="J386" s="120">
        <f t="shared" si="38"/>
        <v>27.2</v>
      </c>
      <c r="K386" s="114"/>
      <c r="L386" s="127">
        <f t="shared" si="41"/>
        <v>24.727272727272727</v>
      </c>
      <c r="M386" s="83"/>
    </row>
    <row r="387" spans="1:15" s="8" customFormat="1" ht="24.95" customHeight="1">
      <c r="A387" s="2" t="s">
        <v>8183</v>
      </c>
      <c r="B387" s="2" t="s">
        <v>8184</v>
      </c>
      <c r="C387" s="2"/>
      <c r="D387" s="3" t="s">
        <v>8185</v>
      </c>
      <c r="E387" s="15">
        <v>670</v>
      </c>
      <c r="F387" s="120">
        <f t="shared" si="39"/>
        <v>23.896666666666668</v>
      </c>
      <c r="G387" s="120">
        <f t="shared" si="36"/>
        <v>23.20064724919094</v>
      </c>
      <c r="H387" s="120">
        <f t="shared" si="37"/>
        <v>22.758730158730163</v>
      </c>
      <c r="I387" s="120">
        <f t="shared" si="40"/>
        <v>21.724242424242426</v>
      </c>
      <c r="J387" s="120">
        <f t="shared" si="38"/>
        <v>26.8</v>
      </c>
      <c r="K387" s="114"/>
      <c r="L387" s="127">
        <f t="shared" si="41"/>
        <v>24.363636363636363</v>
      </c>
      <c r="M387" s="83"/>
    </row>
    <row r="388" spans="1:15" s="8" customFormat="1" ht="24.95" customHeight="1">
      <c r="A388" s="2" t="s">
        <v>8186</v>
      </c>
      <c r="B388" s="2" t="s">
        <v>8187</v>
      </c>
      <c r="C388" s="2"/>
      <c r="D388" s="3" t="s">
        <v>8188</v>
      </c>
      <c r="E388" s="15">
        <v>660</v>
      </c>
      <c r="F388" s="120">
        <f t="shared" si="39"/>
        <v>23.540000000000003</v>
      </c>
      <c r="G388" s="120">
        <f t="shared" ref="G388:G451" si="42">F388*100/103</f>
        <v>22.854368932038838</v>
      </c>
      <c r="H388" s="120">
        <f t="shared" ref="H388:H451" si="43">F388*100/105</f>
        <v>22.419047619047625</v>
      </c>
      <c r="I388" s="120">
        <f t="shared" si="40"/>
        <v>21.400000000000006</v>
      </c>
      <c r="J388" s="120">
        <f t="shared" ref="J388:J411" si="44">+(E388*1.2/30)</f>
        <v>26.4</v>
      </c>
      <c r="K388" s="114"/>
      <c r="L388" s="127">
        <f t="shared" si="41"/>
        <v>24</v>
      </c>
      <c r="M388" s="83"/>
    </row>
    <row r="389" spans="1:15" s="8" customFormat="1" ht="24.95" customHeight="1">
      <c r="A389" s="2" t="s">
        <v>8017</v>
      </c>
      <c r="B389" s="2" t="s">
        <v>8018</v>
      </c>
      <c r="C389" s="2" t="s">
        <v>8667</v>
      </c>
      <c r="D389" s="3" t="s">
        <v>8019</v>
      </c>
      <c r="E389" s="15">
        <v>757</v>
      </c>
      <c r="F389" s="120">
        <f t="shared" si="39"/>
        <v>26.999666666666666</v>
      </c>
      <c r="G389" s="120">
        <f t="shared" si="42"/>
        <v>26.213268608414239</v>
      </c>
      <c r="H389" s="120">
        <f t="shared" si="43"/>
        <v>25.713968253968254</v>
      </c>
      <c r="I389" s="120">
        <f t="shared" si="40"/>
        <v>24.545151515151517</v>
      </c>
      <c r="J389" s="120">
        <f t="shared" si="44"/>
        <v>30.279999999999998</v>
      </c>
      <c r="K389" s="114"/>
      <c r="L389" s="127">
        <f t="shared" si="41"/>
        <v>27.527272727272727</v>
      </c>
      <c r="M389" s="83"/>
      <c r="O389" s="8" t="s">
        <v>8620</v>
      </c>
    </row>
    <row r="390" spans="1:15" s="8" customFormat="1" ht="24.95" customHeight="1">
      <c r="A390" s="2" t="s">
        <v>8116</v>
      </c>
      <c r="B390" s="2" t="s">
        <v>8117</v>
      </c>
      <c r="C390" s="2"/>
      <c r="D390" s="3" t="s">
        <v>8118</v>
      </c>
      <c r="E390" s="15">
        <v>942</v>
      </c>
      <c r="F390" s="120">
        <f t="shared" ref="F390:F453" si="45">+(E390*1.07/30)</f>
        <v>33.597999999999999</v>
      </c>
      <c r="G390" s="120">
        <f t="shared" si="42"/>
        <v>32.619417475728156</v>
      </c>
      <c r="H390" s="120">
        <f t="shared" si="43"/>
        <v>31.998095238095235</v>
      </c>
      <c r="I390" s="120">
        <f t="shared" si="40"/>
        <v>30.543636363636359</v>
      </c>
      <c r="J390" s="120">
        <f t="shared" si="44"/>
        <v>37.679999999999993</v>
      </c>
      <c r="K390" s="114"/>
      <c r="L390" s="127">
        <f t="shared" si="41"/>
        <v>34.25454545454545</v>
      </c>
      <c r="M390" s="83"/>
    </row>
    <row r="391" spans="1:15" s="8" customFormat="1" ht="24.95" customHeight="1">
      <c r="A391" s="2" t="s">
        <v>8119</v>
      </c>
      <c r="B391" s="2" t="s">
        <v>8125</v>
      </c>
      <c r="C391" s="2"/>
      <c r="D391" s="3" t="s">
        <v>8126</v>
      </c>
      <c r="E391" s="15">
        <v>759</v>
      </c>
      <c r="F391" s="120">
        <f t="shared" si="45"/>
        <v>27.071000000000002</v>
      </c>
      <c r="G391" s="120">
        <f t="shared" si="42"/>
        <v>26.282524271844665</v>
      </c>
      <c r="H391" s="120">
        <f t="shared" si="43"/>
        <v>25.781904761904766</v>
      </c>
      <c r="I391" s="120">
        <f t="shared" si="40"/>
        <v>24.610000000000003</v>
      </c>
      <c r="J391" s="120">
        <f t="shared" si="44"/>
        <v>30.36</v>
      </c>
      <c r="K391" s="114"/>
      <c r="L391" s="127">
        <f t="shared" si="41"/>
        <v>27.599999999999998</v>
      </c>
      <c r="M391" s="83"/>
    </row>
    <row r="392" spans="1:15" s="8" customFormat="1" ht="24.95" customHeight="1">
      <c r="A392" s="2" t="s">
        <v>8120</v>
      </c>
      <c r="B392" s="2" t="s">
        <v>8127</v>
      </c>
      <c r="C392" s="2"/>
      <c r="D392" s="3" t="s">
        <v>8128</v>
      </c>
      <c r="E392" s="15">
        <v>800</v>
      </c>
      <c r="F392" s="120">
        <f t="shared" si="45"/>
        <v>28.533333333333335</v>
      </c>
      <c r="G392" s="120">
        <f t="shared" si="42"/>
        <v>27.702265372168288</v>
      </c>
      <c r="H392" s="120">
        <f t="shared" si="43"/>
        <v>27.174603174603178</v>
      </c>
      <c r="I392" s="120">
        <f t="shared" si="40"/>
        <v>25.939393939393941</v>
      </c>
      <c r="J392" s="120">
        <f t="shared" si="44"/>
        <v>32</v>
      </c>
      <c r="K392" s="114"/>
      <c r="L392" s="127">
        <f t="shared" si="41"/>
        <v>29.09090909090909</v>
      </c>
      <c r="M392" s="83"/>
      <c r="N392" s="8" t="s">
        <v>8823</v>
      </c>
    </row>
    <row r="393" spans="1:15" s="8" customFormat="1" ht="24.95" customHeight="1">
      <c r="A393" s="2" t="s">
        <v>8121</v>
      </c>
      <c r="B393" s="2" t="s">
        <v>8129</v>
      </c>
      <c r="C393" s="2"/>
      <c r="D393" s="3" t="s">
        <v>8130</v>
      </c>
      <c r="E393" s="15">
        <v>800</v>
      </c>
      <c r="F393" s="120">
        <f t="shared" si="45"/>
        <v>28.533333333333335</v>
      </c>
      <c r="G393" s="120">
        <f t="shared" si="42"/>
        <v>27.702265372168288</v>
      </c>
      <c r="H393" s="120">
        <f t="shared" si="43"/>
        <v>27.174603174603178</v>
      </c>
      <c r="I393" s="120">
        <f t="shared" ref="I393:I456" si="46">F393*100/110</f>
        <v>25.939393939393941</v>
      </c>
      <c r="J393" s="120">
        <f t="shared" si="44"/>
        <v>32</v>
      </c>
      <c r="K393" s="114"/>
      <c r="L393" s="127">
        <f t="shared" si="41"/>
        <v>29.09090909090909</v>
      </c>
      <c r="M393" s="83"/>
    </row>
    <row r="394" spans="1:15" s="8" customFormat="1" ht="24.95" customHeight="1">
      <c r="A394" s="2" t="s">
        <v>8122</v>
      </c>
      <c r="B394" s="2" t="s">
        <v>8135</v>
      </c>
      <c r="C394" s="2"/>
      <c r="D394" s="3" t="s">
        <v>8136</v>
      </c>
      <c r="E394" s="15">
        <v>760</v>
      </c>
      <c r="F394" s="120">
        <f t="shared" si="45"/>
        <v>27.106666666666669</v>
      </c>
      <c r="G394" s="120">
        <f t="shared" si="42"/>
        <v>26.317152103559874</v>
      </c>
      <c r="H394" s="120">
        <f t="shared" si="43"/>
        <v>25.81587301587302</v>
      </c>
      <c r="I394" s="120">
        <f t="shared" si="46"/>
        <v>24.642424242424244</v>
      </c>
      <c r="J394" s="120">
        <f t="shared" si="44"/>
        <v>30.4</v>
      </c>
      <c r="K394" s="114"/>
      <c r="L394" s="127">
        <f t="shared" si="41"/>
        <v>27.636363636363637</v>
      </c>
      <c r="M394" s="83"/>
    </row>
    <row r="395" spans="1:15" s="8" customFormat="1" ht="24.95" customHeight="1">
      <c r="A395" s="2" t="s">
        <v>8048</v>
      </c>
      <c r="B395" s="2" t="s">
        <v>8049</v>
      </c>
      <c r="C395" s="2"/>
      <c r="D395" s="3" t="s">
        <v>8050</v>
      </c>
      <c r="E395" s="15">
        <v>686.4</v>
      </c>
      <c r="F395" s="120">
        <f t="shared" si="45"/>
        <v>24.4816</v>
      </c>
      <c r="G395" s="120">
        <f t="shared" si="42"/>
        <v>23.768543689320389</v>
      </c>
      <c r="H395" s="120">
        <f t="shared" si="43"/>
        <v>23.315809523809524</v>
      </c>
      <c r="I395" s="120">
        <f t="shared" si="46"/>
        <v>22.256</v>
      </c>
      <c r="J395" s="120">
        <f t="shared" si="44"/>
        <v>27.456</v>
      </c>
      <c r="K395" s="114"/>
      <c r="L395" s="127">
        <f t="shared" si="41"/>
        <v>24.959999999999997</v>
      </c>
      <c r="M395" s="83"/>
    </row>
    <row r="396" spans="1:15" s="8" customFormat="1" ht="24.95" customHeight="1">
      <c r="A396" s="2" t="s">
        <v>8123</v>
      </c>
      <c r="B396" s="2" t="s">
        <v>8133</v>
      </c>
      <c r="C396" s="2"/>
      <c r="D396" s="3" t="s">
        <v>8134</v>
      </c>
      <c r="E396" s="15">
        <v>690</v>
      </c>
      <c r="F396" s="120">
        <f t="shared" si="45"/>
        <v>24.610000000000003</v>
      </c>
      <c r="G396" s="120">
        <f t="shared" si="42"/>
        <v>23.893203883495151</v>
      </c>
      <c r="H396" s="120">
        <f t="shared" si="43"/>
        <v>23.438095238095244</v>
      </c>
      <c r="I396" s="120">
        <f t="shared" si="46"/>
        <v>22.372727272727278</v>
      </c>
      <c r="J396" s="120">
        <f t="shared" si="44"/>
        <v>27.6</v>
      </c>
      <c r="K396" s="114"/>
      <c r="L396" s="127">
        <f t="shared" si="41"/>
        <v>25.09090909090909</v>
      </c>
      <c r="M396" s="83"/>
    </row>
    <row r="397" spans="1:15" s="8" customFormat="1" ht="24.95" customHeight="1">
      <c r="A397" s="2" t="s">
        <v>8124</v>
      </c>
      <c r="B397" s="2" t="s">
        <v>8132</v>
      </c>
      <c r="C397" s="2"/>
      <c r="D397" s="3" t="s">
        <v>8131</v>
      </c>
      <c r="E397" s="15">
        <v>880</v>
      </c>
      <c r="F397" s="120">
        <f t="shared" si="45"/>
        <v>31.386666666666667</v>
      </c>
      <c r="G397" s="120">
        <f t="shared" si="42"/>
        <v>30.472491909385113</v>
      </c>
      <c r="H397" s="120">
        <f t="shared" si="43"/>
        <v>29.892063492063489</v>
      </c>
      <c r="I397" s="120">
        <f t="shared" si="46"/>
        <v>28.533333333333331</v>
      </c>
      <c r="J397" s="120">
        <f t="shared" si="44"/>
        <v>35.200000000000003</v>
      </c>
      <c r="K397" s="114"/>
      <c r="L397" s="127">
        <f t="shared" si="41"/>
        <v>32</v>
      </c>
      <c r="M397" s="83"/>
    </row>
    <row r="398" spans="1:15" ht="24.95" customHeight="1">
      <c r="A398" s="2" t="s">
        <v>8065</v>
      </c>
      <c r="B398" s="4" t="s">
        <v>8069</v>
      </c>
      <c r="C398" s="4"/>
      <c r="D398" s="5" t="s">
        <v>8077</v>
      </c>
      <c r="E398" s="16">
        <v>760</v>
      </c>
      <c r="F398" s="120">
        <f t="shared" si="45"/>
        <v>27.106666666666669</v>
      </c>
      <c r="G398" s="120">
        <f t="shared" si="42"/>
        <v>26.317152103559874</v>
      </c>
      <c r="H398" s="120">
        <f t="shared" si="43"/>
        <v>25.81587301587302</v>
      </c>
      <c r="I398" s="120">
        <f t="shared" si="46"/>
        <v>24.642424242424244</v>
      </c>
      <c r="J398" s="120">
        <f t="shared" si="44"/>
        <v>30.4</v>
      </c>
      <c r="K398" s="115"/>
      <c r="L398" s="127">
        <f t="shared" si="41"/>
        <v>27.636363636363637</v>
      </c>
      <c r="M398" s="83"/>
      <c r="N398" s="8"/>
      <c r="O398" s="8"/>
    </row>
    <row r="399" spans="1:15" ht="24.95" customHeight="1">
      <c r="A399" s="2" t="s">
        <v>8066</v>
      </c>
      <c r="B399" s="2" t="s">
        <v>8070</v>
      </c>
      <c r="C399" s="2"/>
      <c r="D399" s="3" t="s">
        <v>8076</v>
      </c>
      <c r="E399" s="16">
        <v>720</v>
      </c>
      <c r="F399" s="120">
        <f t="shared" si="45"/>
        <v>25.680000000000003</v>
      </c>
      <c r="G399" s="120">
        <f t="shared" si="42"/>
        <v>24.932038834951459</v>
      </c>
      <c r="H399" s="120">
        <f t="shared" si="43"/>
        <v>24.457142857142863</v>
      </c>
      <c r="I399" s="120">
        <f t="shared" si="46"/>
        <v>23.345454545454551</v>
      </c>
      <c r="J399" s="120">
        <f t="shared" si="44"/>
        <v>28.8</v>
      </c>
      <c r="K399" s="115"/>
      <c r="L399" s="127">
        <f t="shared" si="41"/>
        <v>26.181818181818183</v>
      </c>
      <c r="M399" s="83"/>
    </row>
    <row r="400" spans="1:15" ht="24.95" customHeight="1">
      <c r="A400" s="2" t="s">
        <v>8067</v>
      </c>
      <c r="B400" s="4" t="s">
        <v>8071</v>
      </c>
      <c r="C400" s="4"/>
      <c r="D400" s="5" t="s">
        <v>8072</v>
      </c>
      <c r="E400" s="16">
        <v>830</v>
      </c>
      <c r="F400" s="120">
        <f t="shared" si="45"/>
        <v>29.603333333333335</v>
      </c>
      <c r="G400" s="120">
        <f t="shared" si="42"/>
        <v>28.741100323624597</v>
      </c>
      <c r="H400" s="120">
        <f t="shared" si="43"/>
        <v>28.193650793650797</v>
      </c>
      <c r="I400" s="120">
        <f t="shared" si="46"/>
        <v>26.912121212121214</v>
      </c>
      <c r="J400" s="120">
        <f t="shared" si="44"/>
        <v>33.200000000000003</v>
      </c>
      <c r="K400" s="115"/>
      <c r="L400" s="127">
        <f t="shared" si="41"/>
        <v>30.181818181818183</v>
      </c>
      <c r="M400" s="83"/>
    </row>
    <row r="401" spans="1:13" ht="24.95" customHeight="1">
      <c r="A401" s="2" t="s">
        <v>8068</v>
      </c>
      <c r="B401" s="4" t="s">
        <v>8073</v>
      </c>
      <c r="C401" s="4"/>
      <c r="D401" s="5" t="s">
        <v>8078</v>
      </c>
      <c r="E401" s="16">
        <v>730</v>
      </c>
      <c r="F401" s="120">
        <f t="shared" si="45"/>
        <v>26.036666666666669</v>
      </c>
      <c r="G401" s="120">
        <f t="shared" si="42"/>
        <v>25.278317152103561</v>
      </c>
      <c r="H401" s="120">
        <f t="shared" si="43"/>
        <v>24.796825396825401</v>
      </c>
      <c r="I401" s="120">
        <f t="shared" si="46"/>
        <v>23.669696969696972</v>
      </c>
      <c r="J401" s="120">
        <f t="shared" si="44"/>
        <v>29.2</v>
      </c>
      <c r="K401" s="115"/>
      <c r="L401" s="127">
        <f t="shared" si="41"/>
        <v>26.545454545454547</v>
      </c>
      <c r="M401" s="83"/>
    </row>
    <row r="402" spans="1:13" ht="24.95" customHeight="1">
      <c r="A402" s="2" t="s">
        <v>8106</v>
      </c>
      <c r="B402" s="4" t="s">
        <v>8109</v>
      </c>
      <c r="C402" s="4"/>
      <c r="D402" s="5" t="s">
        <v>8110</v>
      </c>
      <c r="E402" s="15">
        <v>690</v>
      </c>
      <c r="F402" s="120">
        <f t="shared" si="45"/>
        <v>24.610000000000003</v>
      </c>
      <c r="G402" s="120">
        <f t="shared" si="42"/>
        <v>23.893203883495151</v>
      </c>
      <c r="H402" s="120">
        <f t="shared" si="43"/>
        <v>23.438095238095244</v>
      </c>
      <c r="I402" s="120">
        <f t="shared" si="46"/>
        <v>22.372727272727278</v>
      </c>
      <c r="J402" s="120">
        <f t="shared" si="44"/>
        <v>27.6</v>
      </c>
      <c r="K402" s="116"/>
      <c r="L402" s="127">
        <f t="shared" si="41"/>
        <v>25.09090909090909</v>
      </c>
      <c r="M402" s="83"/>
    </row>
    <row r="403" spans="1:13" ht="24.95" customHeight="1">
      <c r="A403" s="2" t="s">
        <v>8107</v>
      </c>
      <c r="B403" s="4" t="s">
        <v>8111</v>
      </c>
      <c r="C403" s="4"/>
      <c r="D403" s="5" t="s">
        <v>8112</v>
      </c>
      <c r="E403" s="15">
        <v>660</v>
      </c>
      <c r="F403" s="120">
        <f t="shared" si="45"/>
        <v>23.540000000000003</v>
      </c>
      <c r="G403" s="120">
        <f t="shared" si="42"/>
        <v>22.854368932038838</v>
      </c>
      <c r="H403" s="120">
        <f t="shared" si="43"/>
        <v>22.419047619047625</v>
      </c>
      <c r="I403" s="120">
        <f t="shared" si="46"/>
        <v>21.400000000000006</v>
      </c>
      <c r="J403" s="120">
        <f t="shared" si="44"/>
        <v>26.4</v>
      </c>
      <c r="K403" s="116"/>
      <c r="L403" s="127">
        <f t="shared" si="41"/>
        <v>24</v>
      </c>
      <c r="M403" s="83"/>
    </row>
    <row r="404" spans="1:13" ht="24" customHeight="1">
      <c r="A404" s="2" t="s">
        <v>8108</v>
      </c>
      <c r="B404" s="4" t="s">
        <v>8113</v>
      </c>
      <c r="C404" s="4"/>
      <c r="D404" s="5" t="s">
        <v>8114</v>
      </c>
      <c r="E404" s="15">
        <v>680</v>
      </c>
      <c r="F404" s="120">
        <f t="shared" si="45"/>
        <v>24.253333333333334</v>
      </c>
      <c r="G404" s="120">
        <f t="shared" si="42"/>
        <v>23.546925566343045</v>
      </c>
      <c r="H404" s="120">
        <f t="shared" si="43"/>
        <v>23.098412698412702</v>
      </c>
      <c r="I404" s="120">
        <f t="shared" si="46"/>
        <v>22.048484848484851</v>
      </c>
      <c r="J404" s="120">
        <f t="shared" si="44"/>
        <v>27.2</v>
      </c>
      <c r="K404" s="116"/>
      <c r="L404" s="127">
        <f t="shared" si="41"/>
        <v>24.727272727272727</v>
      </c>
      <c r="M404" s="83"/>
    </row>
    <row r="405" spans="1:13" ht="24.95" customHeight="1">
      <c r="A405" s="2" t="s">
        <v>8172</v>
      </c>
      <c r="B405" s="19" t="s">
        <v>8174</v>
      </c>
      <c r="C405" s="19"/>
      <c r="D405" s="20" t="s">
        <v>8176</v>
      </c>
      <c r="E405" s="16">
        <v>740</v>
      </c>
      <c r="F405" s="120">
        <f t="shared" si="45"/>
        <v>26.393333333333334</v>
      </c>
      <c r="G405" s="120">
        <f t="shared" si="42"/>
        <v>25.624595469255667</v>
      </c>
      <c r="H405" s="120">
        <f t="shared" si="43"/>
        <v>25.13650793650794</v>
      </c>
      <c r="I405" s="120">
        <f t="shared" si="46"/>
        <v>23.993939393939396</v>
      </c>
      <c r="J405" s="120">
        <f t="shared" si="44"/>
        <v>29.6</v>
      </c>
      <c r="K405" s="116"/>
      <c r="L405" s="127">
        <f t="shared" si="41"/>
        <v>26.90909090909091</v>
      </c>
      <c r="M405" s="83"/>
    </row>
    <row r="406" spans="1:13" ht="24.95" customHeight="1">
      <c r="A406" s="2" t="s">
        <v>8173</v>
      </c>
      <c r="B406" s="41" t="s">
        <v>8175</v>
      </c>
      <c r="C406" s="41"/>
      <c r="D406" s="42" t="s">
        <v>8177</v>
      </c>
      <c r="E406" s="16">
        <v>660</v>
      </c>
      <c r="F406" s="120">
        <f t="shared" si="45"/>
        <v>23.540000000000003</v>
      </c>
      <c r="G406" s="120">
        <f t="shared" si="42"/>
        <v>22.854368932038838</v>
      </c>
      <c r="H406" s="120">
        <f t="shared" si="43"/>
        <v>22.419047619047625</v>
      </c>
      <c r="I406" s="120">
        <f t="shared" si="46"/>
        <v>21.400000000000006</v>
      </c>
      <c r="J406" s="120">
        <f t="shared" si="44"/>
        <v>26.4</v>
      </c>
      <c r="K406" s="116"/>
      <c r="L406" s="127">
        <f t="shared" si="41"/>
        <v>24</v>
      </c>
      <c r="M406" s="83"/>
    </row>
    <row r="407" spans="1:13" ht="24.95" customHeight="1">
      <c r="A407" s="2" t="s">
        <v>8207</v>
      </c>
      <c r="B407" s="19" t="s">
        <v>8208</v>
      </c>
      <c r="C407" s="19"/>
      <c r="D407" s="20" t="s">
        <v>8209</v>
      </c>
      <c r="E407" s="16">
        <v>710</v>
      </c>
      <c r="F407" s="120">
        <f t="shared" si="45"/>
        <v>25.323333333333334</v>
      </c>
      <c r="G407" s="120">
        <f t="shared" si="42"/>
        <v>24.585760517799354</v>
      </c>
      <c r="H407" s="120">
        <f t="shared" si="43"/>
        <v>24.117460317460321</v>
      </c>
      <c r="I407" s="120">
        <f t="shared" si="46"/>
        <v>23.021212121212123</v>
      </c>
      <c r="J407" s="120">
        <f t="shared" si="44"/>
        <v>28.4</v>
      </c>
      <c r="K407" s="116"/>
      <c r="L407" s="127">
        <f t="shared" si="41"/>
        <v>25.818181818181817</v>
      </c>
      <c r="M407" s="83"/>
    </row>
    <row r="408" spans="1:13" ht="24.95" customHeight="1">
      <c r="A408" s="2" t="s">
        <v>8374</v>
      </c>
      <c r="B408" s="19" t="s">
        <v>8375</v>
      </c>
      <c r="C408" s="19"/>
      <c r="D408" s="20" t="s">
        <v>8376</v>
      </c>
      <c r="E408" s="16">
        <v>690</v>
      </c>
      <c r="F408" s="121">
        <f t="shared" si="45"/>
        <v>24.610000000000003</v>
      </c>
      <c r="G408" s="120">
        <f t="shared" si="42"/>
        <v>23.893203883495151</v>
      </c>
      <c r="H408" s="120">
        <f t="shared" si="43"/>
        <v>23.438095238095244</v>
      </c>
      <c r="I408" s="120">
        <f t="shared" si="46"/>
        <v>22.372727272727278</v>
      </c>
      <c r="J408" s="121">
        <f t="shared" si="44"/>
        <v>27.6</v>
      </c>
      <c r="K408" s="116"/>
      <c r="L408" s="127">
        <f t="shared" si="41"/>
        <v>25.09090909090909</v>
      </c>
      <c r="M408" s="83">
        <v>45044</v>
      </c>
    </row>
    <row r="409" spans="1:13" ht="24.95" customHeight="1">
      <c r="A409" s="2" t="s">
        <v>8379</v>
      </c>
      <c r="B409" s="19" t="s">
        <v>8380</v>
      </c>
      <c r="C409" s="19"/>
      <c r="D409" s="20" t="s">
        <v>8384</v>
      </c>
      <c r="E409" s="16">
        <v>880</v>
      </c>
      <c r="F409" s="121">
        <f t="shared" si="45"/>
        <v>31.386666666666667</v>
      </c>
      <c r="G409" s="120">
        <f t="shared" si="42"/>
        <v>30.472491909385113</v>
      </c>
      <c r="H409" s="120">
        <f t="shared" si="43"/>
        <v>29.892063492063489</v>
      </c>
      <c r="I409" s="120">
        <f t="shared" si="46"/>
        <v>28.533333333333331</v>
      </c>
      <c r="J409" s="121">
        <f t="shared" si="44"/>
        <v>35.200000000000003</v>
      </c>
      <c r="K409" s="116"/>
      <c r="L409" s="127">
        <f t="shared" si="41"/>
        <v>32</v>
      </c>
      <c r="M409" s="83">
        <v>45054</v>
      </c>
    </row>
    <row r="410" spans="1:13" ht="24.95" customHeight="1">
      <c r="A410" s="2" t="s">
        <v>8394</v>
      </c>
      <c r="B410" s="19" t="s">
        <v>8395</v>
      </c>
      <c r="C410" s="19"/>
      <c r="D410" s="20" t="s">
        <v>8396</v>
      </c>
      <c r="E410" s="16">
        <v>800</v>
      </c>
      <c r="F410" s="121">
        <f t="shared" si="45"/>
        <v>28.533333333333335</v>
      </c>
      <c r="G410" s="120">
        <f t="shared" si="42"/>
        <v>27.702265372168288</v>
      </c>
      <c r="H410" s="120">
        <f t="shared" si="43"/>
        <v>27.174603174603178</v>
      </c>
      <c r="I410" s="120">
        <f t="shared" si="46"/>
        <v>25.939393939393941</v>
      </c>
      <c r="J410" s="125">
        <f t="shared" si="44"/>
        <v>32</v>
      </c>
      <c r="K410" s="116"/>
      <c r="L410" s="127">
        <f t="shared" si="41"/>
        <v>29.09090909090909</v>
      </c>
      <c r="M410" s="83"/>
    </row>
    <row r="411" spans="1:13" ht="24.95" customHeight="1">
      <c r="A411" s="2" t="s">
        <v>8447</v>
      </c>
      <c r="B411" s="19" t="s">
        <v>8448</v>
      </c>
      <c r="C411" s="19"/>
      <c r="D411" s="20" t="s">
        <v>8455</v>
      </c>
      <c r="E411" s="16">
        <v>830</v>
      </c>
      <c r="F411" s="121">
        <f t="shared" si="45"/>
        <v>29.603333333333335</v>
      </c>
      <c r="G411" s="120">
        <f t="shared" si="42"/>
        <v>28.741100323624597</v>
      </c>
      <c r="H411" s="120">
        <f t="shared" si="43"/>
        <v>28.193650793650797</v>
      </c>
      <c r="I411" s="120">
        <f t="shared" si="46"/>
        <v>26.912121212121214</v>
      </c>
      <c r="J411" s="125">
        <f t="shared" si="44"/>
        <v>33.200000000000003</v>
      </c>
      <c r="K411" s="116"/>
      <c r="L411" s="127">
        <f t="shared" si="41"/>
        <v>30.181818181818183</v>
      </c>
      <c r="M411" s="83">
        <v>45208</v>
      </c>
    </row>
    <row r="412" spans="1:13" ht="24.95" customHeight="1">
      <c r="A412" s="2" t="s">
        <v>8540</v>
      </c>
      <c r="B412" s="19" t="s">
        <v>8541</v>
      </c>
      <c r="C412" s="19"/>
      <c r="D412" s="20" t="s">
        <v>8555</v>
      </c>
      <c r="E412" s="16">
        <v>800</v>
      </c>
      <c r="F412" s="121">
        <f t="shared" si="45"/>
        <v>28.533333333333335</v>
      </c>
      <c r="G412" s="120">
        <f t="shared" si="42"/>
        <v>27.702265372168288</v>
      </c>
      <c r="H412" s="120">
        <f t="shared" si="43"/>
        <v>27.174603174603178</v>
      </c>
      <c r="I412" s="120">
        <f t="shared" si="46"/>
        <v>25.939393939393941</v>
      </c>
      <c r="J412" s="125"/>
      <c r="K412" s="116"/>
      <c r="L412" s="127">
        <f t="shared" si="41"/>
        <v>29.09090909090909</v>
      </c>
      <c r="M412" s="83">
        <v>45421</v>
      </c>
    </row>
    <row r="413" spans="1:13" ht="24.95" customHeight="1">
      <c r="A413" s="2" t="s">
        <v>8432</v>
      </c>
      <c r="B413" s="19" t="s">
        <v>8434</v>
      </c>
      <c r="C413" s="19"/>
      <c r="D413" s="20" t="s">
        <v>8435</v>
      </c>
      <c r="E413" s="16">
        <v>770</v>
      </c>
      <c r="F413" s="121">
        <f t="shared" si="45"/>
        <v>27.463333333333335</v>
      </c>
      <c r="G413" s="120">
        <f t="shared" si="42"/>
        <v>26.663430420711975</v>
      </c>
      <c r="H413" s="120">
        <f t="shared" si="43"/>
        <v>26.155555555555559</v>
      </c>
      <c r="I413" s="120">
        <f t="shared" si="46"/>
        <v>24.966666666666669</v>
      </c>
      <c r="J413" s="125">
        <f t="shared" ref="J413:J444" si="47">+(E413*1.2/30)</f>
        <v>30.8</v>
      </c>
      <c r="K413" s="116"/>
      <c r="L413" s="127">
        <f t="shared" si="41"/>
        <v>28</v>
      </c>
      <c r="M413" s="83">
        <v>45167</v>
      </c>
    </row>
    <row r="414" spans="1:13" ht="24.95" customHeight="1">
      <c r="A414" s="2" t="s">
        <v>8433</v>
      </c>
      <c r="B414" s="19" t="s">
        <v>8436</v>
      </c>
      <c r="C414" s="19"/>
      <c r="D414" s="20" t="s">
        <v>8437</v>
      </c>
      <c r="E414" s="16">
        <v>760</v>
      </c>
      <c r="F414" s="121">
        <f t="shared" si="45"/>
        <v>27.106666666666669</v>
      </c>
      <c r="G414" s="120">
        <f t="shared" si="42"/>
        <v>26.317152103559874</v>
      </c>
      <c r="H414" s="120">
        <f t="shared" si="43"/>
        <v>25.81587301587302</v>
      </c>
      <c r="I414" s="120">
        <f t="shared" si="46"/>
        <v>24.642424242424244</v>
      </c>
      <c r="J414" s="125">
        <f t="shared" si="47"/>
        <v>30.4</v>
      </c>
      <c r="K414" s="116"/>
      <c r="L414" s="127">
        <f t="shared" si="41"/>
        <v>27.636363636363637</v>
      </c>
      <c r="M414" s="83">
        <v>45167</v>
      </c>
    </row>
    <row r="415" spans="1:13" ht="24.95" customHeight="1">
      <c r="A415" s="2" t="s">
        <v>8444</v>
      </c>
      <c r="B415" s="19" t="s">
        <v>8445</v>
      </c>
      <c r="C415" s="19" t="s">
        <v>8768</v>
      </c>
      <c r="D415" s="20" t="s">
        <v>8446</v>
      </c>
      <c r="E415" s="16">
        <v>780</v>
      </c>
      <c r="F415" s="121">
        <f t="shared" si="45"/>
        <v>27.82</v>
      </c>
      <c r="G415" s="120">
        <f t="shared" si="42"/>
        <v>27.009708737864077</v>
      </c>
      <c r="H415" s="120">
        <f t="shared" si="43"/>
        <v>26.495238095238093</v>
      </c>
      <c r="I415" s="120">
        <f t="shared" si="46"/>
        <v>25.290909090909089</v>
      </c>
      <c r="J415" s="121">
        <f t="shared" si="47"/>
        <v>31.2</v>
      </c>
      <c r="K415" s="92"/>
      <c r="L415" s="127">
        <f t="shared" si="41"/>
        <v>28.363636363636363</v>
      </c>
      <c r="M415" s="83">
        <v>45208</v>
      </c>
    </row>
    <row r="416" spans="1:13" ht="24.95" customHeight="1">
      <c r="A416" s="2" t="s">
        <v>8542</v>
      </c>
      <c r="B416" s="19" t="s">
        <v>8544</v>
      </c>
      <c r="C416" s="19"/>
      <c r="D416" s="20" t="s">
        <v>8556</v>
      </c>
      <c r="E416" s="16">
        <v>820</v>
      </c>
      <c r="F416" s="121">
        <f t="shared" si="45"/>
        <v>29.24666666666667</v>
      </c>
      <c r="G416" s="120">
        <f t="shared" si="42"/>
        <v>28.394822006472495</v>
      </c>
      <c r="H416" s="120">
        <f t="shared" si="43"/>
        <v>27.853968253968258</v>
      </c>
      <c r="I416" s="120">
        <f t="shared" si="46"/>
        <v>26.58787878787879</v>
      </c>
      <c r="J416" s="121">
        <f t="shared" si="47"/>
        <v>32.799999999999997</v>
      </c>
      <c r="K416" s="92"/>
      <c r="L416" s="127">
        <f t="shared" si="41"/>
        <v>29.818181818181817</v>
      </c>
      <c r="M416" s="83">
        <v>45421</v>
      </c>
    </row>
    <row r="417" spans="1:13" ht="24.95" customHeight="1">
      <c r="A417" s="2" t="s">
        <v>8543</v>
      </c>
      <c r="B417" s="19" t="s">
        <v>8545</v>
      </c>
      <c r="C417" s="19"/>
      <c r="D417" s="20" t="s">
        <v>8557</v>
      </c>
      <c r="E417" s="16">
        <v>780</v>
      </c>
      <c r="F417" s="121">
        <f t="shared" si="45"/>
        <v>27.82</v>
      </c>
      <c r="G417" s="120">
        <f t="shared" si="42"/>
        <v>27.009708737864077</v>
      </c>
      <c r="H417" s="120">
        <f t="shared" si="43"/>
        <v>26.495238095238093</v>
      </c>
      <c r="I417" s="120">
        <f t="shared" si="46"/>
        <v>25.290909090909089</v>
      </c>
      <c r="J417" s="121">
        <f t="shared" si="47"/>
        <v>31.2</v>
      </c>
      <c r="K417" s="92"/>
      <c r="L417" s="127">
        <f t="shared" si="41"/>
        <v>28.363636363636363</v>
      </c>
      <c r="M417" s="83">
        <v>45421</v>
      </c>
    </row>
    <row r="418" spans="1:13" ht="24.95" customHeight="1">
      <c r="A418" s="2" t="s">
        <v>8457</v>
      </c>
      <c r="B418" s="19" t="s">
        <v>8458</v>
      </c>
      <c r="C418" s="19"/>
      <c r="D418" s="20" t="s">
        <v>8459</v>
      </c>
      <c r="E418" s="16">
        <v>930</v>
      </c>
      <c r="F418" s="121">
        <f t="shared" si="45"/>
        <v>33.17</v>
      </c>
      <c r="G418" s="120">
        <f t="shared" si="42"/>
        <v>32.203883495145632</v>
      </c>
      <c r="H418" s="120">
        <f t="shared" si="43"/>
        <v>31.590476190476192</v>
      </c>
      <c r="I418" s="120">
        <f t="shared" si="46"/>
        <v>30.154545454545456</v>
      </c>
      <c r="J418" s="121">
        <f t="shared" si="47"/>
        <v>37.200000000000003</v>
      </c>
      <c r="K418" s="92"/>
      <c r="L418" s="127">
        <f t="shared" si="41"/>
        <v>33.81818181818182</v>
      </c>
      <c r="M418" s="83"/>
    </row>
    <row r="419" spans="1:13" ht="24.95" customHeight="1">
      <c r="A419" s="2" t="s">
        <v>8534</v>
      </c>
      <c r="B419" s="19" t="s">
        <v>8535</v>
      </c>
      <c r="C419" s="19"/>
      <c r="D419" s="20" t="s">
        <v>8536</v>
      </c>
      <c r="E419" s="16">
        <v>740</v>
      </c>
      <c r="F419" s="121">
        <f t="shared" si="45"/>
        <v>26.393333333333334</v>
      </c>
      <c r="G419" s="120">
        <f t="shared" si="42"/>
        <v>25.624595469255667</v>
      </c>
      <c r="H419" s="120">
        <f t="shared" si="43"/>
        <v>25.13650793650794</v>
      </c>
      <c r="I419" s="120">
        <f t="shared" si="46"/>
        <v>23.993939393939396</v>
      </c>
      <c r="J419" s="121">
        <f t="shared" si="47"/>
        <v>29.6</v>
      </c>
      <c r="K419" s="92"/>
      <c r="L419" s="127">
        <f t="shared" si="41"/>
        <v>26.90909090909091</v>
      </c>
      <c r="M419" s="83">
        <v>45386</v>
      </c>
    </row>
    <row r="420" spans="1:13" ht="24.95" customHeight="1">
      <c r="A420" s="19" t="s">
        <v>8469</v>
      </c>
      <c r="B420" s="19" t="s">
        <v>8470</v>
      </c>
      <c r="C420" s="19"/>
      <c r="D420" s="20" t="s">
        <v>8503</v>
      </c>
      <c r="E420" s="16">
        <v>650</v>
      </c>
      <c r="F420" s="121">
        <f t="shared" si="45"/>
        <v>23.183333333333334</v>
      </c>
      <c r="G420" s="120">
        <f t="shared" si="42"/>
        <v>22.508090614886733</v>
      </c>
      <c r="H420" s="120">
        <f t="shared" si="43"/>
        <v>22.079365079365079</v>
      </c>
      <c r="I420" s="120">
        <f t="shared" si="46"/>
        <v>21.075757575757578</v>
      </c>
      <c r="J420" s="121">
        <f t="shared" si="47"/>
        <v>26</v>
      </c>
      <c r="K420" s="92"/>
      <c r="L420" s="127">
        <f t="shared" si="41"/>
        <v>23.636363636363637</v>
      </c>
      <c r="M420" s="83">
        <v>45329</v>
      </c>
    </row>
    <row r="421" spans="1:13" ht="24.95" customHeight="1">
      <c r="A421" s="19" t="s">
        <v>8471</v>
      </c>
      <c r="B421" s="19" t="s">
        <v>8472</v>
      </c>
      <c r="C421" s="19"/>
      <c r="D421" s="20" t="s">
        <v>8504</v>
      </c>
      <c r="E421" s="16">
        <v>700</v>
      </c>
      <c r="F421" s="121">
        <f t="shared" si="45"/>
        <v>24.966666666666665</v>
      </c>
      <c r="G421" s="120">
        <f t="shared" si="42"/>
        <v>24.239482200647249</v>
      </c>
      <c r="H421" s="120">
        <f t="shared" si="43"/>
        <v>23.777777777777775</v>
      </c>
      <c r="I421" s="120">
        <f t="shared" si="46"/>
        <v>22.696969696969695</v>
      </c>
      <c r="J421" s="121">
        <f t="shared" si="47"/>
        <v>28</v>
      </c>
      <c r="K421" s="92"/>
      <c r="L421" s="127">
        <f t="shared" si="41"/>
        <v>25.454545454545453</v>
      </c>
      <c r="M421" s="83">
        <v>45329</v>
      </c>
    </row>
    <row r="422" spans="1:13" ht="24.95" customHeight="1">
      <c r="A422" s="19" t="s">
        <v>8473</v>
      </c>
      <c r="B422" s="19" t="s">
        <v>8474</v>
      </c>
      <c r="C422" s="19"/>
      <c r="D422" s="20" t="s">
        <v>8505</v>
      </c>
      <c r="E422" s="16">
        <v>730</v>
      </c>
      <c r="F422" s="121">
        <f t="shared" si="45"/>
        <v>26.036666666666669</v>
      </c>
      <c r="G422" s="120">
        <f t="shared" si="42"/>
        <v>25.278317152103561</v>
      </c>
      <c r="H422" s="120">
        <f t="shared" si="43"/>
        <v>24.796825396825401</v>
      </c>
      <c r="I422" s="120">
        <f t="shared" si="46"/>
        <v>23.669696969696972</v>
      </c>
      <c r="J422" s="121">
        <f t="shared" si="47"/>
        <v>29.2</v>
      </c>
      <c r="K422" s="92"/>
      <c r="L422" s="127">
        <f t="shared" si="41"/>
        <v>26.545454545454547</v>
      </c>
      <c r="M422" s="83">
        <v>45329</v>
      </c>
    </row>
    <row r="423" spans="1:13" ht="24.95" customHeight="1">
      <c r="A423" s="19" t="s">
        <v>8475</v>
      </c>
      <c r="B423" s="19" t="s">
        <v>8476</v>
      </c>
      <c r="C423" s="19"/>
      <c r="D423" s="20" t="s">
        <v>8506</v>
      </c>
      <c r="E423" s="16">
        <v>660</v>
      </c>
      <c r="F423" s="121">
        <f t="shared" si="45"/>
        <v>23.540000000000003</v>
      </c>
      <c r="G423" s="120">
        <f t="shared" si="42"/>
        <v>22.854368932038838</v>
      </c>
      <c r="H423" s="120">
        <f t="shared" si="43"/>
        <v>22.419047619047625</v>
      </c>
      <c r="I423" s="120">
        <f t="shared" si="46"/>
        <v>21.400000000000006</v>
      </c>
      <c r="J423" s="121">
        <f t="shared" si="47"/>
        <v>26.4</v>
      </c>
      <c r="K423" s="92"/>
      <c r="L423" s="127">
        <f t="shared" si="41"/>
        <v>24</v>
      </c>
      <c r="M423" s="83">
        <v>45329</v>
      </c>
    </row>
    <row r="424" spans="1:13" ht="24.95" customHeight="1">
      <c r="A424" s="19" t="s">
        <v>8477</v>
      </c>
      <c r="B424" s="19" t="s">
        <v>8478</v>
      </c>
      <c r="C424" s="19"/>
      <c r="D424" s="20" t="s">
        <v>8507</v>
      </c>
      <c r="E424" s="16">
        <v>810</v>
      </c>
      <c r="F424" s="121">
        <f t="shared" si="45"/>
        <v>28.89</v>
      </c>
      <c r="G424" s="120">
        <f t="shared" si="42"/>
        <v>28.04854368932039</v>
      </c>
      <c r="H424" s="120">
        <f t="shared" si="43"/>
        <v>27.514285714285716</v>
      </c>
      <c r="I424" s="120">
        <f t="shared" si="46"/>
        <v>26.263636363636362</v>
      </c>
      <c r="J424" s="121">
        <f t="shared" si="47"/>
        <v>32.4</v>
      </c>
      <c r="K424" s="92"/>
      <c r="L424" s="127">
        <f t="shared" si="41"/>
        <v>29.454545454545453</v>
      </c>
      <c r="M424" s="83">
        <v>45329</v>
      </c>
    </row>
    <row r="425" spans="1:13" ht="24.95" customHeight="1">
      <c r="A425" s="19" t="s">
        <v>8479</v>
      </c>
      <c r="B425" s="19" t="s">
        <v>8480</v>
      </c>
      <c r="C425" s="19"/>
      <c r="D425" s="20" t="s">
        <v>8508</v>
      </c>
      <c r="E425" s="16">
        <v>660</v>
      </c>
      <c r="F425" s="121">
        <f t="shared" si="45"/>
        <v>23.540000000000003</v>
      </c>
      <c r="G425" s="120">
        <f t="shared" si="42"/>
        <v>22.854368932038838</v>
      </c>
      <c r="H425" s="120">
        <f t="shared" si="43"/>
        <v>22.419047619047625</v>
      </c>
      <c r="I425" s="120">
        <f t="shared" si="46"/>
        <v>21.400000000000006</v>
      </c>
      <c r="J425" s="121">
        <f t="shared" si="47"/>
        <v>26.4</v>
      </c>
      <c r="K425" s="116"/>
      <c r="L425" s="127">
        <f t="shared" si="41"/>
        <v>24</v>
      </c>
      <c r="M425" s="83">
        <v>45329</v>
      </c>
    </row>
    <row r="426" spans="1:13" ht="24.95" customHeight="1">
      <c r="A426" s="19" t="s">
        <v>8481</v>
      </c>
      <c r="B426" s="19" t="s">
        <v>8482</v>
      </c>
      <c r="C426" s="19"/>
      <c r="D426" s="20" t="s">
        <v>8509</v>
      </c>
      <c r="E426" s="16">
        <v>710</v>
      </c>
      <c r="F426" s="121">
        <f t="shared" si="45"/>
        <v>25.323333333333334</v>
      </c>
      <c r="G426" s="120">
        <f t="shared" si="42"/>
        <v>24.585760517799354</v>
      </c>
      <c r="H426" s="120">
        <f t="shared" si="43"/>
        <v>24.117460317460321</v>
      </c>
      <c r="I426" s="120">
        <f t="shared" si="46"/>
        <v>23.021212121212123</v>
      </c>
      <c r="J426" s="121">
        <f t="shared" si="47"/>
        <v>28.4</v>
      </c>
      <c r="K426" s="116"/>
      <c r="L426" s="127">
        <f t="shared" ref="L426:L484" si="48">+(E426*1.2/33)</f>
        <v>25.818181818181817</v>
      </c>
      <c r="M426" s="83">
        <v>45329</v>
      </c>
    </row>
    <row r="427" spans="1:13" ht="24.95" customHeight="1">
      <c r="A427" s="19" t="s">
        <v>8483</v>
      </c>
      <c r="B427" s="19" t="s">
        <v>8484</v>
      </c>
      <c r="C427" s="19"/>
      <c r="D427" s="20" t="s">
        <v>8510</v>
      </c>
      <c r="E427" s="16">
        <v>700</v>
      </c>
      <c r="F427" s="121">
        <f t="shared" si="45"/>
        <v>24.966666666666665</v>
      </c>
      <c r="G427" s="120">
        <f t="shared" si="42"/>
        <v>24.239482200647249</v>
      </c>
      <c r="H427" s="120">
        <f t="shared" si="43"/>
        <v>23.777777777777775</v>
      </c>
      <c r="I427" s="120">
        <f t="shared" si="46"/>
        <v>22.696969696969695</v>
      </c>
      <c r="J427" s="121">
        <f t="shared" si="47"/>
        <v>28</v>
      </c>
      <c r="K427" s="116"/>
      <c r="L427" s="127">
        <f t="shared" si="48"/>
        <v>25.454545454545453</v>
      </c>
      <c r="M427" s="83">
        <v>45329</v>
      </c>
    </row>
    <row r="428" spans="1:13" ht="24.95" customHeight="1">
      <c r="A428" s="19" t="s">
        <v>8485</v>
      </c>
      <c r="B428" s="19" t="s">
        <v>8486</v>
      </c>
      <c r="C428" s="19"/>
      <c r="D428" s="20" t="s">
        <v>8511</v>
      </c>
      <c r="E428" s="16">
        <v>770</v>
      </c>
      <c r="F428" s="121">
        <f t="shared" si="45"/>
        <v>27.463333333333335</v>
      </c>
      <c r="G428" s="120">
        <f t="shared" si="42"/>
        <v>26.663430420711975</v>
      </c>
      <c r="H428" s="120">
        <f t="shared" si="43"/>
        <v>26.155555555555559</v>
      </c>
      <c r="I428" s="120">
        <f t="shared" si="46"/>
        <v>24.966666666666669</v>
      </c>
      <c r="J428" s="121">
        <f t="shared" si="47"/>
        <v>30.8</v>
      </c>
      <c r="K428" s="116"/>
      <c r="L428" s="127">
        <f t="shared" si="48"/>
        <v>28</v>
      </c>
      <c r="M428" s="83">
        <v>45329</v>
      </c>
    </row>
    <row r="429" spans="1:13" ht="24.95" customHeight="1">
      <c r="A429" s="19" t="s">
        <v>8487</v>
      </c>
      <c r="B429" s="19" t="s">
        <v>8488</v>
      </c>
      <c r="C429" s="19"/>
      <c r="D429" s="20" t="s">
        <v>8512</v>
      </c>
      <c r="E429" s="16">
        <v>620</v>
      </c>
      <c r="F429" s="121">
        <f t="shared" si="45"/>
        <v>22.113333333333337</v>
      </c>
      <c r="G429" s="120">
        <f t="shared" si="42"/>
        <v>21.469255663430424</v>
      </c>
      <c r="H429" s="120">
        <f t="shared" si="43"/>
        <v>21.06031746031746</v>
      </c>
      <c r="I429" s="120">
        <f t="shared" si="46"/>
        <v>20.103030303030305</v>
      </c>
      <c r="J429" s="121">
        <f t="shared" si="47"/>
        <v>24.8</v>
      </c>
      <c r="K429" s="116"/>
      <c r="L429" s="127">
        <f t="shared" si="48"/>
        <v>22.545454545454547</v>
      </c>
      <c r="M429" s="83">
        <v>45329</v>
      </c>
    </row>
    <row r="430" spans="1:13" ht="24.95" customHeight="1">
      <c r="A430" s="19" t="s">
        <v>8489</v>
      </c>
      <c r="B430" s="19" t="s">
        <v>8490</v>
      </c>
      <c r="C430" s="19"/>
      <c r="D430" s="20" t="s">
        <v>8513</v>
      </c>
      <c r="E430" s="16">
        <v>590</v>
      </c>
      <c r="F430" s="121">
        <f t="shared" si="45"/>
        <v>21.043333333333337</v>
      </c>
      <c r="G430" s="120">
        <f t="shared" si="42"/>
        <v>20.430420711974111</v>
      </c>
      <c r="H430" s="120">
        <f t="shared" si="43"/>
        <v>20.041269841269841</v>
      </c>
      <c r="I430" s="120">
        <f t="shared" si="46"/>
        <v>19.130303030303033</v>
      </c>
      <c r="J430" s="121">
        <f t="shared" si="47"/>
        <v>23.6</v>
      </c>
      <c r="K430" s="116"/>
      <c r="L430" s="127">
        <f t="shared" si="48"/>
        <v>21.454545454545453</v>
      </c>
      <c r="M430" s="83">
        <v>45329</v>
      </c>
    </row>
    <row r="431" spans="1:13" ht="24.95" customHeight="1">
      <c r="A431" s="19" t="s">
        <v>8491</v>
      </c>
      <c r="B431" s="19" t="s">
        <v>8492</v>
      </c>
      <c r="C431" s="19" t="s">
        <v>8647</v>
      </c>
      <c r="D431" s="20" t="s">
        <v>8514</v>
      </c>
      <c r="E431" s="16">
        <v>760</v>
      </c>
      <c r="F431" s="121">
        <f t="shared" si="45"/>
        <v>27.106666666666669</v>
      </c>
      <c r="G431" s="120">
        <f t="shared" si="42"/>
        <v>26.317152103559874</v>
      </c>
      <c r="H431" s="120">
        <f t="shared" si="43"/>
        <v>25.81587301587302</v>
      </c>
      <c r="I431" s="120">
        <f t="shared" si="46"/>
        <v>24.642424242424244</v>
      </c>
      <c r="J431" s="121">
        <f t="shared" si="47"/>
        <v>30.4</v>
      </c>
      <c r="K431" s="116"/>
      <c r="L431" s="127">
        <f t="shared" si="48"/>
        <v>27.636363636363637</v>
      </c>
      <c r="M431" s="83">
        <v>45329</v>
      </c>
    </row>
    <row r="432" spans="1:13" ht="24.95" customHeight="1">
      <c r="A432" s="19" t="s">
        <v>8493</v>
      </c>
      <c r="B432" s="19" t="s">
        <v>8494</v>
      </c>
      <c r="C432" s="19"/>
      <c r="D432" s="20" t="s">
        <v>8515</v>
      </c>
      <c r="E432" s="16">
        <v>730</v>
      </c>
      <c r="F432" s="121">
        <f t="shared" si="45"/>
        <v>26.036666666666669</v>
      </c>
      <c r="G432" s="120">
        <f t="shared" si="42"/>
        <v>25.278317152103561</v>
      </c>
      <c r="H432" s="120">
        <f t="shared" si="43"/>
        <v>24.796825396825401</v>
      </c>
      <c r="I432" s="120">
        <f t="shared" si="46"/>
        <v>23.669696969696972</v>
      </c>
      <c r="J432" s="121">
        <f t="shared" si="47"/>
        <v>29.2</v>
      </c>
      <c r="K432" s="116"/>
      <c r="L432" s="127">
        <f t="shared" si="48"/>
        <v>26.545454545454547</v>
      </c>
      <c r="M432" s="83">
        <v>45329</v>
      </c>
    </row>
    <row r="433" spans="1:14" ht="24.95" customHeight="1">
      <c r="A433" s="19" t="s">
        <v>8495</v>
      </c>
      <c r="B433" s="19" t="s">
        <v>8496</v>
      </c>
      <c r="C433" s="19"/>
      <c r="D433" s="20" t="s">
        <v>8516</v>
      </c>
      <c r="E433" s="16">
        <v>750</v>
      </c>
      <c r="F433" s="121">
        <f t="shared" si="45"/>
        <v>26.75</v>
      </c>
      <c r="G433" s="120">
        <f t="shared" si="42"/>
        <v>25.970873786407768</v>
      </c>
      <c r="H433" s="120">
        <f t="shared" si="43"/>
        <v>25.476190476190474</v>
      </c>
      <c r="I433" s="120">
        <f t="shared" si="46"/>
        <v>24.318181818181817</v>
      </c>
      <c r="J433" s="121">
        <f t="shared" si="47"/>
        <v>30</v>
      </c>
      <c r="K433" s="116"/>
      <c r="L433" s="127">
        <f t="shared" si="48"/>
        <v>27.272727272727273</v>
      </c>
      <c r="M433" s="83">
        <v>45329</v>
      </c>
    </row>
    <row r="434" spans="1:14" ht="24.95" customHeight="1">
      <c r="A434" s="19" t="s">
        <v>8497</v>
      </c>
      <c r="B434" s="19" t="s">
        <v>8498</v>
      </c>
      <c r="C434" s="19"/>
      <c r="D434" s="20" t="s">
        <v>8517</v>
      </c>
      <c r="E434" s="16">
        <v>700</v>
      </c>
      <c r="F434" s="121">
        <f t="shared" si="45"/>
        <v>24.966666666666665</v>
      </c>
      <c r="G434" s="120">
        <f t="shared" si="42"/>
        <v>24.239482200647249</v>
      </c>
      <c r="H434" s="120">
        <f t="shared" si="43"/>
        <v>23.777777777777775</v>
      </c>
      <c r="I434" s="120">
        <f t="shared" si="46"/>
        <v>22.696969696969695</v>
      </c>
      <c r="J434" s="121">
        <f t="shared" si="47"/>
        <v>28</v>
      </c>
      <c r="K434" s="116"/>
      <c r="L434" s="127">
        <f t="shared" si="48"/>
        <v>25.454545454545453</v>
      </c>
      <c r="M434" s="83">
        <v>45329</v>
      </c>
    </row>
    <row r="435" spans="1:14" ht="24.95" customHeight="1">
      <c r="A435" s="19" t="s">
        <v>8499</v>
      </c>
      <c r="B435" s="19" t="s">
        <v>8500</v>
      </c>
      <c r="C435" s="19" t="s">
        <v>8679</v>
      </c>
      <c r="D435" s="20" t="s">
        <v>8518</v>
      </c>
      <c r="E435" s="16">
        <v>770</v>
      </c>
      <c r="F435" s="121">
        <f t="shared" si="45"/>
        <v>27.463333333333335</v>
      </c>
      <c r="G435" s="120">
        <f t="shared" si="42"/>
        <v>26.663430420711975</v>
      </c>
      <c r="H435" s="120">
        <f t="shared" si="43"/>
        <v>26.155555555555559</v>
      </c>
      <c r="I435" s="120">
        <f t="shared" si="46"/>
        <v>24.966666666666669</v>
      </c>
      <c r="J435" s="121">
        <f t="shared" si="47"/>
        <v>30.8</v>
      </c>
      <c r="K435" s="116"/>
      <c r="L435" s="127">
        <f t="shared" si="48"/>
        <v>28</v>
      </c>
      <c r="M435" s="83">
        <v>45329</v>
      </c>
    </row>
    <row r="436" spans="1:14" ht="24.95" customHeight="1">
      <c r="A436" s="19" t="s">
        <v>8501</v>
      </c>
      <c r="B436" s="19" t="s">
        <v>8502</v>
      </c>
      <c r="C436" s="19"/>
      <c r="D436" s="20" t="s">
        <v>8519</v>
      </c>
      <c r="E436" s="16">
        <v>800</v>
      </c>
      <c r="F436" s="121">
        <f t="shared" si="45"/>
        <v>28.533333333333335</v>
      </c>
      <c r="G436" s="120">
        <f t="shared" si="42"/>
        <v>27.702265372168288</v>
      </c>
      <c r="H436" s="120">
        <f t="shared" si="43"/>
        <v>27.174603174603178</v>
      </c>
      <c r="I436" s="120">
        <f t="shared" si="46"/>
        <v>25.939393939393941</v>
      </c>
      <c r="J436" s="121">
        <f t="shared" si="47"/>
        <v>32</v>
      </c>
      <c r="K436" s="116"/>
      <c r="L436" s="127">
        <f t="shared" si="48"/>
        <v>29.09090909090909</v>
      </c>
      <c r="M436" s="83">
        <v>45329</v>
      </c>
    </row>
    <row r="437" spans="1:14" ht="24.95" customHeight="1">
      <c r="A437" s="19" t="s">
        <v>8546</v>
      </c>
      <c r="B437" s="19" t="s">
        <v>8547</v>
      </c>
      <c r="C437" s="19"/>
      <c r="D437" s="20" t="s">
        <v>8560</v>
      </c>
      <c r="E437" s="16">
        <v>550</v>
      </c>
      <c r="F437" s="121">
        <f t="shared" si="45"/>
        <v>19.616666666666667</v>
      </c>
      <c r="G437" s="120">
        <f t="shared" si="42"/>
        <v>19.045307443365697</v>
      </c>
      <c r="H437" s="120">
        <f t="shared" si="43"/>
        <v>18.682539682539684</v>
      </c>
      <c r="I437" s="120">
        <f t="shared" si="46"/>
        <v>17.833333333333336</v>
      </c>
      <c r="J437" s="121">
        <f t="shared" si="47"/>
        <v>22</v>
      </c>
      <c r="K437" s="116"/>
      <c r="L437" s="127">
        <f t="shared" si="48"/>
        <v>20</v>
      </c>
      <c r="M437" s="83">
        <v>45421</v>
      </c>
    </row>
    <row r="438" spans="1:14" ht="24.95" customHeight="1">
      <c r="A438" s="19" t="s">
        <v>8527</v>
      </c>
      <c r="B438" s="19" t="s">
        <v>8526</v>
      </c>
      <c r="C438" s="19"/>
      <c r="D438" s="20" t="s">
        <v>8528</v>
      </c>
      <c r="E438" s="16">
        <v>740</v>
      </c>
      <c r="F438" s="121">
        <f t="shared" si="45"/>
        <v>26.393333333333334</v>
      </c>
      <c r="G438" s="120">
        <f t="shared" si="42"/>
        <v>25.624595469255667</v>
      </c>
      <c r="H438" s="120">
        <f t="shared" si="43"/>
        <v>25.13650793650794</v>
      </c>
      <c r="I438" s="120">
        <f t="shared" si="46"/>
        <v>23.993939393939396</v>
      </c>
      <c r="J438" s="121">
        <f t="shared" si="47"/>
        <v>29.6</v>
      </c>
      <c r="K438" s="116"/>
      <c r="L438" s="127">
        <f t="shared" si="48"/>
        <v>26.90909090909091</v>
      </c>
      <c r="M438" s="83">
        <v>45339</v>
      </c>
    </row>
    <row r="439" spans="1:14" ht="24.95" customHeight="1">
      <c r="A439" s="19" t="s">
        <v>8524</v>
      </c>
      <c r="B439" s="19" t="s">
        <v>8525</v>
      </c>
      <c r="C439" s="19"/>
      <c r="D439" s="20" t="s">
        <v>8523</v>
      </c>
      <c r="E439" s="16">
        <v>670</v>
      </c>
      <c r="F439" s="121">
        <f t="shared" si="45"/>
        <v>23.896666666666668</v>
      </c>
      <c r="G439" s="120">
        <f t="shared" si="42"/>
        <v>23.20064724919094</v>
      </c>
      <c r="H439" s="120">
        <f t="shared" si="43"/>
        <v>22.758730158730163</v>
      </c>
      <c r="I439" s="120">
        <f t="shared" si="46"/>
        <v>21.724242424242426</v>
      </c>
      <c r="J439" s="121">
        <f t="shared" si="47"/>
        <v>26.8</v>
      </c>
      <c r="K439" s="116"/>
      <c r="L439" s="127">
        <f t="shared" si="48"/>
        <v>24.363636363636363</v>
      </c>
      <c r="M439" s="83">
        <v>45338</v>
      </c>
    </row>
    <row r="440" spans="1:14" ht="24.95" customHeight="1">
      <c r="A440" s="19" t="s">
        <v>8548</v>
      </c>
      <c r="B440" s="19" t="s">
        <v>8549</v>
      </c>
      <c r="C440" s="19"/>
      <c r="D440" s="20" t="s">
        <v>8559</v>
      </c>
      <c r="E440" s="16">
        <v>680</v>
      </c>
      <c r="F440" s="121">
        <f t="shared" si="45"/>
        <v>24.253333333333334</v>
      </c>
      <c r="G440" s="120">
        <f t="shared" si="42"/>
        <v>23.546925566343045</v>
      </c>
      <c r="H440" s="120">
        <f t="shared" si="43"/>
        <v>23.098412698412702</v>
      </c>
      <c r="I440" s="120">
        <f t="shared" si="46"/>
        <v>22.048484848484851</v>
      </c>
      <c r="J440" s="121">
        <f t="shared" si="47"/>
        <v>27.2</v>
      </c>
      <c r="K440" s="116"/>
      <c r="L440" s="127">
        <f t="shared" si="48"/>
        <v>24.727272727272727</v>
      </c>
      <c r="M440" s="83">
        <v>45421</v>
      </c>
    </row>
    <row r="441" spans="1:14" ht="24.95" customHeight="1">
      <c r="A441" s="19" t="s">
        <v>8550</v>
      </c>
      <c r="B441" s="19" t="s">
        <v>8551</v>
      </c>
      <c r="C441" s="19"/>
      <c r="D441" s="20" t="s">
        <v>8558</v>
      </c>
      <c r="E441" s="16">
        <v>700</v>
      </c>
      <c r="F441" s="121">
        <f t="shared" si="45"/>
        <v>24.966666666666665</v>
      </c>
      <c r="G441" s="120">
        <f t="shared" si="42"/>
        <v>24.239482200647249</v>
      </c>
      <c r="H441" s="120">
        <f t="shared" si="43"/>
        <v>23.777777777777775</v>
      </c>
      <c r="I441" s="120">
        <f t="shared" si="46"/>
        <v>22.696969696969695</v>
      </c>
      <c r="J441" s="121">
        <f t="shared" si="47"/>
        <v>28</v>
      </c>
      <c r="K441" s="116"/>
      <c r="L441" s="127">
        <f t="shared" si="48"/>
        <v>25.454545454545453</v>
      </c>
      <c r="M441" s="83">
        <v>45421</v>
      </c>
    </row>
    <row r="442" spans="1:14" ht="24.95" customHeight="1">
      <c r="A442" s="141" t="s">
        <v>8710</v>
      </c>
      <c r="B442" s="141" t="s">
        <v>8697</v>
      </c>
      <c r="C442" s="19"/>
      <c r="D442" s="142" t="s">
        <v>8723</v>
      </c>
      <c r="E442" s="145">
        <v>660</v>
      </c>
      <c r="F442" s="122">
        <f t="shared" si="45"/>
        <v>23.540000000000003</v>
      </c>
      <c r="G442" s="122">
        <f t="shared" si="42"/>
        <v>22.854368932038838</v>
      </c>
      <c r="H442" s="122">
        <f t="shared" si="43"/>
        <v>22.419047619047625</v>
      </c>
      <c r="I442" s="122">
        <f t="shared" si="46"/>
        <v>21.400000000000006</v>
      </c>
      <c r="J442" s="122">
        <f t="shared" si="47"/>
        <v>26.4</v>
      </c>
      <c r="K442" s="116"/>
      <c r="L442" s="128">
        <f t="shared" si="48"/>
        <v>24</v>
      </c>
      <c r="M442" s="85"/>
    </row>
    <row r="443" spans="1:14" ht="24.95" customHeight="1">
      <c r="A443" s="19" t="s">
        <v>8587</v>
      </c>
      <c r="B443" s="19" t="s">
        <v>8588</v>
      </c>
      <c r="C443" s="19"/>
      <c r="D443" s="20" t="s">
        <v>8589</v>
      </c>
      <c r="E443" s="16">
        <v>1060</v>
      </c>
      <c r="F443" s="121">
        <f t="shared" si="45"/>
        <v>37.806666666666665</v>
      </c>
      <c r="G443" s="121">
        <f t="shared" si="42"/>
        <v>36.705501618122973</v>
      </c>
      <c r="H443" s="121">
        <f t="shared" si="43"/>
        <v>36.006349206349206</v>
      </c>
      <c r="I443" s="121">
        <f t="shared" si="46"/>
        <v>34.369696969696967</v>
      </c>
      <c r="J443" s="121">
        <f t="shared" si="47"/>
        <v>42.4</v>
      </c>
      <c r="K443" s="92"/>
      <c r="L443" s="128">
        <f t="shared" si="48"/>
        <v>38.545454545454547</v>
      </c>
      <c r="M443" s="85"/>
    </row>
    <row r="444" spans="1:14" ht="24.95" customHeight="1">
      <c r="A444" s="19" t="s">
        <v>8581</v>
      </c>
      <c r="B444" s="19" t="s">
        <v>8583</v>
      </c>
      <c r="C444" s="19"/>
      <c r="D444" s="20" t="s">
        <v>8585</v>
      </c>
      <c r="E444" s="16">
        <v>680</v>
      </c>
      <c r="F444" s="121">
        <f t="shared" si="45"/>
        <v>24.253333333333334</v>
      </c>
      <c r="G444" s="121">
        <f t="shared" si="42"/>
        <v>23.546925566343045</v>
      </c>
      <c r="H444" s="121">
        <f t="shared" si="43"/>
        <v>23.098412698412702</v>
      </c>
      <c r="I444" s="121">
        <f t="shared" si="46"/>
        <v>22.048484848484851</v>
      </c>
      <c r="J444" s="121">
        <f t="shared" si="47"/>
        <v>27.2</v>
      </c>
      <c r="K444" s="92"/>
      <c r="L444" s="128">
        <f t="shared" si="48"/>
        <v>24.727272727272727</v>
      </c>
      <c r="M444" s="84"/>
    </row>
    <row r="445" spans="1:14" ht="24.95" customHeight="1">
      <c r="A445" s="19" t="s">
        <v>8582</v>
      </c>
      <c r="B445" s="19" t="s">
        <v>8584</v>
      </c>
      <c r="C445" s="19"/>
      <c r="D445" s="20" t="s">
        <v>8586</v>
      </c>
      <c r="E445" s="16">
        <v>720</v>
      </c>
      <c r="F445" s="121">
        <f t="shared" si="45"/>
        <v>25.680000000000003</v>
      </c>
      <c r="G445" s="121">
        <f t="shared" si="42"/>
        <v>24.932038834951459</v>
      </c>
      <c r="H445" s="121">
        <f t="shared" si="43"/>
        <v>24.457142857142863</v>
      </c>
      <c r="I445" s="121">
        <f t="shared" si="46"/>
        <v>23.345454545454551</v>
      </c>
      <c r="J445" s="121">
        <f t="shared" ref="J445:J476" si="49">+(E445*1.2/30)</f>
        <v>28.8</v>
      </c>
      <c r="K445" s="92"/>
      <c r="L445" s="128">
        <f t="shared" si="48"/>
        <v>26.181818181818183</v>
      </c>
      <c r="M445" s="84"/>
    </row>
    <row r="446" spans="1:14" ht="24.95" customHeight="1">
      <c r="A446" s="141" t="s">
        <v>8711</v>
      </c>
      <c r="B446" s="141" t="s">
        <v>8698</v>
      </c>
      <c r="C446" s="19"/>
      <c r="D446" s="142" t="s">
        <v>8724</v>
      </c>
      <c r="E446" s="145">
        <v>710</v>
      </c>
      <c r="F446" s="122">
        <f t="shared" si="45"/>
        <v>25.323333333333334</v>
      </c>
      <c r="G446" s="122">
        <f t="shared" si="42"/>
        <v>24.585760517799354</v>
      </c>
      <c r="H446" s="122">
        <f t="shared" si="43"/>
        <v>24.117460317460321</v>
      </c>
      <c r="I446" s="122">
        <f t="shared" si="46"/>
        <v>23.021212121212123</v>
      </c>
      <c r="J446" s="122">
        <f t="shared" si="49"/>
        <v>28.4</v>
      </c>
      <c r="K446" s="116"/>
      <c r="L446" s="128">
        <f t="shared" si="48"/>
        <v>25.818181818181817</v>
      </c>
      <c r="M446" s="85"/>
    </row>
    <row r="447" spans="1:14" ht="24.95" customHeight="1">
      <c r="A447" s="19" t="s">
        <v>8591</v>
      </c>
      <c r="B447" s="19" t="s">
        <v>8592</v>
      </c>
      <c r="C447" s="19"/>
      <c r="D447" s="20" t="s">
        <v>8595</v>
      </c>
      <c r="E447" s="16">
        <v>710</v>
      </c>
      <c r="F447" s="122">
        <f t="shared" si="45"/>
        <v>25.323333333333334</v>
      </c>
      <c r="G447" s="122">
        <f t="shared" si="42"/>
        <v>24.585760517799354</v>
      </c>
      <c r="H447" s="122">
        <f t="shared" si="43"/>
        <v>24.117460317460321</v>
      </c>
      <c r="I447" s="122">
        <f t="shared" si="46"/>
        <v>23.021212121212123</v>
      </c>
      <c r="J447" s="122">
        <f t="shared" si="49"/>
        <v>28.4</v>
      </c>
      <c r="K447" s="116"/>
      <c r="L447" s="128">
        <f t="shared" si="48"/>
        <v>25.818181818181817</v>
      </c>
      <c r="M447" s="85"/>
      <c r="N447" s="129">
        <v>45608</v>
      </c>
    </row>
    <row r="448" spans="1:14" ht="24.95" customHeight="1">
      <c r="A448" s="19" t="s">
        <v>8593</v>
      </c>
      <c r="B448" s="19" t="s">
        <v>8594</v>
      </c>
      <c r="C448" s="19"/>
      <c r="D448" s="20" t="s">
        <v>8596</v>
      </c>
      <c r="E448" s="16">
        <v>930</v>
      </c>
      <c r="F448" s="122">
        <f t="shared" si="45"/>
        <v>33.17</v>
      </c>
      <c r="G448" s="122">
        <f t="shared" si="42"/>
        <v>32.203883495145632</v>
      </c>
      <c r="H448" s="122">
        <f t="shared" si="43"/>
        <v>31.590476190476192</v>
      </c>
      <c r="I448" s="122">
        <f t="shared" si="46"/>
        <v>30.154545454545456</v>
      </c>
      <c r="J448" s="122">
        <f t="shared" si="49"/>
        <v>37.200000000000003</v>
      </c>
      <c r="K448" s="116"/>
      <c r="L448" s="128">
        <f t="shared" si="48"/>
        <v>33.81818181818182</v>
      </c>
      <c r="M448" s="85"/>
      <c r="N448" s="129">
        <v>45608</v>
      </c>
    </row>
    <row r="449" spans="1:13" ht="24.95" customHeight="1">
      <c r="A449" s="19" t="s">
        <v>8617</v>
      </c>
      <c r="B449" s="19" t="s">
        <v>8618</v>
      </c>
      <c r="C449" s="19"/>
      <c r="D449" s="20" t="s">
        <v>8619</v>
      </c>
      <c r="E449" s="16">
        <v>750</v>
      </c>
      <c r="F449" s="122">
        <f t="shared" si="45"/>
        <v>26.75</v>
      </c>
      <c r="G449" s="122">
        <f t="shared" si="42"/>
        <v>25.970873786407768</v>
      </c>
      <c r="H449" s="122">
        <f t="shared" si="43"/>
        <v>25.476190476190474</v>
      </c>
      <c r="I449" s="122">
        <f t="shared" si="46"/>
        <v>24.318181818181817</v>
      </c>
      <c r="J449" s="122">
        <f t="shared" si="49"/>
        <v>30</v>
      </c>
      <c r="K449" s="116"/>
      <c r="L449" s="128">
        <f t="shared" si="48"/>
        <v>27.272727272727273</v>
      </c>
      <c r="M449" s="85"/>
    </row>
    <row r="450" spans="1:13" ht="24.95" customHeight="1">
      <c r="A450" s="141" t="s">
        <v>8712</v>
      </c>
      <c r="B450" s="141" t="s">
        <v>8699</v>
      </c>
      <c r="C450" s="19"/>
      <c r="D450" s="142" t="s">
        <v>8725</v>
      </c>
      <c r="E450" s="145">
        <v>690</v>
      </c>
      <c r="F450" s="122">
        <f t="shared" si="45"/>
        <v>24.610000000000003</v>
      </c>
      <c r="G450" s="122">
        <f t="shared" si="42"/>
        <v>23.893203883495151</v>
      </c>
      <c r="H450" s="122">
        <f t="shared" si="43"/>
        <v>23.438095238095244</v>
      </c>
      <c r="I450" s="122">
        <f t="shared" si="46"/>
        <v>22.372727272727278</v>
      </c>
      <c r="J450" s="122">
        <f t="shared" si="49"/>
        <v>27.6</v>
      </c>
      <c r="K450" s="116"/>
      <c r="L450" s="128">
        <f t="shared" si="48"/>
        <v>25.09090909090909</v>
      </c>
      <c r="M450" s="85"/>
    </row>
    <row r="451" spans="1:13" ht="24.95" customHeight="1">
      <c r="A451" s="141" t="s">
        <v>8713</v>
      </c>
      <c r="B451" s="141" t="s">
        <v>8700</v>
      </c>
      <c r="C451" s="19"/>
      <c r="D451" s="142" t="s">
        <v>8726</v>
      </c>
      <c r="E451" s="145">
        <v>690</v>
      </c>
      <c r="F451" s="122">
        <f t="shared" si="45"/>
        <v>24.610000000000003</v>
      </c>
      <c r="G451" s="122">
        <f t="shared" si="42"/>
        <v>23.893203883495151</v>
      </c>
      <c r="H451" s="122">
        <f t="shared" si="43"/>
        <v>23.438095238095244</v>
      </c>
      <c r="I451" s="122">
        <f t="shared" si="46"/>
        <v>22.372727272727278</v>
      </c>
      <c r="J451" s="122">
        <f t="shared" si="49"/>
        <v>27.6</v>
      </c>
      <c r="K451" s="116"/>
      <c r="L451" s="128">
        <f t="shared" si="48"/>
        <v>25.09090909090909</v>
      </c>
      <c r="M451" s="85"/>
    </row>
    <row r="452" spans="1:13" ht="24.95" customHeight="1">
      <c r="A452" s="141" t="s">
        <v>8714</v>
      </c>
      <c r="B452" s="141" t="s">
        <v>8701</v>
      </c>
      <c r="C452" s="19"/>
      <c r="D452" s="142" t="s">
        <v>8727</v>
      </c>
      <c r="E452" s="145">
        <v>740</v>
      </c>
      <c r="F452" s="122">
        <f t="shared" si="45"/>
        <v>26.393333333333334</v>
      </c>
      <c r="G452" s="122">
        <f t="shared" ref="G452:G484" si="50">F452*100/103</f>
        <v>25.624595469255667</v>
      </c>
      <c r="H452" s="122">
        <f t="shared" ref="H452:H484" si="51">F452*100/105</f>
        <v>25.13650793650794</v>
      </c>
      <c r="I452" s="122">
        <f t="shared" si="46"/>
        <v>23.993939393939396</v>
      </c>
      <c r="J452" s="122">
        <f t="shared" si="49"/>
        <v>29.6</v>
      </c>
      <c r="K452" s="116"/>
      <c r="L452" s="128">
        <f t="shared" si="48"/>
        <v>26.90909090909091</v>
      </c>
      <c r="M452" s="85"/>
    </row>
    <row r="453" spans="1:13" ht="24.95" customHeight="1">
      <c r="A453" s="19" t="s">
        <v>8613</v>
      </c>
      <c r="B453" s="19" t="s">
        <v>8614</v>
      </c>
      <c r="C453" s="19"/>
      <c r="D453" s="20" t="s">
        <v>8615</v>
      </c>
      <c r="E453" s="16">
        <v>740</v>
      </c>
      <c r="F453" s="122">
        <f t="shared" si="45"/>
        <v>26.393333333333334</v>
      </c>
      <c r="G453" s="122">
        <f t="shared" si="50"/>
        <v>25.624595469255667</v>
      </c>
      <c r="H453" s="122">
        <f t="shared" si="51"/>
        <v>25.13650793650794</v>
      </c>
      <c r="I453" s="122">
        <f t="shared" si="46"/>
        <v>23.993939393939396</v>
      </c>
      <c r="J453" s="122">
        <f t="shared" si="49"/>
        <v>29.6</v>
      </c>
      <c r="K453" s="116"/>
      <c r="L453" s="128">
        <f t="shared" si="48"/>
        <v>26.90909090909091</v>
      </c>
      <c r="M453" s="85"/>
    </row>
    <row r="454" spans="1:13" ht="24.95" customHeight="1">
      <c r="A454" s="19" t="s">
        <v>8622</v>
      </c>
      <c r="B454" s="19" t="s">
        <v>8621</v>
      </c>
      <c r="C454" s="19"/>
      <c r="D454" s="20" t="s">
        <v>8623</v>
      </c>
      <c r="E454" s="16">
        <v>1000</v>
      </c>
      <c r="F454" s="122">
        <f t="shared" ref="F454:F484" si="52">+(E454*1.07/30)</f>
        <v>35.666666666666664</v>
      </c>
      <c r="G454" s="122">
        <f t="shared" si="50"/>
        <v>34.627831715210355</v>
      </c>
      <c r="H454" s="122">
        <f t="shared" si="51"/>
        <v>33.968253968253968</v>
      </c>
      <c r="I454" s="122">
        <f t="shared" si="46"/>
        <v>32.424242424242422</v>
      </c>
      <c r="J454" s="122">
        <f t="shared" si="49"/>
        <v>40</v>
      </c>
      <c r="K454" s="116"/>
      <c r="L454" s="128">
        <f t="shared" si="48"/>
        <v>36.363636363636367</v>
      </c>
      <c r="M454" s="85"/>
    </row>
    <row r="455" spans="1:13" ht="24.95" customHeight="1">
      <c r="A455" s="19" t="s">
        <v>8787</v>
      </c>
      <c r="B455" s="19" t="s">
        <v>8788</v>
      </c>
      <c r="C455" s="19"/>
      <c r="D455" s="20" t="s">
        <v>8789</v>
      </c>
      <c r="E455" s="16">
        <v>710</v>
      </c>
      <c r="F455" s="122">
        <f t="shared" si="52"/>
        <v>25.323333333333334</v>
      </c>
      <c r="G455" s="122">
        <f t="shared" si="50"/>
        <v>24.585760517799354</v>
      </c>
      <c r="H455" s="122">
        <f t="shared" si="51"/>
        <v>24.117460317460321</v>
      </c>
      <c r="I455" s="122">
        <f t="shared" si="46"/>
        <v>23.021212121212123</v>
      </c>
      <c r="J455" s="122">
        <f t="shared" si="49"/>
        <v>28.4</v>
      </c>
      <c r="K455" s="116"/>
      <c r="L455" s="128">
        <f t="shared" si="48"/>
        <v>25.818181818181817</v>
      </c>
      <c r="M455" s="85"/>
    </row>
    <row r="456" spans="1:13" ht="24.95" customHeight="1">
      <c r="A456" s="141" t="s">
        <v>8715</v>
      </c>
      <c r="B456" s="141" t="s">
        <v>8702</v>
      </c>
      <c r="C456" s="19"/>
      <c r="D456" s="142" t="s">
        <v>8728</v>
      </c>
      <c r="E456" s="145">
        <v>780</v>
      </c>
      <c r="F456" s="122">
        <f t="shared" si="52"/>
        <v>27.82</v>
      </c>
      <c r="G456" s="122">
        <f t="shared" si="50"/>
        <v>27.009708737864077</v>
      </c>
      <c r="H456" s="122">
        <f t="shared" si="51"/>
        <v>26.495238095238093</v>
      </c>
      <c r="I456" s="122">
        <f t="shared" si="46"/>
        <v>25.290909090909089</v>
      </c>
      <c r="J456" s="122">
        <f t="shared" si="49"/>
        <v>31.2</v>
      </c>
      <c r="K456" s="116"/>
      <c r="L456" s="128">
        <f t="shared" si="48"/>
        <v>28.363636363636363</v>
      </c>
      <c r="M456" s="85"/>
    </row>
    <row r="457" spans="1:13" ht="24.95" customHeight="1">
      <c r="A457" s="141" t="s">
        <v>8716</v>
      </c>
      <c r="B457" s="141" t="s">
        <v>8703</v>
      </c>
      <c r="C457" s="19"/>
      <c r="D457" s="142" t="s">
        <v>8729</v>
      </c>
      <c r="E457" s="145">
        <v>740</v>
      </c>
      <c r="F457" s="122">
        <f t="shared" si="52"/>
        <v>26.393333333333334</v>
      </c>
      <c r="G457" s="122">
        <f t="shared" si="50"/>
        <v>25.624595469255667</v>
      </c>
      <c r="H457" s="122">
        <f t="shared" si="51"/>
        <v>25.13650793650794</v>
      </c>
      <c r="I457" s="122">
        <f t="shared" ref="I457:I484" si="53">F457*100/110</f>
        <v>23.993939393939396</v>
      </c>
      <c r="J457" s="122">
        <f t="shared" si="49"/>
        <v>29.6</v>
      </c>
      <c r="K457" s="116"/>
      <c r="L457" s="128">
        <f t="shared" si="48"/>
        <v>26.90909090909091</v>
      </c>
      <c r="M457" s="85"/>
    </row>
    <row r="458" spans="1:13" ht="24.95" customHeight="1">
      <c r="A458" s="141" t="s">
        <v>8717</v>
      </c>
      <c r="B458" s="141" t="s">
        <v>8704</v>
      </c>
      <c r="C458" s="19"/>
      <c r="D458" s="142" t="s">
        <v>8730</v>
      </c>
      <c r="E458" s="145">
        <v>760</v>
      </c>
      <c r="F458" s="122">
        <f t="shared" si="52"/>
        <v>27.106666666666669</v>
      </c>
      <c r="G458" s="122">
        <f t="shared" si="50"/>
        <v>26.317152103559874</v>
      </c>
      <c r="H458" s="122">
        <f t="shared" si="51"/>
        <v>25.81587301587302</v>
      </c>
      <c r="I458" s="122">
        <f t="shared" si="53"/>
        <v>24.642424242424244</v>
      </c>
      <c r="J458" s="122">
        <f t="shared" si="49"/>
        <v>30.4</v>
      </c>
      <c r="K458" s="116"/>
      <c r="L458" s="128">
        <f t="shared" si="48"/>
        <v>27.636363636363637</v>
      </c>
      <c r="M458" s="85"/>
    </row>
    <row r="459" spans="1:13" ht="24.95" customHeight="1">
      <c r="A459" s="19" t="s">
        <v>8793</v>
      </c>
      <c r="B459" s="19" t="s">
        <v>8794</v>
      </c>
      <c r="C459" s="19"/>
      <c r="D459" s="20" t="s">
        <v>8795</v>
      </c>
      <c r="E459" s="16">
        <v>690</v>
      </c>
      <c r="F459" s="122">
        <f t="shared" si="52"/>
        <v>24.610000000000003</v>
      </c>
      <c r="G459" s="122">
        <f t="shared" si="50"/>
        <v>23.893203883495151</v>
      </c>
      <c r="H459" s="122">
        <f t="shared" si="51"/>
        <v>23.438095238095244</v>
      </c>
      <c r="I459" s="122">
        <f t="shared" si="53"/>
        <v>22.372727272727278</v>
      </c>
      <c r="J459" s="122">
        <f t="shared" si="49"/>
        <v>27.6</v>
      </c>
      <c r="K459" s="116"/>
      <c r="L459" s="128">
        <f t="shared" si="48"/>
        <v>25.09090909090909</v>
      </c>
      <c r="M459" s="85"/>
    </row>
    <row r="460" spans="1:13" ht="24.95" customHeight="1">
      <c r="A460" s="19" t="s">
        <v>8799</v>
      </c>
      <c r="B460" s="19" t="s">
        <v>8802</v>
      </c>
      <c r="C460" s="19"/>
      <c r="D460" s="20" t="s">
        <v>8805</v>
      </c>
      <c r="E460" s="16">
        <v>720</v>
      </c>
      <c r="F460" s="122">
        <f t="shared" si="52"/>
        <v>25.680000000000003</v>
      </c>
      <c r="G460" s="122">
        <f t="shared" si="50"/>
        <v>24.932038834951459</v>
      </c>
      <c r="H460" s="122">
        <f t="shared" si="51"/>
        <v>24.457142857142863</v>
      </c>
      <c r="I460" s="122">
        <f t="shared" si="53"/>
        <v>23.345454545454551</v>
      </c>
      <c r="J460" s="122">
        <f t="shared" si="49"/>
        <v>28.8</v>
      </c>
      <c r="K460" s="116"/>
      <c r="L460" s="128">
        <f t="shared" si="48"/>
        <v>26.181818181818183</v>
      </c>
      <c r="M460" s="85"/>
    </row>
    <row r="461" spans="1:13" ht="24.95" customHeight="1">
      <c r="A461" s="141" t="s">
        <v>8718</v>
      </c>
      <c r="B461" s="141" t="s">
        <v>8705</v>
      </c>
      <c r="C461" s="19"/>
      <c r="D461" s="142" t="s">
        <v>8731</v>
      </c>
      <c r="E461" s="145">
        <v>750</v>
      </c>
      <c r="F461" s="122">
        <f t="shared" si="52"/>
        <v>26.75</v>
      </c>
      <c r="G461" s="122">
        <f t="shared" si="50"/>
        <v>25.970873786407768</v>
      </c>
      <c r="H461" s="122">
        <f t="shared" si="51"/>
        <v>25.476190476190474</v>
      </c>
      <c r="I461" s="122">
        <f t="shared" si="53"/>
        <v>24.318181818181817</v>
      </c>
      <c r="J461" s="122">
        <f t="shared" si="49"/>
        <v>30</v>
      </c>
      <c r="K461" s="116"/>
      <c r="L461" s="128">
        <f t="shared" si="48"/>
        <v>27.272727272727273</v>
      </c>
      <c r="M461" s="85"/>
    </row>
    <row r="462" spans="1:13" ht="24.95" customHeight="1">
      <c r="A462" s="19" t="s">
        <v>8760</v>
      </c>
      <c r="B462" s="19" t="s">
        <v>8751</v>
      </c>
      <c r="C462" s="19"/>
      <c r="D462" s="20" t="s">
        <v>8755</v>
      </c>
      <c r="E462" s="16">
        <v>760</v>
      </c>
      <c r="F462" s="122">
        <f t="shared" si="52"/>
        <v>27.106666666666669</v>
      </c>
      <c r="G462" s="122">
        <f t="shared" si="50"/>
        <v>26.317152103559874</v>
      </c>
      <c r="H462" s="122">
        <f t="shared" si="51"/>
        <v>25.81587301587302</v>
      </c>
      <c r="I462" s="122">
        <f t="shared" si="53"/>
        <v>24.642424242424244</v>
      </c>
      <c r="J462" s="122">
        <f t="shared" si="49"/>
        <v>30.4</v>
      </c>
      <c r="K462" s="116"/>
      <c r="L462" s="128">
        <f t="shared" si="48"/>
        <v>27.636363636363637</v>
      </c>
      <c r="M462" s="85"/>
    </row>
    <row r="463" spans="1:13" ht="24.95" customHeight="1">
      <c r="A463" s="19" t="s">
        <v>8774</v>
      </c>
      <c r="B463" s="19" t="s">
        <v>8771</v>
      </c>
      <c r="C463" s="19"/>
      <c r="D463" s="20" t="s">
        <v>8778</v>
      </c>
      <c r="E463" s="16">
        <v>740</v>
      </c>
      <c r="F463" s="122">
        <f t="shared" si="52"/>
        <v>26.393333333333334</v>
      </c>
      <c r="G463" s="122">
        <f t="shared" si="50"/>
        <v>25.624595469255667</v>
      </c>
      <c r="H463" s="122">
        <f t="shared" si="51"/>
        <v>25.13650793650794</v>
      </c>
      <c r="I463" s="122">
        <f t="shared" si="53"/>
        <v>23.993939393939396</v>
      </c>
      <c r="J463" s="122">
        <f t="shared" si="49"/>
        <v>29.6</v>
      </c>
      <c r="K463" s="116"/>
      <c r="L463" s="128">
        <f t="shared" si="48"/>
        <v>26.90909090909091</v>
      </c>
      <c r="M463" s="85"/>
    </row>
    <row r="464" spans="1:13" ht="24.95" customHeight="1">
      <c r="A464" s="19" t="s">
        <v>8783</v>
      </c>
      <c r="B464" s="19" t="s">
        <v>8782</v>
      </c>
      <c r="C464" s="19"/>
      <c r="D464" s="20" t="s">
        <v>8781</v>
      </c>
      <c r="E464" s="16">
        <v>650</v>
      </c>
      <c r="F464" s="122">
        <f t="shared" si="52"/>
        <v>23.183333333333334</v>
      </c>
      <c r="G464" s="122">
        <f t="shared" si="50"/>
        <v>22.508090614886733</v>
      </c>
      <c r="H464" s="122">
        <f t="shared" si="51"/>
        <v>22.079365079365079</v>
      </c>
      <c r="I464" s="122">
        <f t="shared" si="53"/>
        <v>21.075757575757578</v>
      </c>
      <c r="J464" s="122">
        <f t="shared" si="49"/>
        <v>26</v>
      </c>
      <c r="K464" s="116"/>
      <c r="L464" s="128">
        <f t="shared" si="48"/>
        <v>23.636363636363637</v>
      </c>
      <c r="M464" s="85"/>
    </row>
    <row r="465" spans="1:13" ht="24.95" customHeight="1">
      <c r="A465" s="141" t="s">
        <v>8719</v>
      </c>
      <c r="B465" s="141" t="s">
        <v>8706</v>
      </c>
      <c r="C465" s="19"/>
      <c r="D465" s="142" t="s">
        <v>8732</v>
      </c>
      <c r="E465" s="145">
        <v>690</v>
      </c>
      <c r="F465" s="122">
        <f t="shared" si="52"/>
        <v>24.610000000000003</v>
      </c>
      <c r="G465" s="122">
        <f t="shared" si="50"/>
        <v>23.893203883495151</v>
      </c>
      <c r="H465" s="122">
        <f t="shared" si="51"/>
        <v>23.438095238095244</v>
      </c>
      <c r="I465" s="122">
        <f t="shared" si="53"/>
        <v>22.372727272727278</v>
      </c>
      <c r="J465" s="122">
        <f t="shared" si="49"/>
        <v>27.6</v>
      </c>
      <c r="K465" s="116"/>
      <c r="L465" s="128">
        <f t="shared" si="48"/>
        <v>25.09090909090909</v>
      </c>
      <c r="M465" s="85"/>
    </row>
    <row r="466" spans="1:13" ht="24.95" customHeight="1">
      <c r="A466" s="19" t="s">
        <v>8800</v>
      </c>
      <c r="B466" s="19" t="s">
        <v>8803</v>
      </c>
      <c r="C466" s="19"/>
      <c r="D466" s="20" t="s">
        <v>8806</v>
      </c>
      <c r="E466" s="16">
        <v>730</v>
      </c>
      <c r="F466" s="122">
        <f t="shared" si="52"/>
        <v>26.036666666666669</v>
      </c>
      <c r="G466" s="122">
        <f t="shared" si="50"/>
        <v>25.278317152103561</v>
      </c>
      <c r="H466" s="122">
        <f t="shared" si="51"/>
        <v>24.796825396825401</v>
      </c>
      <c r="I466" s="122">
        <f t="shared" si="53"/>
        <v>23.669696969696972</v>
      </c>
      <c r="J466" s="122">
        <f t="shared" si="49"/>
        <v>29.2</v>
      </c>
      <c r="K466" s="116"/>
      <c r="L466" s="128">
        <f t="shared" si="48"/>
        <v>26.545454545454547</v>
      </c>
      <c r="M466" s="85"/>
    </row>
    <row r="467" spans="1:13" ht="24.95" customHeight="1">
      <c r="A467" s="19" t="s">
        <v>8745</v>
      </c>
      <c r="B467" s="19" t="s">
        <v>8742</v>
      </c>
      <c r="C467" s="19"/>
      <c r="D467" s="20" t="s">
        <v>8748</v>
      </c>
      <c r="E467" s="16">
        <v>730</v>
      </c>
      <c r="F467" s="122">
        <f t="shared" si="52"/>
        <v>26.036666666666669</v>
      </c>
      <c r="G467" s="122">
        <f t="shared" si="50"/>
        <v>25.278317152103561</v>
      </c>
      <c r="H467" s="122">
        <f t="shared" si="51"/>
        <v>24.796825396825401</v>
      </c>
      <c r="I467" s="122">
        <f t="shared" si="53"/>
        <v>23.669696969696972</v>
      </c>
      <c r="J467" s="122">
        <f t="shared" si="49"/>
        <v>29.2</v>
      </c>
      <c r="K467" s="116"/>
      <c r="L467" s="128">
        <f t="shared" si="48"/>
        <v>26.545454545454547</v>
      </c>
      <c r="M467" s="85"/>
    </row>
    <row r="468" spans="1:13" ht="24.95" customHeight="1">
      <c r="A468" s="19" t="s">
        <v>8761</v>
      </c>
      <c r="B468" s="19" t="s">
        <v>8752</v>
      </c>
      <c r="C468" s="19"/>
      <c r="D468" s="20" t="s">
        <v>8756</v>
      </c>
      <c r="E468" s="16">
        <v>740</v>
      </c>
      <c r="F468" s="122">
        <f t="shared" si="52"/>
        <v>26.393333333333334</v>
      </c>
      <c r="G468" s="122">
        <f t="shared" si="50"/>
        <v>25.624595469255667</v>
      </c>
      <c r="H468" s="122">
        <f t="shared" si="51"/>
        <v>25.13650793650794</v>
      </c>
      <c r="I468" s="122">
        <f t="shared" si="53"/>
        <v>23.993939393939396</v>
      </c>
      <c r="J468" s="122">
        <f t="shared" si="49"/>
        <v>29.6</v>
      </c>
      <c r="K468" s="116"/>
      <c r="L468" s="128">
        <f t="shared" si="48"/>
        <v>26.90909090909091</v>
      </c>
      <c r="M468" s="85"/>
    </row>
    <row r="469" spans="1:13" ht="24.95" customHeight="1">
      <c r="A469" s="19" t="s">
        <v>8775</v>
      </c>
      <c r="B469" s="19" t="s">
        <v>8772</v>
      </c>
      <c r="C469" s="19"/>
      <c r="D469" s="20" t="s">
        <v>8779</v>
      </c>
      <c r="E469" s="16">
        <v>750</v>
      </c>
      <c r="F469" s="122">
        <f t="shared" si="52"/>
        <v>26.75</v>
      </c>
      <c r="G469" s="122">
        <f t="shared" si="50"/>
        <v>25.970873786407768</v>
      </c>
      <c r="H469" s="122">
        <f t="shared" si="51"/>
        <v>25.476190476190474</v>
      </c>
      <c r="I469" s="122">
        <f t="shared" si="53"/>
        <v>24.318181818181817</v>
      </c>
      <c r="J469" s="122">
        <f t="shared" si="49"/>
        <v>30</v>
      </c>
      <c r="K469" s="116"/>
      <c r="L469" s="128">
        <f t="shared" si="48"/>
        <v>27.272727272727273</v>
      </c>
      <c r="M469" s="85"/>
    </row>
    <row r="470" spans="1:13" ht="24.95" customHeight="1">
      <c r="A470" s="19" t="s">
        <v>8776</v>
      </c>
      <c r="B470" s="19" t="s">
        <v>8773</v>
      </c>
      <c r="C470" s="19"/>
      <c r="D470" s="20" t="s">
        <v>8780</v>
      </c>
      <c r="E470" s="16">
        <v>720</v>
      </c>
      <c r="F470" s="122">
        <f t="shared" si="52"/>
        <v>25.680000000000003</v>
      </c>
      <c r="G470" s="122">
        <f t="shared" si="50"/>
        <v>24.932038834951459</v>
      </c>
      <c r="H470" s="122">
        <f t="shared" si="51"/>
        <v>24.457142857142863</v>
      </c>
      <c r="I470" s="122">
        <f t="shared" si="53"/>
        <v>23.345454545454551</v>
      </c>
      <c r="J470" s="122">
        <f t="shared" si="49"/>
        <v>28.8</v>
      </c>
      <c r="K470" s="116"/>
      <c r="L470" s="128">
        <f t="shared" si="48"/>
        <v>26.181818181818183</v>
      </c>
      <c r="M470" s="85"/>
    </row>
    <row r="471" spans="1:13" ht="24.95" customHeight="1">
      <c r="A471" s="141" t="s">
        <v>8720</v>
      </c>
      <c r="B471" s="141" t="s">
        <v>8707</v>
      </c>
      <c r="C471" s="19"/>
      <c r="D471" s="142" t="s">
        <v>8733</v>
      </c>
      <c r="E471" s="145">
        <v>680</v>
      </c>
      <c r="F471" s="122">
        <f t="shared" si="52"/>
        <v>24.253333333333334</v>
      </c>
      <c r="G471" s="122">
        <f t="shared" si="50"/>
        <v>23.546925566343045</v>
      </c>
      <c r="H471" s="122">
        <f t="shared" si="51"/>
        <v>23.098412698412702</v>
      </c>
      <c r="I471" s="122">
        <f t="shared" si="53"/>
        <v>22.048484848484851</v>
      </c>
      <c r="J471" s="122">
        <f t="shared" si="49"/>
        <v>27.2</v>
      </c>
      <c r="K471" s="116"/>
      <c r="L471" s="128">
        <f t="shared" si="48"/>
        <v>24.727272727272727</v>
      </c>
      <c r="M471" s="85"/>
    </row>
    <row r="472" spans="1:13" ht="24.95" customHeight="1">
      <c r="A472" s="19" t="s">
        <v>8801</v>
      </c>
      <c r="B472" s="19" t="s">
        <v>8804</v>
      </c>
      <c r="C472" s="19"/>
      <c r="D472" s="20" t="s">
        <v>8807</v>
      </c>
      <c r="E472" s="16">
        <v>1000</v>
      </c>
      <c r="F472" s="122">
        <f t="shared" si="52"/>
        <v>35.666666666666664</v>
      </c>
      <c r="G472" s="122">
        <f t="shared" si="50"/>
        <v>34.627831715210355</v>
      </c>
      <c r="H472" s="122">
        <f t="shared" si="51"/>
        <v>33.968253968253968</v>
      </c>
      <c r="I472" s="122">
        <f t="shared" si="53"/>
        <v>32.424242424242422</v>
      </c>
      <c r="J472" s="122">
        <f t="shared" si="49"/>
        <v>40</v>
      </c>
      <c r="K472" s="116"/>
      <c r="L472" s="128">
        <f t="shared" si="48"/>
        <v>36.363636363636367</v>
      </c>
      <c r="M472" s="85"/>
    </row>
    <row r="473" spans="1:13" ht="24.95" customHeight="1">
      <c r="A473" s="19" t="s">
        <v>8746</v>
      </c>
      <c r="B473" s="19" t="s">
        <v>8743</v>
      </c>
      <c r="C473" s="19"/>
      <c r="D473" s="20" t="s">
        <v>8749</v>
      </c>
      <c r="E473" s="16">
        <v>710</v>
      </c>
      <c r="F473" s="122">
        <f t="shared" si="52"/>
        <v>25.323333333333334</v>
      </c>
      <c r="G473" s="122">
        <f t="shared" si="50"/>
        <v>24.585760517799354</v>
      </c>
      <c r="H473" s="122">
        <f t="shared" si="51"/>
        <v>24.117460317460321</v>
      </c>
      <c r="I473" s="122">
        <f t="shared" si="53"/>
        <v>23.021212121212123</v>
      </c>
      <c r="J473" s="122">
        <f t="shared" si="49"/>
        <v>28.4</v>
      </c>
      <c r="K473" s="116"/>
      <c r="L473" s="128">
        <f t="shared" si="48"/>
        <v>25.818181818181817</v>
      </c>
      <c r="M473" s="85"/>
    </row>
    <row r="474" spans="1:13" ht="24.95" customHeight="1">
      <c r="A474" s="19" t="s">
        <v>8762</v>
      </c>
      <c r="B474" s="19" t="s">
        <v>8753</v>
      </c>
      <c r="C474" s="19"/>
      <c r="D474" s="20" t="s">
        <v>8757</v>
      </c>
      <c r="E474" s="16">
        <v>760</v>
      </c>
      <c r="F474" s="122">
        <f t="shared" si="52"/>
        <v>27.106666666666669</v>
      </c>
      <c r="G474" s="122">
        <f t="shared" si="50"/>
        <v>26.317152103559874</v>
      </c>
      <c r="H474" s="122">
        <f t="shared" si="51"/>
        <v>25.81587301587302</v>
      </c>
      <c r="I474" s="122">
        <f t="shared" si="53"/>
        <v>24.642424242424244</v>
      </c>
      <c r="J474" s="122">
        <f t="shared" si="49"/>
        <v>30.4</v>
      </c>
      <c r="K474" s="116"/>
      <c r="L474" s="128">
        <f t="shared" si="48"/>
        <v>27.636363636363637</v>
      </c>
      <c r="M474" s="85"/>
    </row>
    <row r="475" spans="1:13" ht="24.95" customHeight="1">
      <c r="A475" s="19" t="s">
        <v>8676</v>
      </c>
      <c r="B475" s="19" t="s">
        <v>8677</v>
      </c>
      <c r="C475" s="19"/>
      <c r="D475" s="20" t="s">
        <v>8678</v>
      </c>
      <c r="E475" s="16">
        <v>640</v>
      </c>
      <c r="F475" s="122">
        <f t="shared" si="52"/>
        <v>22.826666666666668</v>
      </c>
      <c r="G475" s="122">
        <f t="shared" si="50"/>
        <v>22.161812297734631</v>
      </c>
      <c r="H475" s="122">
        <f t="shared" si="51"/>
        <v>21.739682539682544</v>
      </c>
      <c r="I475" s="122">
        <f t="shared" si="53"/>
        <v>20.751515151515154</v>
      </c>
      <c r="J475" s="122">
        <f t="shared" si="49"/>
        <v>25.6</v>
      </c>
      <c r="K475" s="116"/>
      <c r="L475" s="128">
        <f t="shared" si="48"/>
        <v>23.272727272727273</v>
      </c>
      <c r="M475" s="85"/>
    </row>
    <row r="476" spans="1:13" ht="24.95" customHeight="1">
      <c r="A476" s="141" t="s">
        <v>8721</v>
      </c>
      <c r="B476" s="141" t="s">
        <v>8708</v>
      </c>
      <c r="C476" s="19"/>
      <c r="D476" s="142" t="s">
        <v>8734</v>
      </c>
      <c r="E476" s="145">
        <v>770</v>
      </c>
      <c r="F476" s="122">
        <f t="shared" si="52"/>
        <v>27.463333333333335</v>
      </c>
      <c r="G476" s="122">
        <f t="shared" si="50"/>
        <v>26.663430420711975</v>
      </c>
      <c r="H476" s="122">
        <f t="shared" si="51"/>
        <v>26.155555555555559</v>
      </c>
      <c r="I476" s="122">
        <f t="shared" si="53"/>
        <v>24.966666666666669</v>
      </c>
      <c r="J476" s="122">
        <f t="shared" si="49"/>
        <v>30.8</v>
      </c>
      <c r="K476" s="116"/>
      <c r="L476" s="128">
        <f t="shared" si="48"/>
        <v>28</v>
      </c>
      <c r="M476" s="85"/>
    </row>
    <row r="477" spans="1:13" ht="24.95" customHeight="1">
      <c r="A477" s="141" t="s">
        <v>8722</v>
      </c>
      <c r="B477" s="141" t="s">
        <v>8709</v>
      </c>
      <c r="C477" s="19"/>
      <c r="D477" s="142" t="s">
        <v>8735</v>
      </c>
      <c r="E477" s="143">
        <v>790</v>
      </c>
      <c r="F477" s="122">
        <f t="shared" si="52"/>
        <v>28.176666666666669</v>
      </c>
      <c r="G477" s="122">
        <f t="shared" si="50"/>
        <v>27.355987055016183</v>
      </c>
      <c r="H477" s="122">
        <f t="shared" si="51"/>
        <v>26.834920634920639</v>
      </c>
      <c r="I477" s="122">
        <f t="shared" si="53"/>
        <v>25.615151515151517</v>
      </c>
      <c r="J477" s="122">
        <f t="shared" ref="J477:J484" si="54">+(E477*1.2/30)</f>
        <v>31.6</v>
      </c>
      <c r="K477" s="116"/>
      <c r="L477" s="128">
        <f t="shared" si="48"/>
        <v>28.727272727272727</v>
      </c>
      <c r="M477" s="85"/>
    </row>
    <row r="478" spans="1:13" ht="24.95" customHeight="1">
      <c r="A478" s="19" t="s">
        <v>8747</v>
      </c>
      <c r="B478" s="19" t="s">
        <v>8744</v>
      </c>
      <c r="C478" s="19"/>
      <c r="D478" s="20" t="s">
        <v>8750</v>
      </c>
      <c r="E478" s="16">
        <v>690</v>
      </c>
      <c r="F478" s="122">
        <f t="shared" si="52"/>
        <v>24.610000000000003</v>
      </c>
      <c r="G478" s="122">
        <f t="shared" si="50"/>
        <v>23.893203883495151</v>
      </c>
      <c r="H478" s="122">
        <f t="shared" si="51"/>
        <v>23.438095238095244</v>
      </c>
      <c r="I478" s="122">
        <f t="shared" si="53"/>
        <v>22.372727272727278</v>
      </c>
      <c r="J478" s="122">
        <f t="shared" si="54"/>
        <v>27.6</v>
      </c>
      <c r="K478" s="116"/>
      <c r="L478" s="128">
        <f t="shared" si="48"/>
        <v>25.09090909090909</v>
      </c>
      <c r="M478" s="85"/>
    </row>
    <row r="479" spans="1:13" ht="24.95" customHeight="1">
      <c r="A479" s="19" t="s">
        <v>8737</v>
      </c>
      <c r="B479" s="19" t="s">
        <v>8739</v>
      </c>
      <c r="C479" s="19"/>
      <c r="D479" s="20" t="s">
        <v>8741</v>
      </c>
      <c r="E479" s="16">
        <v>660</v>
      </c>
      <c r="F479" s="122">
        <f t="shared" si="52"/>
        <v>23.540000000000003</v>
      </c>
      <c r="G479" s="122">
        <f t="shared" si="50"/>
        <v>22.854368932038838</v>
      </c>
      <c r="H479" s="122">
        <f t="shared" si="51"/>
        <v>22.419047619047625</v>
      </c>
      <c r="I479" s="122">
        <f t="shared" si="53"/>
        <v>21.400000000000006</v>
      </c>
      <c r="J479" s="122">
        <f t="shared" si="54"/>
        <v>26.4</v>
      </c>
      <c r="K479" s="116"/>
      <c r="L479" s="128">
        <f t="shared" si="48"/>
        <v>24</v>
      </c>
      <c r="M479" s="85"/>
    </row>
    <row r="480" spans="1:13" ht="24.95" customHeight="1">
      <c r="A480" s="19" t="s">
        <v>8736</v>
      </c>
      <c r="B480" s="19" t="s">
        <v>8738</v>
      </c>
      <c r="C480" s="19"/>
      <c r="D480" s="20" t="s">
        <v>8740</v>
      </c>
      <c r="E480" s="16">
        <v>650</v>
      </c>
      <c r="F480" s="122">
        <f t="shared" si="52"/>
        <v>23.183333333333334</v>
      </c>
      <c r="G480" s="122">
        <f t="shared" si="50"/>
        <v>22.508090614886733</v>
      </c>
      <c r="H480" s="122">
        <f t="shared" si="51"/>
        <v>22.079365079365079</v>
      </c>
      <c r="I480" s="122">
        <f t="shared" si="53"/>
        <v>21.075757575757578</v>
      </c>
      <c r="J480" s="122">
        <f t="shared" si="54"/>
        <v>26</v>
      </c>
      <c r="K480" s="116"/>
      <c r="L480" s="128">
        <f t="shared" si="48"/>
        <v>23.636363636363637</v>
      </c>
      <c r="M480" s="85"/>
    </row>
    <row r="481" spans="1:14" ht="24.95" customHeight="1">
      <c r="A481" s="19" t="s">
        <v>8759</v>
      </c>
      <c r="B481" s="19" t="s">
        <v>8754</v>
      </c>
      <c r="C481" s="19"/>
      <c r="D481" s="20" t="s">
        <v>8758</v>
      </c>
      <c r="E481" s="16">
        <v>760</v>
      </c>
      <c r="F481" s="122">
        <f t="shared" si="52"/>
        <v>27.106666666666669</v>
      </c>
      <c r="G481" s="122">
        <f t="shared" si="50"/>
        <v>26.317152103559874</v>
      </c>
      <c r="H481" s="122">
        <f t="shared" si="51"/>
        <v>25.81587301587302</v>
      </c>
      <c r="I481" s="122">
        <f t="shared" si="53"/>
        <v>24.642424242424244</v>
      </c>
      <c r="J481" s="122">
        <f t="shared" si="54"/>
        <v>30.4</v>
      </c>
      <c r="K481" s="116"/>
      <c r="L481" s="128">
        <f t="shared" si="48"/>
        <v>27.636363636363637</v>
      </c>
      <c r="M481" s="85"/>
    </row>
    <row r="482" spans="1:14" ht="24.95" customHeight="1">
      <c r="A482" s="19" t="s">
        <v>8868</v>
      </c>
      <c r="B482" s="19" t="s">
        <v>8869</v>
      </c>
      <c r="C482" s="19"/>
      <c r="D482" s="20" t="s">
        <v>8870</v>
      </c>
      <c r="E482" s="16">
        <v>800</v>
      </c>
      <c r="F482" s="122">
        <f t="shared" si="52"/>
        <v>28.533333333333335</v>
      </c>
      <c r="G482" s="122">
        <f t="shared" si="50"/>
        <v>27.702265372168288</v>
      </c>
      <c r="H482" s="122">
        <f t="shared" si="51"/>
        <v>27.174603174603178</v>
      </c>
      <c r="I482" s="122">
        <f t="shared" si="53"/>
        <v>25.939393939393941</v>
      </c>
      <c r="J482" s="122">
        <f t="shared" si="54"/>
        <v>32</v>
      </c>
      <c r="K482" s="116"/>
      <c r="L482" s="128">
        <f t="shared" si="48"/>
        <v>29.09090909090909</v>
      </c>
      <c r="M482" s="85"/>
      <c r="N482" s="129">
        <v>46147</v>
      </c>
    </row>
    <row r="483" spans="1:14" ht="24.95" customHeight="1">
      <c r="A483" s="19" t="s">
        <v>8875</v>
      </c>
      <c r="B483" s="19" t="s">
        <v>8876</v>
      </c>
      <c r="C483" s="19"/>
      <c r="D483" s="20" t="s">
        <v>8877</v>
      </c>
      <c r="E483" s="16">
        <v>810</v>
      </c>
      <c r="F483" s="122">
        <f t="shared" si="52"/>
        <v>28.89</v>
      </c>
      <c r="G483" s="122">
        <f t="shared" si="50"/>
        <v>28.04854368932039</v>
      </c>
      <c r="H483" s="122">
        <f t="shared" si="51"/>
        <v>27.514285714285716</v>
      </c>
      <c r="I483" s="122">
        <f t="shared" si="53"/>
        <v>26.263636363636362</v>
      </c>
      <c r="J483" s="122">
        <f t="shared" si="54"/>
        <v>32.4</v>
      </c>
      <c r="K483" s="116"/>
      <c r="L483" s="128">
        <f t="shared" si="48"/>
        <v>29.454545454545453</v>
      </c>
      <c r="M483" s="85"/>
      <c r="N483" s="129">
        <v>46167</v>
      </c>
    </row>
    <row r="484" spans="1:14" ht="24.95" customHeight="1">
      <c r="A484" s="19" t="s">
        <v>8883</v>
      </c>
      <c r="B484" s="19" t="s">
        <v>8884</v>
      </c>
      <c r="C484" s="19"/>
      <c r="D484" s="20" t="s">
        <v>8882</v>
      </c>
      <c r="E484" s="16">
        <v>880</v>
      </c>
      <c r="F484" s="122">
        <f t="shared" si="52"/>
        <v>31.386666666666667</v>
      </c>
      <c r="G484" s="122">
        <f t="shared" si="50"/>
        <v>30.472491909385113</v>
      </c>
      <c r="H484" s="122">
        <f t="shared" si="51"/>
        <v>29.892063492063489</v>
      </c>
      <c r="I484" s="122">
        <f t="shared" si="53"/>
        <v>28.533333333333331</v>
      </c>
      <c r="J484" s="122">
        <f t="shared" si="54"/>
        <v>35.200000000000003</v>
      </c>
      <c r="K484" s="116"/>
      <c r="L484" s="128">
        <f t="shared" si="48"/>
        <v>32</v>
      </c>
      <c r="M484" s="85"/>
      <c r="N484" s="129">
        <v>46191</v>
      </c>
    </row>
    <row r="485" spans="1:14" ht="24.95" customHeight="1">
      <c r="A485" s="19"/>
      <c r="B485" s="19"/>
      <c r="C485" s="19"/>
      <c r="D485" s="20"/>
      <c r="E485" s="16"/>
      <c r="F485" s="122"/>
      <c r="G485" s="122"/>
      <c r="H485" s="122"/>
      <c r="I485" s="122"/>
      <c r="J485" s="122"/>
      <c r="K485" s="116"/>
      <c r="L485" s="128"/>
      <c r="M485" s="85"/>
    </row>
    <row r="486" spans="1:14" ht="24.95" customHeight="1">
      <c r="A486" s="19"/>
      <c r="B486" s="19"/>
      <c r="C486" s="19"/>
      <c r="D486" s="20"/>
      <c r="E486" s="16"/>
      <c r="F486" s="122"/>
      <c r="G486" s="122"/>
      <c r="H486" s="122"/>
      <c r="I486" s="122"/>
      <c r="J486" s="122"/>
      <c r="K486" s="116"/>
      <c r="L486" s="128"/>
      <c r="M486" s="85"/>
    </row>
    <row r="487" spans="1:14" ht="24.95" customHeight="1">
      <c r="A487" s="19"/>
      <c r="B487" s="19"/>
      <c r="C487" s="19"/>
      <c r="D487" s="20"/>
      <c r="E487" s="16"/>
      <c r="F487" s="122"/>
      <c r="G487" s="122"/>
      <c r="H487" s="122"/>
      <c r="I487" s="122"/>
      <c r="J487" s="122"/>
      <c r="K487" s="116"/>
      <c r="L487" s="128"/>
      <c r="M487" s="85"/>
    </row>
    <row r="488" spans="1:14" ht="24.95" customHeight="1">
      <c r="A488" s="19"/>
      <c r="B488" s="19"/>
      <c r="C488" s="19"/>
      <c r="D488" s="20"/>
      <c r="E488" s="16"/>
      <c r="F488" s="122"/>
      <c r="G488" s="122"/>
      <c r="H488" s="122"/>
      <c r="I488" s="122"/>
      <c r="J488" s="122"/>
      <c r="K488" s="116"/>
      <c r="L488" s="128"/>
      <c r="M488" s="85"/>
    </row>
    <row r="489" spans="1:14" ht="24.95" customHeight="1">
      <c r="A489" s="19"/>
      <c r="B489" s="19"/>
      <c r="C489" s="19"/>
      <c r="D489" s="20"/>
      <c r="E489" s="16"/>
      <c r="F489" s="122"/>
      <c r="G489" s="122"/>
      <c r="H489" s="122"/>
      <c r="I489" s="122"/>
      <c r="J489" s="122"/>
      <c r="K489" s="116"/>
      <c r="L489" s="128"/>
      <c r="M489" s="85"/>
    </row>
    <row r="490" spans="1:14" ht="24.95" customHeight="1">
      <c r="A490" s="19"/>
      <c r="B490" s="19"/>
      <c r="C490" s="19"/>
      <c r="D490" s="20"/>
      <c r="E490" s="16"/>
      <c r="F490" s="122"/>
      <c r="G490" s="122"/>
      <c r="H490" s="122"/>
      <c r="I490" s="122"/>
      <c r="J490" s="122"/>
      <c r="K490" s="116"/>
      <c r="L490" s="128"/>
      <c r="M490" s="85"/>
    </row>
    <row r="491" spans="1:14" ht="24.95" customHeight="1">
      <c r="A491" s="19"/>
      <c r="B491" s="19"/>
      <c r="C491" s="19"/>
      <c r="D491" s="20"/>
      <c r="E491" s="16"/>
      <c r="F491" s="122"/>
      <c r="G491" s="122"/>
      <c r="H491" s="122"/>
      <c r="I491" s="122"/>
      <c r="J491" s="122"/>
      <c r="K491" s="116"/>
      <c r="L491" s="128"/>
      <c r="M491" s="85"/>
    </row>
    <row r="492" spans="1:14" ht="24.95" customHeight="1">
      <c r="A492" s="19"/>
      <c r="B492" s="19"/>
      <c r="C492" s="19"/>
      <c r="D492" s="20"/>
      <c r="E492" s="16"/>
      <c r="F492" s="122"/>
      <c r="G492" s="122"/>
      <c r="H492" s="122"/>
      <c r="I492" s="122"/>
      <c r="J492" s="122"/>
      <c r="K492" s="116"/>
      <c r="L492" s="128"/>
      <c r="M492" s="85"/>
    </row>
    <row r="493" spans="1:14" ht="24.95" customHeight="1">
      <c r="A493" s="19"/>
      <c r="B493" s="19"/>
      <c r="C493" s="19"/>
      <c r="D493" s="20"/>
      <c r="E493" s="16"/>
      <c r="F493" s="122"/>
      <c r="G493" s="122"/>
      <c r="H493" s="122"/>
      <c r="I493" s="122"/>
      <c r="J493" s="122"/>
      <c r="K493" s="116"/>
      <c r="L493" s="128"/>
      <c r="M493" s="85"/>
    </row>
    <row r="494" spans="1:14" ht="24.95" customHeight="1">
      <c r="A494" s="19"/>
      <c r="B494" s="19"/>
      <c r="C494" s="19"/>
      <c r="D494" s="20"/>
      <c r="E494" s="16"/>
      <c r="F494" s="122"/>
      <c r="G494" s="122"/>
      <c r="H494" s="122"/>
      <c r="I494" s="122"/>
      <c r="J494" s="122"/>
      <c r="K494" s="116"/>
      <c r="L494" s="128"/>
      <c r="M494" s="85"/>
    </row>
    <row r="495" spans="1:14" ht="24.95" customHeight="1">
      <c r="A495" s="19"/>
      <c r="B495" s="19"/>
      <c r="C495" s="19"/>
      <c r="D495" s="20"/>
      <c r="E495" s="16"/>
      <c r="F495" s="122"/>
      <c r="G495" s="122"/>
      <c r="H495" s="122"/>
      <c r="I495" s="122"/>
      <c r="J495" s="122"/>
      <c r="K495" s="116"/>
      <c r="L495" s="128"/>
      <c r="M495" s="85"/>
    </row>
    <row r="496" spans="1:14" ht="24.95" customHeight="1">
      <c r="A496" s="19"/>
      <c r="B496" s="19"/>
      <c r="C496" s="19"/>
      <c r="D496" s="20"/>
      <c r="E496" s="16"/>
      <c r="F496" s="122"/>
      <c r="G496" s="122"/>
      <c r="H496" s="122"/>
      <c r="I496" s="122"/>
      <c r="J496" s="122"/>
      <c r="K496" s="116"/>
      <c r="L496" s="128"/>
      <c r="M496" s="85"/>
    </row>
    <row r="497" spans="1:13" ht="24.95" customHeight="1">
      <c r="A497" s="19"/>
      <c r="B497" s="19"/>
      <c r="C497" s="19"/>
      <c r="D497" s="20"/>
      <c r="E497" s="16"/>
      <c r="F497" s="122"/>
      <c r="G497" s="122"/>
      <c r="H497" s="122"/>
      <c r="I497" s="122"/>
      <c r="J497" s="122"/>
      <c r="K497" s="116"/>
      <c r="L497" s="128"/>
      <c r="M497" s="85"/>
    </row>
    <row r="498" spans="1:13" ht="24.95" customHeight="1">
      <c r="A498" s="19"/>
      <c r="B498" s="19"/>
      <c r="C498" s="19"/>
      <c r="D498" s="20"/>
      <c r="E498" s="16"/>
      <c r="F498" s="122"/>
      <c r="G498" s="122"/>
      <c r="H498" s="122"/>
      <c r="I498" s="122"/>
      <c r="J498" s="122"/>
      <c r="K498" s="116"/>
      <c r="L498" s="128"/>
      <c r="M498" s="85"/>
    </row>
    <row r="499" spans="1:13" ht="24.95" customHeight="1">
      <c r="A499" s="19"/>
      <c r="B499" s="19"/>
      <c r="C499" s="19"/>
      <c r="D499" s="20"/>
      <c r="E499" s="16"/>
      <c r="F499" s="122"/>
      <c r="G499" s="122"/>
      <c r="H499" s="122"/>
      <c r="I499" s="122"/>
      <c r="J499" s="122"/>
      <c r="K499" s="116"/>
      <c r="L499" s="128"/>
      <c r="M499" s="85"/>
    </row>
    <row r="500" spans="1:13" ht="24.95" customHeight="1">
      <c r="A500" s="19"/>
      <c r="B500" s="19"/>
      <c r="C500" s="19"/>
      <c r="D500" s="20"/>
      <c r="E500" s="16"/>
      <c r="F500" s="122"/>
      <c r="G500" s="122"/>
      <c r="H500" s="122"/>
      <c r="I500" s="122"/>
      <c r="J500" s="122"/>
      <c r="K500" s="116"/>
      <c r="L500" s="128"/>
      <c r="M500" s="85"/>
    </row>
    <row r="501" spans="1:13" ht="24.95" customHeight="1">
      <c r="A501" s="19"/>
      <c r="B501" s="19"/>
      <c r="C501" s="19"/>
      <c r="D501" s="20"/>
      <c r="E501" s="16"/>
      <c r="F501" s="122"/>
      <c r="G501" s="122"/>
      <c r="H501" s="122"/>
      <c r="I501" s="122"/>
      <c r="J501" s="122"/>
      <c r="K501" s="116"/>
      <c r="L501" s="128"/>
      <c r="M501" s="85"/>
    </row>
    <row r="502" spans="1:13" ht="24.95" customHeight="1">
      <c r="A502" s="19"/>
      <c r="B502" s="19"/>
      <c r="C502" s="19"/>
      <c r="D502" s="20"/>
      <c r="E502" s="16"/>
      <c r="F502" s="122"/>
      <c r="G502" s="122"/>
      <c r="H502" s="122"/>
      <c r="I502" s="122"/>
      <c r="J502" s="122"/>
      <c r="K502" s="116"/>
      <c r="L502" s="128"/>
      <c r="M502" s="85"/>
    </row>
    <row r="503" spans="1:13" ht="24.95" customHeight="1">
      <c r="A503" s="19"/>
      <c r="B503" s="19"/>
      <c r="C503" s="19"/>
      <c r="D503" s="20"/>
      <c r="E503" s="16"/>
      <c r="F503" s="122"/>
      <c r="G503" s="122"/>
      <c r="H503" s="122"/>
      <c r="I503" s="122"/>
      <c r="J503" s="122"/>
      <c r="K503" s="116"/>
      <c r="L503" s="128"/>
      <c r="M503" s="85"/>
    </row>
    <row r="504" spans="1:13" ht="24.95" customHeight="1">
      <c r="A504" s="19"/>
      <c r="B504" s="19"/>
      <c r="C504" s="19"/>
      <c r="D504" s="20"/>
      <c r="E504" s="16"/>
      <c r="F504" s="122"/>
      <c r="G504" s="122"/>
      <c r="H504" s="122"/>
      <c r="I504" s="122"/>
      <c r="J504" s="122"/>
      <c r="K504" s="116"/>
      <c r="L504" s="128"/>
      <c r="M504" s="85"/>
    </row>
    <row r="505" spans="1:13" ht="24.95" customHeight="1">
      <c r="A505" s="19"/>
      <c r="B505" s="19"/>
      <c r="C505" s="19"/>
      <c r="D505" s="20"/>
      <c r="E505" s="16"/>
      <c r="F505" s="122"/>
      <c r="G505" s="122"/>
      <c r="H505" s="122"/>
      <c r="I505" s="122"/>
      <c r="J505" s="122"/>
      <c r="K505" s="116"/>
      <c r="L505" s="128"/>
      <c r="M505" s="85"/>
    </row>
    <row r="506" spans="1:13" ht="24.95" customHeight="1">
      <c r="A506" s="19"/>
      <c r="B506" s="19"/>
      <c r="C506" s="19"/>
      <c r="D506" s="20"/>
      <c r="E506" s="16"/>
      <c r="F506" s="122"/>
      <c r="G506" s="122"/>
      <c r="H506" s="122"/>
      <c r="I506" s="122"/>
      <c r="J506" s="122"/>
      <c r="K506" s="116"/>
      <c r="L506" s="128"/>
      <c r="M506" s="85"/>
    </row>
    <row r="507" spans="1:13" ht="24.95" customHeight="1">
      <c r="A507" s="19"/>
      <c r="B507" s="19"/>
      <c r="C507" s="19"/>
      <c r="D507" s="20"/>
      <c r="E507" s="16"/>
      <c r="F507" s="122"/>
      <c r="G507" s="122"/>
      <c r="H507" s="122"/>
      <c r="I507" s="122"/>
      <c r="J507" s="122"/>
      <c r="K507" s="116"/>
      <c r="L507" s="128"/>
      <c r="M507" s="85"/>
    </row>
    <row r="508" spans="1:13" ht="24.95" customHeight="1">
      <c r="A508" s="19"/>
      <c r="B508" s="19"/>
      <c r="C508" s="19"/>
      <c r="D508" s="20"/>
      <c r="E508" s="16"/>
      <c r="F508" s="122"/>
      <c r="G508" s="122"/>
      <c r="H508" s="122"/>
      <c r="I508" s="122"/>
      <c r="J508" s="122"/>
      <c r="K508" s="116"/>
      <c r="L508" s="128"/>
      <c r="M508" s="85"/>
    </row>
    <row r="509" spans="1:13" ht="24.95" customHeight="1">
      <c r="A509" s="19"/>
      <c r="B509" s="19"/>
      <c r="C509" s="19"/>
      <c r="D509" s="20"/>
      <c r="E509" s="16"/>
      <c r="F509" s="122"/>
      <c r="G509" s="122"/>
      <c r="H509" s="122"/>
      <c r="I509" s="122"/>
      <c r="J509" s="122"/>
      <c r="K509" s="116"/>
      <c r="L509" s="128"/>
      <c r="M509" s="85"/>
    </row>
    <row r="510" spans="1:13" ht="24.95" customHeight="1">
      <c r="A510" s="19"/>
      <c r="B510" s="19"/>
      <c r="C510" s="19"/>
      <c r="D510" s="20"/>
      <c r="E510" s="16"/>
      <c r="F510" s="122"/>
      <c r="G510" s="122"/>
      <c r="H510" s="122"/>
      <c r="I510" s="122"/>
      <c r="J510" s="122"/>
      <c r="K510" s="116"/>
      <c r="L510" s="128"/>
      <c r="M510" s="85"/>
    </row>
    <row r="511" spans="1:13" ht="24.95" customHeight="1">
      <c r="A511" s="19"/>
      <c r="B511" s="19"/>
      <c r="C511" s="19"/>
      <c r="D511" s="20"/>
      <c r="E511" s="16"/>
      <c r="F511" s="122"/>
      <c r="G511" s="122"/>
      <c r="H511" s="122"/>
      <c r="I511" s="122"/>
      <c r="J511" s="122"/>
      <c r="K511" s="116"/>
      <c r="L511" s="128"/>
      <c r="M511" s="85"/>
    </row>
    <row r="512" spans="1:13" ht="24.95" customHeight="1">
      <c r="A512" s="19"/>
      <c r="B512" s="19"/>
      <c r="C512" s="19"/>
      <c r="D512" s="20"/>
      <c r="E512" s="16"/>
      <c r="F512" s="122"/>
      <c r="G512" s="122"/>
      <c r="H512" s="122"/>
      <c r="I512" s="122"/>
      <c r="J512" s="122"/>
      <c r="K512" s="116"/>
      <c r="L512" s="128"/>
      <c r="M512" s="85"/>
    </row>
    <row r="513" spans="1:13" ht="24.95" customHeight="1">
      <c r="A513" s="19"/>
      <c r="B513" s="19"/>
      <c r="C513" s="19"/>
      <c r="D513" s="20"/>
      <c r="E513" s="16"/>
      <c r="F513" s="122"/>
      <c r="G513" s="122"/>
      <c r="H513" s="122"/>
      <c r="I513" s="122"/>
      <c r="J513" s="122"/>
      <c r="K513" s="116"/>
      <c r="L513" s="128"/>
      <c r="M513" s="85"/>
    </row>
    <row r="514" spans="1:13" ht="24.95" customHeight="1">
      <c r="A514" s="19"/>
      <c r="B514" s="19"/>
      <c r="C514" s="19"/>
      <c r="D514" s="20"/>
      <c r="E514" s="16"/>
      <c r="F514" s="122"/>
      <c r="G514" s="122"/>
      <c r="H514" s="122"/>
      <c r="I514" s="122"/>
      <c r="J514" s="122"/>
      <c r="K514" s="116"/>
      <c r="L514" s="128"/>
      <c r="M514" s="85"/>
    </row>
    <row r="515" spans="1:13" ht="24.95" customHeight="1">
      <c r="A515" s="19"/>
      <c r="B515" s="19"/>
      <c r="C515" s="19"/>
      <c r="D515" s="20"/>
      <c r="E515" s="16"/>
      <c r="F515" s="122"/>
      <c r="G515" s="122"/>
      <c r="H515" s="122"/>
      <c r="I515" s="122"/>
      <c r="J515" s="122"/>
      <c r="K515" s="116"/>
      <c r="L515" s="128"/>
      <c r="M515" s="85"/>
    </row>
    <row r="516" spans="1:13" ht="24.95" customHeight="1">
      <c r="A516" s="19"/>
      <c r="B516" s="19"/>
      <c r="C516" s="19"/>
      <c r="D516" s="20"/>
      <c r="E516" s="16"/>
      <c r="F516" s="122"/>
      <c r="G516" s="122"/>
      <c r="H516" s="122"/>
      <c r="I516" s="122"/>
      <c r="J516" s="122"/>
      <c r="K516" s="116"/>
      <c r="L516" s="128"/>
      <c r="M516" s="85"/>
    </row>
    <row r="517" spans="1:13" ht="24.95" customHeight="1">
      <c r="A517" s="19"/>
      <c r="B517" s="19"/>
      <c r="C517" s="19"/>
      <c r="D517" s="20"/>
      <c r="E517" s="16"/>
      <c r="F517" s="122"/>
      <c r="G517" s="122"/>
      <c r="H517" s="122"/>
      <c r="I517" s="122"/>
      <c r="J517" s="122"/>
      <c r="K517" s="116"/>
      <c r="L517" s="128"/>
      <c r="M517" s="85"/>
    </row>
    <row r="518" spans="1:13" ht="24.95" customHeight="1">
      <c r="A518" s="19"/>
      <c r="B518" s="19"/>
      <c r="C518" s="19"/>
      <c r="D518" s="20"/>
      <c r="E518" s="16"/>
      <c r="F518" s="122"/>
      <c r="G518" s="122"/>
      <c r="H518" s="122"/>
      <c r="I518" s="122"/>
      <c r="J518" s="122"/>
      <c r="K518" s="116"/>
      <c r="L518" s="128"/>
      <c r="M518" s="85"/>
    </row>
    <row r="519" spans="1:13" ht="24.95" customHeight="1">
      <c r="A519" s="19"/>
      <c r="B519" s="19"/>
      <c r="C519" s="19"/>
      <c r="D519" s="20"/>
      <c r="E519" s="16"/>
      <c r="F519" s="122"/>
      <c r="G519" s="122"/>
      <c r="H519" s="122"/>
      <c r="I519" s="122"/>
      <c r="J519" s="122"/>
      <c r="K519" s="116"/>
      <c r="L519" s="128"/>
      <c r="M519" s="85"/>
    </row>
    <row r="520" spans="1:13" ht="24.95" customHeight="1">
      <c r="A520" s="19"/>
      <c r="B520" s="19"/>
      <c r="C520" s="19"/>
      <c r="D520" s="20"/>
      <c r="E520" s="16"/>
      <c r="F520" s="122"/>
      <c r="G520" s="122"/>
      <c r="H520" s="122"/>
      <c r="I520" s="122"/>
      <c r="J520" s="122"/>
      <c r="K520" s="116"/>
      <c r="L520" s="128"/>
      <c r="M520" s="85"/>
    </row>
    <row r="521" spans="1:13" ht="24.95" customHeight="1">
      <c r="A521" s="19"/>
      <c r="B521" s="19"/>
      <c r="C521" s="19"/>
      <c r="D521" s="20"/>
      <c r="E521" s="16"/>
      <c r="F521" s="122"/>
      <c r="G521" s="122"/>
      <c r="H521" s="122"/>
      <c r="I521" s="122"/>
      <c r="J521" s="122"/>
      <c r="K521" s="116"/>
      <c r="L521" s="128"/>
      <c r="M521" s="85"/>
    </row>
    <row r="522" spans="1:13" ht="24.95" customHeight="1">
      <c r="A522" s="19"/>
      <c r="B522" s="19"/>
      <c r="C522" s="19"/>
      <c r="D522" s="20"/>
      <c r="E522" s="16"/>
      <c r="F522" s="122"/>
      <c r="G522" s="122"/>
      <c r="H522" s="122"/>
      <c r="I522" s="122"/>
      <c r="J522" s="122"/>
      <c r="K522" s="116"/>
      <c r="L522" s="128"/>
      <c r="M522" s="85"/>
    </row>
    <row r="523" spans="1:13" ht="24.95" customHeight="1">
      <c r="A523" s="19"/>
      <c r="B523" s="19"/>
      <c r="C523" s="19"/>
      <c r="D523" s="20"/>
      <c r="E523" s="16"/>
      <c r="F523" s="122"/>
      <c r="G523" s="122"/>
      <c r="H523" s="122"/>
      <c r="I523" s="122"/>
      <c r="J523" s="122"/>
      <c r="K523" s="116"/>
      <c r="L523" s="128"/>
      <c r="M523" s="85"/>
    </row>
    <row r="524" spans="1:13" ht="24.95" customHeight="1">
      <c r="A524" s="19"/>
      <c r="B524" s="19"/>
      <c r="C524" s="19"/>
      <c r="D524" s="20"/>
      <c r="E524" s="16"/>
      <c r="F524" s="122"/>
      <c r="G524" s="122"/>
      <c r="H524" s="122"/>
      <c r="I524" s="122"/>
      <c r="J524" s="122"/>
      <c r="K524" s="116"/>
      <c r="L524" s="128"/>
      <c r="M524" s="85"/>
    </row>
    <row r="525" spans="1:13" ht="24.95" customHeight="1">
      <c r="A525" s="19"/>
      <c r="B525" s="19"/>
      <c r="C525" s="19"/>
      <c r="D525" s="20"/>
      <c r="E525" s="16"/>
      <c r="F525" s="122"/>
      <c r="G525" s="122"/>
      <c r="H525" s="122"/>
      <c r="I525" s="122"/>
      <c r="J525" s="122"/>
      <c r="K525" s="116"/>
      <c r="L525" s="128"/>
      <c r="M525" s="85"/>
    </row>
    <row r="526" spans="1:13" ht="24.95" customHeight="1">
      <c r="A526" s="19"/>
      <c r="B526" s="19"/>
      <c r="C526" s="19"/>
      <c r="D526" s="20"/>
      <c r="E526" s="16"/>
      <c r="F526" s="122"/>
      <c r="G526" s="122"/>
      <c r="H526" s="122"/>
      <c r="I526" s="122"/>
      <c r="J526" s="122"/>
      <c r="K526" s="116"/>
      <c r="L526" s="128"/>
      <c r="M526" s="85"/>
    </row>
    <row r="527" spans="1:13" ht="24.95" customHeight="1">
      <c r="A527" s="19"/>
      <c r="B527" s="19"/>
      <c r="C527" s="19"/>
      <c r="D527" s="20"/>
      <c r="E527" s="16"/>
      <c r="F527" s="122"/>
      <c r="G527" s="122"/>
      <c r="H527" s="122"/>
      <c r="I527" s="122"/>
      <c r="J527" s="122"/>
      <c r="K527" s="116"/>
      <c r="L527" s="128"/>
      <c r="M527" s="85"/>
    </row>
    <row r="528" spans="1:13" ht="24.95" customHeight="1">
      <c r="A528" s="19"/>
      <c r="B528" s="19"/>
      <c r="C528" s="19"/>
      <c r="D528" s="20"/>
      <c r="E528" s="16"/>
      <c r="F528" s="122"/>
      <c r="G528" s="122"/>
      <c r="H528" s="122"/>
      <c r="I528" s="122"/>
      <c r="J528" s="122"/>
      <c r="K528" s="116"/>
      <c r="L528" s="128"/>
      <c r="M528" s="85"/>
    </row>
    <row r="529" spans="1:13" ht="24.95" customHeight="1">
      <c r="A529" s="19"/>
      <c r="B529" s="19"/>
      <c r="C529" s="19"/>
      <c r="D529" s="20"/>
      <c r="E529" s="16"/>
      <c r="F529" s="122"/>
      <c r="G529" s="122"/>
      <c r="H529" s="122"/>
      <c r="I529" s="122"/>
      <c r="J529" s="122"/>
      <c r="K529" s="116"/>
      <c r="L529" s="128"/>
      <c r="M529" s="85"/>
    </row>
    <row r="530" spans="1:13" ht="24.95" customHeight="1">
      <c r="A530" s="19"/>
      <c r="B530" s="19"/>
      <c r="C530" s="19"/>
      <c r="D530" s="20"/>
      <c r="E530" s="16"/>
      <c r="F530" s="122"/>
      <c r="G530" s="122"/>
      <c r="H530" s="122"/>
      <c r="I530" s="122"/>
      <c r="J530" s="122"/>
      <c r="K530" s="116"/>
      <c r="L530" s="128"/>
      <c r="M530" s="85"/>
    </row>
    <row r="531" spans="1:13" ht="24.95" customHeight="1">
      <c r="A531" s="19"/>
      <c r="B531" s="19"/>
      <c r="C531" s="19"/>
      <c r="D531" s="20"/>
      <c r="E531" s="16"/>
      <c r="F531" s="122"/>
      <c r="G531" s="122"/>
      <c r="H531" s="122"/>
      <c r="I531" s="122"/>
      <c r="J531" s="122"/>
      <c r="K531" s="116"/>
      <c r="L531" s="128"/>
      <c r="M531" s="85"/>
    </row>
    <row r="532" spans="1:13" ht="24.95" customHeight="1">
      <c r="A532" s="19"/>
      <c r="B532" s="19"/>
      <c r="C532" s="19"/>
      <c r="D532" s="20"/>
      <c r="E532" s="16"/>
      <c r="F532" s="122"/>
      <c r="G532" s="122"/>
      <c r="H532" s="122"/>
      <c r="I532" s="122"/>
      <c r="J532" s="122"/>
      <c r="K532" s="116"/>
      <c r="L532" s="128"/>
      <c r="M532" s="85"/>
    </row>
    <row r="533" spans="1:13" ht="24.95" customHeight="1">
      <c r="A533" s="19"/>
      <c r="B533" s="19"/>
      <c r="C533" s="19"/>
      <c r="D533" s="20"/>
      <c r="E533" s="16"/>
      <c r="F533" s="122"/>
      <c r="G533" s="122"/>
      <c r="H533" s="122"/>
      <c r="I533" s="122"/>
      <c r="J533" s="122"/>
      <c r="K533" s="116"/>
      <c r="L533" s="128"/>
      <c r="M533" s="85"/>
    </row>
    <row r="534" spans="1:13" ht="24.95" customHeight="1">
      <c r="A534" s="19"/>
      <c r="B534" s="19"/>
      <c r="C534" s="19"/>
      <c r="D534" s="20"/>
      <c r="E534" s="16"/>
      <c r="F534" s="122"/>
      <c r="G534" s="122"/>
      <c r="H534" s="122"/>
      <c r="I534" s="122"/>
      <c r="J534" s="122"/>
      <c r="K534" s="116"/>
      <c r="L534" s="128"/>
      <c r="M534" s="85"/>
    </row>
    <row r="535" spans="1:13" ht="24.95" customHeight="1">
      <c r="A535" s="19"/>
      <c r="B535" s="19"/>
      <c r="C535" s="19"/>
      <c r="D535" s="20"/>
      <c r="E535" s="16"/>
      <c r="F535" s="122"/>
      <c r="G535" s="122"/>
      <c r="H535" s="122"/>
      <c r="I535" s="122"/>
      <c r="J535" s="122"/>
      <c r="K535" s="116"/>
      <c r="L535" s="128"/>
      <c r="M535" s="85"/>
    </row>
    <row r="536" spans="1:13" ht="24.95" customHeight="1">
      <c r="A536" s="19"/>
      <c r="B536" s="19"/>
      <c r="C536" s="19"/>
      <c r="D536" s="20"/>
      <c r="E536" s="16"/>
      <c r="F536" s="122"/>
      <c r="G536" s="122"/>
      <c r="H536" s="122"/>
      <c r="I536" s="122"/>
      <c r="J536" s="122"/>
      <c r="K536" s="116"/>
      <c r="L536" s="128"/>
      <c r="M536" s="85"/>
    </row>
    <row r="537" spans="1:13" ht="24.95" customHeight="1">
      <c r="A537" s="19"/>
      <c r="B537" s="19"/>
      <c r="C537" s="19"/>
      <c r="D537" s="20"/>
      <c r="E537" s="81"/>
      <c r="F537" s="123"/>
      <c r="G537" s="123"/>
      <c r="H537" s="123"/>
      <c r="I537" s="123"/>
      <c r="J537" s="123"/>
      <c r="K537" s="117"/>
      <c r="L537" s="146"/>
    </row>
    <row r="538" spans="1:13" ht="24.95" customHeight="1">
      <c r="A538" s="19"/>
      <c r="B538" s="19"/>
      <c r="C538" s="19"/>
      <c r="D538" s="20"/>
      <c r="E538" s="16"/>
      <c r="F538" s="122"/>
      <c r="G538" s="122"/>
      <c r="H538" s="122"/>
      <c r="I538" s="122"/>
      <c r="J538" s="122"/>
      <c r="K538" s="116"/>
      <c r="L538" s="128"/>
    </row>
    <row r="539" spans="1:13" ht="24.95" customHeight="1">
      <c r="A539" s="19"/>
      <c r="B539" s="19"/>
      <c r="C539" s="19"/>
      <c r="D539" s="20"/>
      <c r="E539" s="16"/>
      <c r="F539" s="122"/>
      <c r="G539" s="122"/>
      <c r="H539" s="122"/>
      <c r="I539" s="122"/>
      <c r="J539" s="122"/>
      <c r="K539" s="116"/>
      <c r="L539" s="128"/>
    </row>
  </sheetData>
  <sortState xmlns:xlrd2="http://schemas.microsoft.com/office/spreadsheetml/2017/richdata2" ref="A4:O482">
    <sortCondition ref="A4:A482" customList="1-9"/>
  </sortState>
  <phoneticPr fontId="12" type="noConversion"/>
  <pageMargins left="0.51181102362204722" right="0.31496062992125984" top="0.15748031496062992" bottom="0.15748031496062992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CO </vt:lpstr>
      <vt:lpstr>COF</vt:lpstr>
      <vt:lpstr>COF(copper)</vt:lpstr>
      <vt:lpstr>LM (NEW)</vt:lpstr>
      <vt:lpstr>PFE (NEW)</vt:lpstr>
      <vt:lpstr>'CO '!Print_Titles</vt:lpstr>
      <vt:lpstr>COF!Print_Titles</vt:lpstr>
      <vt:lpstr>'COF(copper)'!Print_Titles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2006-09-13T11:32:04Z</dcterms:created>
  <dcterms:modified xsi:type="dcterms:W3CDTF">2026-06-18T06:55:18Z</dcterms:modified>
</cp:coreProperties>
</file>